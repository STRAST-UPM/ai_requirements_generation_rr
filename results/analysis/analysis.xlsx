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pm365.sharepoint.com/sites/SOLSTICIAUPM/Documentos compartidos/General/Paper IEEE Access/"/>
    </mc:Choice>
  </mc:AlternateContent>
  <xr:revisionPtr revIDLastSave="0" documentId="8_{EEE91545-3C41-4977-9CBD-6ED5EF520B35}" xr6:coauthVersionLast="47" xr6:coauthVersionMax="47" xr10:uidLastSave="{00000000-0000-0000-0000-000000000000}"/>
  <bookViews>
    <workbookView xWindow="-110" yWindow="-110" windowWidth="19420" windowHeight="11020" tabRatio="500" firstSheet="9" activeTab="8" xr2:uid="{00000000-000D-0000-FFFF-FFFF00000000}"/>
  </bookViews>
  <sheets>
    <sheet name="Models" sheetId="1" r:id="rId1"/>
    <sheet name="Summary" sheetId="2" r:id="rId2"/>
    <sheet name="Summary {V}" sheetId="3" r:id="rId3"/>
    <sheet name="{V} L3" sheetId="4" r:id="rId4"/>
    <sheet name="{V} L0" sheetId="5" r:id="rId5"/>
    <sheet name="{V} Q0" sheetId="6" r:id="rId6"/>
    <sheet name="{V} M0" sheetId="7" r:id="rId7"/>
    <sheet name="{V} G0" sheetId="8" r:id="rId8"/>
    <sheet name="{V} InterModel" sheetId="41" r:id="rId9"/>
    <sheet name="{C} GS to X" sheetId="9" r:id="rId10"/>
    <sheet name="{C} Human to X" sheetId="10" r:id="rId11"/>
    <sheet name="{C} L0" sheetId="11" r:id="rId12"/>
    <sheet name="{C} L0_ii" sheetId="12" r:id="rId13"/>
    <sheet name="{C} L0_iii" sheetId="13" r:id="rId14"/>
    <sheet name="{C} L0_iv" sheetId="14" r:id="rId15"/>
    <sheet name="{C} L1" sheetId="15" r:id="rId16"/>
    <sheet name="{C} L2" sheetId="16" r:id="rId17"/>
    <sheet name="{C} L3" sheetId="17" r:id="rId18"/>
    <sheet name="{C} L4" sheetId="18" r:id="rId19"/>
    <sheet name="{C} L5" sheetId="21" r:id="rId20"/>
    <sheet name="{C} L0a" sheetId="19" r:id="rId21"/>
    <sheet name="{C} L0b" sheetId="20" r:id="rId22"/>
    <sheet name="{C} Q0" sheetId="22" r:id="rId23"/>
    <sheet name="{C} Q0_ii" sheetId="23" r:id="rId24"/>
    <sheet name="{C} Q0_iii" sheetId="24" r:id="rId25"/>
    <sheet name="{C} Q0_iv" sheetId="25" r:id="rId26"/>
    <sheet name="{C} Q1" sheetId="26" r:id="rId27"/>
    <sheet name="{C} Q2" sheetId="27" r:id="rId28"/>
    <sheet name="{C} M0" sheetId="28" r:id="rId29"/>
    <sheet name="{C} M0_ii" sheetId="29" r:id="rId30"/>
    <sheet name="{C} M0_iii" sheetId="30" r:id="rId31"/>
    <sheet name="{C} M0_iv" sheetId="31" r:id="rId32"/>
    <sheet name="{C} M1" sheetId="32" r:id="rId33"/>
    <sheet name="{C} M2" sheetId="33" r:id="rId34"/>
    <sheet name="{C} G0" sheetId="34" r:id="rId35"/>
    <sheet name="{C} G0_ii" sheetId="35" r:id="rId36"/>
    <sheet name="{C} G0_iii" sheetId="36" r:id="rId37"/>
    <sheet name="{C} G0_iv" sheetId="37" r:id="rId38"/>
    <sheet name="{C} G1" sheetId="38" r:id="rId39"/>
    <sheet name="{C} G2" sheetId="39" r:id="rId40"/>
  </sheets>
  <definedNames>
    <definedName name="_xlnm._FilterDatabase" localSheetId="5" hidden="1">'{V} Q0'!$A$1:$F$61</definedName>
    <definedName name="_xlnm._FilterDatabase" localSheetId="4" hidden="1">'{V} L0'!$A$1:$F$59</definedName>
    <definedName name="_xlnm._FilterDatabase" localSheetId="6" hidden="1">'{V} M0'!$A$1:$F$55</definedName>
    <definedName name="_xlnm._FilterDatabase" localSheetId="7" hidden="1">'{V} G0'!$A$1:$F$41</definedName>
    <definedName name="_xlnm._FilterDatabase" localSheetId="8" hidden="1">'{V} InterModel'!$A$1:$X$155</definedName>
    <definedName name="_xlnm._FilterDatabase" localSheetId="3" hidden="1">'{V} L3'!$A$1:$F$67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X3" i="41" l="1"/>
  <c r="X4" i="41"/>
  <c r="X5" i="41"/>
  <c r="X6" i="41"/>
  <c r="X7" i="41"/>
  <c r="X8" i="41"/>
  <c r="X9" i="41"/>
  <c r="X10" i="41"/>
  <c r="X11" i="41"/>
  <c r="X12" i="41"/>
  <c r="X13" i="41"/>
  <c r="X14" i="41"/>
  <c r="X15" i="41"/>
  <c r="X16" i="41"/>
  <c r="X17" i="41"/>
  <c r="X18" i="41"/>
  <c r="X19" i="41"/>
  <c r="X20" i="41"/>
  <c r="X21" i="41"/>
  <c r="X22" i="41"/>
  <c r="X23" i="41"/>
  <c r="X24" i="41"/>
  <c r="X25" i="41"/>
  <c r="X26" i="41"/>
  <c r="X27" i="41"/>
  <c r="X28" i="41"/>
  <c r="X29" i="41"/>
  <c r="X30" i="41"/>
  <c r="X31" i="41"/>
  <c r="X32" i="41"/>
  <c r="X33" i="41"/>
  <c r="X34" i="41"/>
  <c r="X35" i="41"/>
  <c r="X36" i="41"/>
  <c r="X37" i="41"/>
  <c r="X38" i="41"/>
  <c r="X39" i="41"/>
  <c r="X40" i="41"/>
  <c r="X41" i="41"/>
  <c r="X42" i="41"/>
  <c r="X43" i="41"/>
  <c r="X44" i="41"/>
  <c r="X45" i="41"/>
  <c r="X46" i="41"/>
  <c r="X47" i="41"/>
  <c r="X48" i="41"/>
  <c r="X49" i="41"/>
  <c r="X50" i="41"/>
  <c r="X51" i="41"/>
  <c r="X52" i="41"/>
  <c r="X53" i="41"/>
  <c r="X54" i="41"/>
  <c r="X55" i="41"/>
  <c r="X56" i="41"/>
  <c r="X57" i="41"/>
  <c r="X58" i="41"/>
  <c r="X59" i="41"/>
  <c r="X60" i="41"/>
  <c r="X61" i="41"/>
  <c r="X62" i="41"/>
  <c r="X63" i="41"/>
  <c r="X64" i="41"/>
  <c r="X65" i="41"/>
  <c r="X66" i="41"/>
  <c r="X67" i="41"/>
  <c r="X68" i="41"/>
  <c r="X69" i="41"/>
  <c r="X70" i="41"/>
  <c r="X71" i="41"/>
  <c r="X72" i="41"/>
  <c r="X73" i="41"/>
  <c r="X74" i="41"/>
  <c r="X75" i="41"/>
  <c r="X76" i="41"/>
  <c r="X77" i="41"/>
  <c r="X78" i="41"/>
  <c r="X79" i="41"/>
  <c r="X80" i="41"/>
  <c r="X81" i="41"/>
  <c r="X82" i="41"/>
  <c r="X83" i="41"/>
  <c r="X84" i="41"/>
  <c r="X85" i="41"/>
  <c r="X86" i="41"/>
  <c r="X87" i="41"/>
  <c r="X88" i="41"/>
  <c r="X89" i="41"/>
  <c r="X90" i="41"/>
  <c r="X91" i="41"/>
  <c r="X92" i="41"/>
  <c r="X93" i="41"/>
  <c r="X94" i="41"/>
  <c r="X95" i="41"/>
  <c r="X96" i="41"/>
  <c r="X97" i="41"/>
  <c r="X98" i="41"/>
  <c r="X99" i="41"/>
  <c r="X100" i="41"/>
  <c r="X101" i="41"/>
  <c r="X102" i="41"/>
  <c r="X103" i="41"/>
  <c r="X104" i="41"/>
  <c r="X105" i="41"/>
  <c r="X106" i="41"/>
  <c r="X107" i="41"/>
  <c r="X108" i="41"/>
  <c r="X109" i="41"/>
  <c r="X110" i="41"/>
  <c r="X111" i="41"/>
  <c r="X112" i="41"/>
  <c r="X113" i="41"/>
  <c r="X114" i="41"/>
  <c r="X115" i="41"/>
  <c r="X116" i="41"/>
  <c r="X117" i="41"/>
  <c r="X118" i="41"/>
  <c r="X119" i="41"/>
  <c r="X120" i="41"/>
  <c r="X121" i="41"/>
  <c r="X122" i="41"/>
  <c r="X123" i="41"/>
  <c r="X124" i="41"/>
  <c r="X125" i="41"/>
  <c r="X126" i="41"/>
  <c r="X127" i="41"/>
  <c r="X128" i="41"/>
  <c r="X129" i="41"/>
  <c r="X130" i="41"/>
  <c r="X131" i="41"/>
  <c r="X132" i="41"/>
  <c r="X133" i="41"/>
  <c r="X134" i="41"/>
  <c r="X135" i="41"/>
  <c r="X136" i="41"/>
  <c r="X137" i="41"/>
  <c r="X138" i="41"/>
  <c r="X139" i="41"/>
  <c r="X140" i="41"/>
  <c r="X141" i="41"/>
  <c r="X142" i="41"/>
  <c r="X143" i="41"/>
  <c r="X144" i="41"/>
  <c r="X145" i="41"/>
  <c r="X146" i="41"/>
  <c r="X147" i="41"/>
  <c r="X148" i="41"/>
  <c r="X149" i="41"/>
  <c r="X150" i="41"/>
  <c r="X151" i="41"/>
  <c r="X152" i="41"/>
  <c r="X153" i="41"/>
  <c r="X154" i="41"/>
  <c r="X155" i="41"/>
  <c r="S3" i="41"/>
  <c r="S4" i="41"/>
  <c r="S5" i="41"/>
  <c r="S6" i="41"/>
  <c r="S7" i="41"/>
  <c r="S8" i="41"/>
  <c r="S9" i="41"/>
  <c r="S10" i="41"/>
  <c r="S11" i="41"/>
  <c r="S12" i="41"/>
  <c r="S13" i="41"/>
  <c r="S14" i="41"/>
  <c r="S15" i="41"/>
  <c r="S16" i="41"/>
  <c r="S17" i="41"/>
  <c r="S18" i="41"/>
  <c r="S19" i="41"/>
  <c r="S20" i="41"/>
  <c r="S21" i="41"/>
  <c r="S22" i="41"/>
  <c r="S23" i="41"/>
  <c r="S24" i="41"/>
  <c r="S25" i="41"/>
  <c r="S26" i="41"/>
  <c r="S27" i="41"/>
  <c r="S28" i="41"/>
  <c r="S29" i="41"/>
  <c r="S30" i="41"/>
  <c r="S31" i="41"/>
  <c r="S32" i="41"/>
  <c r="S33" i="41"/>
  <c r="S34" i="41"/>
  <c r="S35" i="41"/>
  <c r="S36" i="41"/>
  <c r="S37" i="41"/>
  <c r="S38" i="41"/>
  <c r="S39" i="41"/>
  <c r="S40" i="41"/>
  <c r="S41" i="41"/>
  <c r="S42" i="41"/>
  <c r="S43" i="41"/>
  <c r="S44" i="41"/>
  <c r="S45" i="41"/>
  <c r="S46" i="41"/>
  <c r="S47" i="41"/>
  <c r="S48" i="41"/>
  <c r="S49" i="41"/>
  <c r="S50" i="41"/>
  <c r="S51" i="41"/>
  <c r="S52" i="41"/>
  <c r="S53" i="41"/>
  <c r="S54" i="41"/>
  <c r="S55" i="41"/>
  <c r="S56" i="41"/>
  <c r="S57" i="41"/>
  <c r="S58" i="41"/>
  <c r="S59" i="41"/>
  <c r="S60" i="41"/>
  <c r="S61" i="41"/>
  <c r="S62" i="41"/>
  <c r="S63" i="41"/>
  <c r="S64" i="41"/>
  <c r="S65" i="41"/>
  <c r="S66" i="41"/>
  <c r="S67" i="41"/>
  <c r="S68" i="41"/>
  <c r="S69" i="41"/>
  <c r="S70" i="41"/>
  <c r="S71" i="41"/>
  <c r="S72" i="41"/>
  <c r="S73" i="41"/>
  <c r="S74" i="41"/>
  <c r="S75" i="41"/>
  <c r="S76" i="41"/>
  <c r="S77" i="41"/>
  <c r="S78" i="41"/>
  <c r="S79" i="41"/>
  <c r="S80" i="41"/>
  <c r="S81" i="41"/>
  <c r="S82" i="41"/>
  <c r="S83" i="41"/>
  <c r="S84" i="41"/>
  <c r="S85" i="41"/>
  <c r="S86" i="41"/>
  <c r="S87" i="41"/>
  <c r="S88" i="41"/>
  <c r="S89" i="41"/>
  <c r="S90" i="41"/>
  <c r="S91" i="41"/>
  <c r="S92" i="41"/>
  <c r="S93" i="41"/>
  <c r="S94" i="41"/>
  <c r="S95" i="41"/>
  <c r="S96" i="41"/>
  <c r="S97" i="41"/>
  <c r="S98" i="41"/>
  <c r="S99" i="41"/>
  <c r="S100" i="41"/>
  <c r="S101" i="41"/>
  <c r="S102" i="41"/>
  <c r="S103" i="41"/>
  <c r="S104" i="41"/>
  <c r="S105" i="41"/>
  <c r="S106" i="41"/>
  <c r="S107" i="41"/>
  <c r="S108" i="41"/>
  <c r="S109" i="41"/>
  <c r="S110" i="41"/>
  <c r="S111" i="41"/>
  <c r="S112" i="41"/>
  <c r="S113" i="41"/>
  <c r="S114" i="41"/>
  <c r="S115" i="41"/>
  <c r="S116" i="41"/>
  <c r="S117" i="41"/>
  <c r="S118" i="41"/>
  <c r="S119" i="41"/>
  <c r="S120" i="41"/>
  <c r="S121" i="41"/>
  <c r="S122" i="41"/>
  <c r="S123" i="41"/>
  <c r="S124" i="41"/>
  <c r="S125" i="41"/>
  <c r="S126" i="41"/>
  <c r="S127" i="41"/>
  <c r="S128" i="41"/>
  <c r="S129" i="41"/>
  <c r="S130" i="41"/>
  <c r="S131" i="41"/>
  <c r="S132" i="41"/>
  <c r="S133" i="41"/>
  <c r="S134" i="41"/>
  <c r="S135" i="41"/>
  <c r="S136" i="41"/>
  <c r="S137" i="41"/>
  <c r="S138" i="41"/>
  <c r="S139" i="41"/>
  <c r="S140" i="41"/>
  <c r="S141" i="41"/>
  <c r="S142" i="41"/>
  <c r="S143" i="41"/>
  <c r="S144" i="41"/>
  <c r="S145" i="41"/>
  <c r="S146" i="41"/>
  <c r="S147" i="41"/>
  <c r="S148" i="41"/>
  <c r="S149" i="41"/>
  <c r="S150" i="41"/>
  <c r="S151" i="41"/>
  <c r="S152" i="41"/>
  <c r="S153" i="41"/>
  <c r="S154" i="41"/>
  <c r="S155" i="41"/>
  <c r="N3" i="41"/>
  <c r="N4" i="41"/>
  <c r="N5" i="41"/>
  <c r="N6" i="41"/>
  <c r="N7" i="41"/>
  <c r="N8" i="41"/>
  <c r="N9" i="41"/>
  <c r="N10" i="41"/>
  <c r="N11" i="41"/>
  <c r="N12" i="41"/>
  <c r="N13" i="41"/>
  <c r="N14" i="41"/>
  <c r="N15" i="41"/>
  <c r="N16" i="41"/>
  <c r="N17" i="41"/>
  <c r="N18" i="41"/>
  <c r="N19" i="41"/>
  <c r="N20" i="41"/>
  <c r="N21" i="41"/>
  <c r="N22" i="41"/>
  <c r="N23" i="41"/>
  <c r="N24" i="41"/>
  <c r="N25" i="41"/>
  <c r="N26" i="41"/>
  <c r="N27" i="41"/>
  <c r="N28" i="41"/>
  <c r="N29" i="41"/>
  <c r="N30" i="41"/>
  <c r="N31" i="41"/>
  <c r="N32" i="41"/>
  <c r="N33" i="41"/>
  <c r="N34" i="41"/>
  <c r="N35" i="41"/>
  <c r="N36" i="41"/>
  <c r="N37" i="41"/>
  <c r="N38" i="41"/>
  <c r="N39" i="41"/>
  <c r="N40" i="41"/>
  <c r="N41" i="41"/>
  <c r="N42" i="41"/>
  <c r="N43" i="41"/>
  <c r="N44" i="41"/>
  <c r="N45" i="41"/>
  <c r="N46" i="41"/>
  <c r="N47" i="41"/>
  <c r="N48" i="41"/>
  <c r="N49" i="41"/>
  <c r="N50" i="41"/>
  <c r="N51" i="41"/>
  <c r="N52" i="41"/>
  <c r="N53" i="41"/>
  <c r="N54" i="41"/>
  <c r="N55" i="41"/>
  <c r="N56" i="41"/>
  <c r="N57" i="41"/>
  <c r="N58" i="41"/>
  <c r="N59" i="41"/>
  <c r="N60" i="41"/>
  <c r="N61" i="41"/>
  <c r="N62" i="41"/>
  <c r="N63" i="41"/>
  <c r="N64" i="41"/>
  <c r="N65" i="41"/>
  <c r="N66" i="41"/>
  <c r="N67" i="41"/>
  <c r="N68" i="41"/>
  <c r="N69" i="41"/>
  <c r="N70" i="41"/>
  <c r="N71" i="41"/>
  <c r="N72" i="41"/>
  <c r="N73" i="41"/>
  <c r="N74" i="41"/>
  <c r="N75" i="41"/>
  <c r="N76" i="41"/>
  <c r="N77" i="41"/>
  <c r="N78" i="41"/>
  <c r="N79" i="41"/>
  <c r="N80" i="41"/>
  <c r="N81" i="41"/>
  <c r="N82" i="41"/>
  <c r="N83" i="41"/>
  <c r="N84" i="41"/>
  <c r="N85" i="41"/>
  <c r="N86" i="41"/>
  <c r="N87" i="41"/>
  <c r="N88" i="41"/>
  <c r="N89" i="41"/>
  <c r="N90" i="41"/>
  <c r="N91" i="41"/>
  <c r="N92" i="41"/>
  <c r="N93" i="41"/>
  <c r="N94" i="41"/>
  <c r="N95" i="41"/>
  <c r="N96" i="41"/>
  <c r="N97" i="41"/>
  <c r="N98" i="41"/>
  <c r="N99" i="41"/>
  <c r="N100" i="41"/>
  <c r="N101" i="41"/>
  <c r="N102" i="41"/>
  <c r="N103" i="41"/>
  <c r="N104" i="41"/>
  <c r="N105" i="41"/>
  <c r="N106" i="41"/>
  <c r="N107" i="41"/>
  <c r="N108" i="41"/>
  <c r="N109" i="41"/>
  <c r="N110" i="41"/>
  <c r="N111" i="41"/>
  <c r="N112" i="41"/>
  <c r="N113" i="41"/>
  <c r="N114" i="41"/>
  <c r="N115" i="41"/>
  <c r="N116" i="41"/>
  <c r="N117" i="41"/>
  <c r="N118" i="41"/>
  <c r="N119" i="41"/>
  <c r="N120" i="41"/>
  <c r="N121" i="41"/>
  <c r="N122" i="41"/>
  <c r="N123" i="41"/>
  <c r="N124" i="41"/>
  <c r="N125" i="41"/>
  <c r="N126" i="41"/>
  <c r="N127" i="41"/>
  <c r="N128" i="41"/>
  <c r="N129" i="41"/>
  <c r="N130" i="41"/>
  <c r="N131" i="41"/>
  <c r="N132" i="41"/>
  <c r="N133" i="41"/>
  <c r="N134" i="41"/>
  <c r="N135" i="41"/>
  <c r="N136" i="41"/>
  <c r="N137" i="41"/>
  <c r="N138" i="41"/>
  <c r="N139" i="41"/>
  <c r="N140" i="41"/>
  <c r="N141" i="41"/>
  <c r="N142" i="41"/>
  <c r="N143" i="41"/>
  <c r="N144" i="41"/>
  <c r="N145" i="41"/>
  <c r="N146" i="41"/>
  <c r="N147" i="41"/>
  <c r="N148" i="41"/>
  <c r="N149" i="41"/>
  <c r="N150" i="41"/>
  <c r="N151" i="41"/>
  <c r="N152" i="41"/>
  <c r="N153" i="41"/>
  <c r="N154" i="41"/>
  <c r="N155" i="41"/>
  <c r="I3" i="41"/>
  <c r="I4" i="41"/>
  <c r="I5" i="41"/>
  <c r="I6" i="41"/>
  <c r="I7" i="41"/>
  <c r="I8" i="41"/>
  <c r="I9" i="41"/>
  <c r="I10" i="41"/>
  <c r="I11" i="41"/>
  <c r="I12" i="41"/>
  <c r="I13" i="41"/>
  <c r="I14" i="41"/>
  <c r="I15" i="41"/>
  <c r="I16" i="41"/>
  <c r="I17" i="41"/>
  <c r="I18" i="41"/>
  <c r="I19" i="41"/>
  <c r="I20" i="41"/>
  <c r="I21" i="41"/>
  <c r="I22" i="41"/>
  <c r="I23" i="41"/>
  <c r="I24" i="41"/>
  <c r="I25" i="41"/>
  <c r="I26" i="41"/>
  <c r="I27" i="41"/>
  <c r="I28" i="41"/>
  <c r="I29" i="41"/>
  <c r="I30" i="41"/>
  <c r="I31" i="41"/>
  <c r="I32" i="41"/>
  <c r="I33" i="41"/>
  <c r="I34" i="41"/>
  <c r="I35" i="41"/>
  <c r="I36" i="41"/>
  <c r="I37" i="41"/>
  <c r="I38" i="41"/>
  <c r="I39" i="41"/>
  <c r="I40" i="41"/>
  <c r="I41" i="41"/>
  <c r="I42" i="41"/>
  <c r="I43" i="41"/>
  <c r="I44" i="41"/>
  <c r="I45" i="41"/>
  <c r="I46" i="41"/>
  <c r="I47" i="41"/>
  <c r="I48" i="41"/>
  <c r="I49" i="41"/>
  <c r="I50" i="41"/>
  <c r="I51" i="41"/>
  <c r="I52" i="41"/>
  <c r="I53" i="41"/>
  <c r="I54" i="41"/>
  <c r="I55" i="41"/>
  <c r="I56" i="41"/>
  <c r="I57" i="41"/>
  <c r="I58" i="41"/>
  <c r="I59" i="41"/>
  <c r="I60" i="41"/>
  <c r="I61" i="41"/>
  <c r="I62" i="41"/>
  <c r="I63" i="41"/>
  <c r="I64" i="41"/>
  <c r="I65" i="41"/>
  <c r="I66" i="41"/>
  <c r="I67" i="41"/>
  <c r="I68" i="41"/>
  <c r="I69" i="41"/>
  <c r="I70" i="41"/>
  <c r="I71" i="41"/>
  <c r="I72" i="41"/>
  <c r="I73" i="41"/>
  <c r="I74" i="41"/>
  <c r="I75" i="41"/>
  <c r="I76" i="41"/>
  <c r="I77" i="41"/>
  <c r="I78" i="41"/>
  <c r="I79" i="41"/>
  <c r="I80" i="41"/>
  <c r="I81" i="41"/>
  <c r="I82" i="41"/>
  <c r="I83" i="41"/>
  <c r="I84" i="41"/>
  <c r="I85" i="41"/>
  <c r="I86" i="41"/>
  <c r="I87" i="41"/>
  <c r="I88" i="41"/>
  <c r="I89" i="41"/>
  <c r="I90" i="41"/>
  <c r="I91" i="41"/>
  <c r="I92" i="41"/>
  <c r="I93" i="41"/>
  <c r="I94" i="41"/>
  <c r="I95" i="41"/>
  <c r="I96" i="41"/>
  <c r="I97" i="41"/>
  <c r="I98" i="41"/>
  <c r="I99" i="41"/>
  <c r="I100" i="41"/>
  <c r="I101" i="41"/>
  <c r="I102" i="41"/>
  <c r="I103" i="41"/>
  <c r="I104" i="41"/>
  <c r="I105" i="41"/>
  <c r="I106" i="41"/>
  <c r="I107" i="41"/>
  <c r="I108" i="41"/>
  <c r="I109" i="41"/>
  <c r="I110" i="41"/>
  <c r="I111" i="41"/>
  <c r="I112" i="41"/>
  <c r="I113" i="41"/>
  <c r="I114" i="41"/>
  <c r="I115" i="41"/>
  <c r="I116" i="41"/>
  <c r="I117" i="41"/>
  <c r="I118" i="41"/>
  <c r="I119" i="41"/>
  <c r="I120" i="41"/>
  <c r="I121" i="41"/>
  <c r="I122" i="41"/>
  <c r="I123" i="41"/>
  <c r="I124" i="41"/>
  <c r="I125" i="41"/>
  <c r="I126" i="41"/>
  <c r="I127" i="41"/>
  <c r="I128" i="41"/>
  <c r="I129" i="41"/>
  <c r="I130" i="41"/>
  <c r="I131" i="41"/>
  <c r="I132" i="41"/>
  <c r="I133" i="41"/>
  <c r="I134" i="41"/>
  <c r="I135" i="41"/>
  <c r="I136" i="41"/>
  <c r="I137" i="41"/>
  <c r="I138" i="41"/>
  <c r="I139" i="41"/>
  <c r="I140" i="41"/>
  <c r="I141" i="41"/>
  <c r="I142" i="41"/>
  <c r="I143" i="41"/>
  <c r="I144" i="41"/>
  <c r="I145" i="41"/>
  <c r="I146" i="41"/>
  <c r="I147" i="41"/>
  <c r="I148" i="41"/>
  <c r="I149" i="41"/>
  <c r="I150" i="41"/>
  <c r="I151" i="41"/>
  <c r="I152" i="41"/>
  <c r="I153" i="41"/>
  <c r="I154" i="41"/>
  <c r="I155" i="41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W79" i="9"/>
  <c r="X79" i="9"/>
  <c r="Y79" i="9"/>
  <c r="Z79" i="9"/>
  <c r="AA79" i="9"/>
  <c r="AB79" i="9"/>
  <c r="AC79" i="9"/>
  <c r="AD79" i="9"/>
  <c r="AE79" i="9"/>
  <c r="D79" i="9"/>
  <c r="A83" i="2"/>
  <c r="A84" i="2"/>
  <c r="A85" i="2"/>
  <c r="A86" i="2"/>
  <c r="A87" i="2"/>
  <c r="A88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F30" i="39"/>
  <c r="F32" i="38"/>
  <c r="F33" i="37"/>
  <c r="F41" i="36"/>
  <c r="F34" i="35"/>
  <c r="F26" i="34"/>
  <c r="F41" i="33"/>
  <c r="F36" i="32"/>
  <c r="F42" i="31"/>
  <c r="F36" i="30"/>
  <c r="F43" i="29"/>
  <c r="F46" i="28"/>
  <c r="F31" i="27"/>
  <c r="F24" i="26"/>
  <c r="F28" i="25"/>
  <c r="F37" i="24"/>
  <c r="F29" i="23"/>
  <c r="F42" i="22"/>
  <c r="F47" i="20"/>
  <c r="F46" i="19"/>
  <c r="F43" i="21"/>
  <c r="F38" i="18"/>
  <c r="F128" i="17"/>
  <c r="F36" i="16"/>
  <c r="F41" i="15"/>
  <c r="F39" i="14"/>
  <c r="F45" i="13"/>
  <c r="F44" i="13"/>
  <c r="F41" i="12"/>
  <c r="F36" i="11"/>
  <c r="Z3" i="41"/>
  <c r="AA3" i="41"/>
  <c r="AB3" i="41"/>
  <c r="AC3" i="41"/>
  <c r="AD3" i="41"/>
  <c r="AE3" i="41"/>
  <c r="AF3" i="41"/>
  <c r="AG3" i="41"/>
  <c r="AH3" i="41"/>
  <c r="AI3" i="41"/>
  <c r="AJ3" i="41"/>
  <c r="AK3" i="41"/>
  <c r="AM3" i="41"/>
  <c r="AN3" i="41"/>
  <c r="AO3" i="41"/>
  <c r="AP3" i="41"/>
  <c r="AQ3" i="41"/>
  <c r="AR3" i="41"/>
  <c r="AS3" i="41"/>
  <c r="AT3" i="41"/>
  <c r="AU3" i="41"/>
  <c r="AV3" i="41"/>
  <c r="AW3" i="41"/>
  <c r="AX3" i="41"/>
  <c r="Z4" i="41"/>
  <c r="AA4" i="41"/>
  <c r="AB4" i="41"/>
  <c r="AC4" i="41"/>
  <c r="AD4" i="41"/>
  <c r="AE4" i="41"/>
  <c r="AF4" i="41"/>
  <c r="AG4" i="41"/>
  <c r="AH4" i="41"/>
  <c r="AI4" i="41"/>
  <c r="AJ4" i="41"/>
  <c r="AK4" i="41"/>
  <c r="AM4" i="41"/>
  <c r="AN4" i="41"/>
  <c r="AO4" i="41"/>
  <c r="AP4" i="41"/>
  <c r="AQ4" i="41"/>
  <c r="AR4" i="41"/>
  <c r="AS4" i="41"/>
  <c r="AT4" i="41"/>
  <c r="AU4" i="41"/>
  <c r="AV4" i="41"/>
  <c r="AW4" i="41"/>
  <c r="AX4" i="41"/>
  <c r="Z5" i="41"/>
  <c r="AA5" i="41"/>
  <c r="AB5" i="41"/>
  <c r="AC5" i="41"/>
  <c r="AD5" i="41"/>
  <c r="AE5" i="41"/>
  <c r="AF5" i="41"/>
  <c r="AG5" i="41"/>
  <c r="AH5" i="41"/>
  <c r="AI5" i="41"/>
  <c r="AJ5" i="41"/>
  <c r="AK5" i="41"/>
  <c r="AM5" i="41"/>
  <c r="AN5" i="41"/>
  <c r="AO5" i="41"/>
  <c r="AP5" i="41"/>
  <c r="AQ5" i="41"/>
  <c r="AR5" i="41"/>
  <c r="AS5" i="41"/>
  <c r="AT5" i="41"/>
  <c r="AU5" i="41"/>
  <c r="AV5" i="41"/>
  <c r="AW5" i="41"/>
  <c r="AX5" i="41"/>
  <c r="Z6" i="41"/>
  <c r="AA6" i="41"/>
  <c r="AB6" i="41"/>
  <c r="AC6" i="41"/>
  <c r="AD6" i="41"/>
  <c r="AE6" i="41"/>
  <c r="AF6" i="41"/>
  <c r="AG6" i="41"/>
  <c r="AH6" i="41"/>
  <c r="AI6" i="41"/>
  <c r="AJ6" i="41"/>
  <c r="AK6" i="41"/>
  <c r="AM6" i="41"/>
  <c r="AN6" i="41"/>
  <c r="AO6" i="41"/>
  <c r="AP6" i="41"/>
  <c r="AQ6" i="41"/>
  <c r="AR6" i="41"/>
  <c r="AS6" i="41"/>
  <c r="AT6" i="41"/>
  <c r="AU6" i="41"/>
  <c r="AV6" i="41"/>
  <c r="AW6" i="41"/>
  <c r="AX6" i="41"/>
  <c r="Z7" i="41"/>
  <c r="AA7" i="41"/>
  <c r="AB7" i="41"/>
  <c r="AC7" i="41"/>
  <c r="AD7" i="41"/>
  <c r="AE7" i="41"/>
  <c r="AF7" i="41"/>
  <c r="AG7" i="41"/>
  <c r="AH7" i="41"/>
  <c r="AI7" i="41"/>
  <c r="AJ7" i="41"/>
  <c r="AK7" i="41"/>
  <c r="AM7" i="41"/>
  <c r="AN7" i="41"/>
  <c r="AO7" i="41"/>
  <c r="AP7" i="41"/>
  <c r="AQ7" i="41"/>
  <c r="AR7" i="41"/>
  <c r="AS7" i="41"/>
  <c r="AT7" i="41"/>
  <c r="AU7" i="41"/>
  <c r="AV7" i="41"/>
  <c r="AW7" i="41"/>
  <c r="AX7" i="41"/>
  <c r="Z8" i="41"/>
  <c r="AA8" i="41"/>
  <c r="AB8" i="41"/>
  <c r="AC8" i="41"/>
  <c r="AD8" i="41"/>
  <c r="AE8" i="41"/>
  <c r="AF8" i="41"/>
  <c r="AG8" i="41"/>
  <c r="AH8" i="41"/>
  <c r="AI8" i="41"/>
  <c r="AJ8" i="41"/>
  <c r="AK8" i="41"/>
  <c r="AM8" i="41"/>
  <c r="AN8" i="41"/>
  <c r="AO8" i="41"/>
  <c r="AP8" i="41"/>
  <c r="AQ8" i="41"/>
  <c r="AR8" i="41"/>
  <c r="AS8" i="41"/>
  <c r="AT8" i="41"/>
  <c r="AU8" i="41"/>
  <c r="AV8" i="41"/>
  <c r="AW8" i="41"/>
  <c r="AX8" i="41"/>
  <c r="Z9" i="41"/>
  <c r="AA9" i="41"/>
  <c r="AB9" i="41"/>
  <c r="AC9" i="41"/>
  <c r="AD9" i="41"/>
  <c r="AE9" i="41"/>
  <c r="AF9" i="41"/>
  <c r="AG9" i="41"/>
  <c r="AH9" i="41"/>
  <c r="AI9" i="41"/>
  <c r="AJ9" i="41"/>
  <c r="AK9" i="41"/>
  <c r="AM9" i="41"/>
  <c r="AN9" i="41"/>
  <c r="AO9" i="41"/>
  <c r="AP9" i="41"/>
  <c r="AQ9" i="41"/>
  <c r="AR9" i="41"/>
  <c r="AS9" i="41"/>
  <c r="AT9" i="41"/>
  <c r="AU9" i="41"/>
  <c r="AV9" i="41"/>
  <c r="AW9" i="41"/>
  <c r="AX9" i="41"/>
  <c r="Z10" i="41"/>
  <c r="AA10" i="41"/>
  <c r="AB10" i="41"/>
  <c r="AC10" i="41"/>
  <c r="AD10" i="41"/>
  <c r="AE10" i="41"/>
  <c r="AF10" i="41"/>
  <c r="AG10" i="41"/>
  <c r="AH10" i="41"/>
  <c r="AI10" i="41"/>
  <c r="AJ10" i="41"/>
  <c r="AK10" i="41"/>
  <c r="AM10" i="41"/>
  <c r="AN10" i="41"/>
  <c r="AO10" i="41"/>
  <c r="AP10" i="41"/>
  <c r="AQ10" i="41"/>
  <c r="AR10" i="41"/>
  <c r="AS10" i="41"/>
  <c r="AT10" i="41"/>
  <c r="AU10" i="41"/>
  <c r="AV10" i="41"/>
  <c r="AW10" i="41"/>
  <c r="AX10" i="41"/>
  <c r="Z11" i="41"/>
  <c r="AA11" i="41"/>
  <c r="AB11" i="41"/>
  <c r="AC11" i="41"/>
  <c r="AD11" i="41"/>
  <c r="AE11" i="41"/>
  <c r="AF11" i="41"/>
  <c r="AG11" i="41"/>
  <c r="AH11" i="41"/>
  <c r="AI11" i="41"/>
  <c r="AJ11" i="41"/>
  <c r="AK11" i="41"/>
  <c r="AM11" i="41"/>
  <c r="AN11" i="41"/>
  <c r="AO11" i="41"/>
  <c r="AP11" i="41"/>
  <c r="AQ11" i="41"/>
  <c r="AR11" i="41"/>
  <c r="AS11" i="41"/>
  <c r="AT11" i="41"/>
  <c r="AU11" i="41"/>
  <c r="AV11" i="41"/>
  <c r="AW11" i="41"/>
  <c r="AX11" i="41"/>
  <c r="Z12" i="41"/>
  <c r="AA12" i="41"/>
  <c r="AB12" i="41"/>
  <c r="AC12" i="41"/>
  <c r="AD12" i="41"/>
  <c r="AE12" i="41"/>
  <c r="AF12" i="41"/>
  <c r="AG12" i="41"/>
  <c r="AH12" i="41"/>
  <c r="AI12" i="41"/>
  <c r="AJ12" i="41"/>
  <c r="AK12" i="41"/>
  <c r="AM12" i="41"/>
  <c r="AN12" i="41"/>
  <c r="AO12" i="41"/>
  <c r="AP12" i="41"/>
  <c r="AQ12" i="41"/>
  <c r="AR12" i="41"/>
  <c r="AS12" i="41"/>
  <c r="AT12" i="41"/>
  <c r="AU12" i="41"/>
  <c r="AV12" i="41"/>
  <c r="AW12" i="41"/>
  <c r="AX12" i="41"/>
  <c r="Z13" i="41"/>
  <c r="AA13" i="41"/>
  <c r="AB13" i="41"/>
  <c r="AC13" i="41"/>
  <c r="AD13" i="41"/>
  <c r="AE13" i="41"/>
  <c r="AF13" i="41"/>
  <c r="AG13" i="41"/>
  <c r="AH13" i="41"/>
  <c r="AI13" i="41"/>
  <c r="AJ13" i="41"/>
  <c r="AK13" i="41"/>
  <c r="AM13" i="41"/>
  <c r="AN13" i="41"/>
  <c r="AO13" i="41"/>
  <c r="AP13" i="41"/>
  <c r="AQ13" i="41"/>
  <c r="AR13" i="41"/>
  <c r="AS13" i="41"/>
  <c r="AT13" i="41"/>
  <c r="AU13" i="41"/>
  <c r="AV13" i="41"/>
  <c r="AW13" i="41"/>
  <c r="AX13" i="41"/>
  <c r="Z14" i="41"/>
  <c r="AA14" i="41"/>
  <c r="AB14" i="41"/>
  <c r="AC14" i="41"/>
  <c r="AD14" i="41"/>
  <c r="AE14" i="41"/>
  <c r="AF14" i="41"/>
  <c r="AG14" i="41"/>
  <c r="AH14" i="41"/>
  <c r="AI14" i="41"/>
  <c r="AJ14" i="41"/>
  <c r="AK14" i="41"/>
  <c r="AM14" i="41"/>
  <c r="AN14" i="41"/>
  <c r="AO14" i="41"/>
  <c r="AP14" i="41"/>
  <c r="AQ14" i="41"/>
  <c r="AR14" i="41"/>
  <c r="AS14" i="41"/>
  <c r="AT14" i="41"/>
  <c r="AU14" i="41"/>
  <c r="AV14" i="41"/>
  <c r="AW14" i="41"/>
  <c r="AX14" i="41"/>
  <c r="Z15" i="41"/>
  <c r="AA15" i="41"/>
  <c r="AB15" i="41"/>
  <c r="AC15" i="41"/>
  <c r="AD15" i="41"/>
  <c r="AE15" i="41"/>
  <c r="AF15" i="41"/>
  <c r="AG15" i="41"/>
  <c r="AH15" i="41"/>
  <c r="AI15" i="41"/>
  <c r="AJ15" i="41"/>
  <c r="AK15" i="41"/>
  <c r="AM15" i="41"/>
  <c r="AN15" i="41"/>
  <c r="AO15" i="41"/>
  <c r="AP15" i="41"/>
  <c r="AQ15" i="41"/>
  <c r="AR15" i="41"/>
  <c r="AS15" i="41"/>
  <c r="AT15" i="41"/>
  <c r="AU15" i="41"/>
  <c r="AV15" i="41"/>
  <c r="AW15" i="41"/>
  <c r="AX15" i="41"/>
  <c r="Z16" i="41"/>
  <c r="AA16" i="41"/>
  <c r="AB16" i="41"/>
  <c r="AC16" i="41"/>
  <c r="AD16" i="41"/>
  <c r="AE16" i="41"/>
  <c r="AF16" i="41"/>
  <c r="AG16" i="41"/>
  <c r="AH16" i="41"/>
  <c r="AI16" i="41"/>
  <c r="AJ16" i="41"/>
  <c r="AK16" i="41"/>
  <c r="AM16" i="41"/>
  <c r="AN16" i="41"/>
  <c r="AO16" i="41"/>
  <c r="AP16" i="41"/>
  <c r="AQ16" i="41"/>
  <c r="AR16" i="41"/>
  <c r="AS16" i="41"/>
  <c r="AT16" i="41"/>
  <c r="AU16" i="41"/>
  <c r="AV16" i="41"/>
  <c r="AW16" i="41"/>
  <c r="AX16" i="41"/>
  <c r="Z17" i="41"/>
  <c r="AA17" i="41"/>
  <c r="AB17" i="41"/>
  <c r="AC17" i="41"/>
  <c r="AD17" i="41"/>
  <c r="AE17" i="41"/>
  <c r="AF17" i="41"/>
  <c r="AG17" i="41"/>
  <c r="AH17" i="41"/>
  <c r="AI17" i="41"/>
  <c r="AJ17" i="41"/>
  <c r="AK17" i="41"/>
  <c r="AM17" i="41"/>
  <c r="AN17" i="41"/>
  <c r="AO17" i="41"/>
  <c r="AP17" i="41"/>
  <c r="AQ17" i="41"/>
  <c r="AR17" i="41"/>
  <c r="AS17" i="41"/>
  <c r="AT17" i="41"/>
  <c r="AU17" i="41"/>
  <c r="AV17" i="41"/>
  <c r="AW17" i="41"/>
  <c r="AX17" i="41"/>
  <c r="Z18" i="41"/>
  <c r="AA18" i="41"/>
  <c r="AB18" i="41"/>
  <c r="AC18" i="41"/>
  <c r="AD18" i="41"/>
  <c r="AE18" i="41"/>
  <c r="AF18" i="41"/>
  <c r="AG18" i="41"/>
  <c r="AH18" i="41"/>
  <c r="AI18" i="41"/>
  <c r="AJ18" i="41"/>
  <c r="AK18" i="41"/>
  <c r="AM18" i="41"/>
  <c r="AN18" i="41"/>
  <c r="AO18" i="41"/>
  <c r="AP18" i="41"/>
  <c r="AQ18" i="41"/>
  <c r="AR18" i="41"/>
  <c r="AS18" i="41"/>
  <c r="AT18" i="41"/>
  <c r="AU18" i="41"/>
  <c r="AV18" i="41"/>
  <c r="AW18" i="41"/>
  <c r="AX18" i="41"/>
  <c r="Z19" i="41"/>
  <c r="AA19" i="41"/>
  <c r="AB19" i="41"/>
  <c r="AC19" i="41"/>
  <c r="AD19" i="41"/>
  <c r="AE19" i="41"/>
  <c r="AF19" i="41"/>
  <c r="AG19" i="41"/>
  <c r="AH19" i="41"/>
  <c r="AI19" i="41"/>
  <c r="AJ19" i="41"/>
  <c r="AK19" i="41"/>
  <c r="AM19" i="41"/>
  <c r="AN19" i="41"/>
  <c r="AO19" i="41"/>
  <c r="AP19" i="41"/>
  <c r="AQ19" i="41"/>
  <c r="AR19" i="41"/>
  <c r="AS19" i="41"/>
  <c r="AT19" i="41"/>
  <c r="AU19" i="41"/>
  <c r="AV19" i="41"/>
  <c r="AW19" i="41"/>
  <c r="AX19" i="41"/>
  <c r="Z20" i="41"/>
  <c r="AA20" i="41"/>
  <c r="AB20" i="41"/>
  <c r="AC20" i="41"/>
  <c r="AD20" i="41"/>
  <c r="AE20" i="41"/>
  <c r="AF20" i="41"/>
  <c r="AG20" i="41"/>
  <c r="AH20" i="41"/>
  <c r="AI20" i="41"/>
  <c r="AJ20" i="41"/>
  <c r="AK20" i="41"/>
  <c r="AM20" i="41"/>
  <c r="AN20" i="41"/>
  <c r="AO20" i="41"/>
  <c r="AP20" i="41"/>
  <c r="AQ20" i="41"/>
  <c r="AR20" i="41"/>
  <c r="AS20" i="41"/>
  <c r="AT20" i="41"/>
  <c r="AU20" i="41"/>
  <c r="AV20" i="41"/>
  <c r="AW20" i="41"/>
  <c r="AX20" i="41"/>
  <c r="Z21" i="41"/>
  <c r="AA21" i="41"/>
  <c r="AB21" i="41"/>
  <c r="AC21" i="41"/>
  <c r="AD21" i="41"/>
  <c r="AE21" i="41"/>
  <c r="AF21" i="41"/>
  <c r="AG21" i="41"/>
  <c r="AH21" i="41"/>
  <c r="AI21" i="41"/>
  <c r="AJ21" i="41"/>
  <c r="AK21" i="41"/>
  <c r="AM21" i="41"/>
  <c r="AN21" i="41"/>
  <c r="AO21" i="41"/>
  <c r="AP21" i="41"/>
  <c r="AQ21" i="41"/>
  <c r="AR21" i="41"/>
  <c r="AS21" i="41"/>
  <c r="AT21" i="41"/>
  <c r="AU21" i="41"/>
  <c r="AV21" i="41"/>
  <c r="AW21" i="41"/>
  <c r="AX21" i="41"/>
  <c r="Z22" i="41"/>
  <c r="AA22" i="41"/>
  <c r="AB22" i="41"/>
  <c r="AC22" i="41"/>
  <c r="AD22" i="41"/>
  <c r="AE22" i="41"/>
  <c r="AF22" i="41"/>
  <c r="AG22" i="41"/>
  <c r="AH22" i="41"/>
  <c r="AI22" i="41"/>
  <c r="AJ22" i="41"/>
  <c r="AK22" i="41"/>
  <c r="AM22" i="41"/>
  <c r="AN22" i="41"/>
  <c r="AO22" i="41"/>
  <c r="AP22" i="41"/>
  <c r="AQ22" i="41"/>
  <c r="AR22" i="41"/>
  <c r="AS22" i="41"/>
  <c r="AT22" i="41"/>
  <c r="AU22" i="41"/>
  <c r="AV22" i="41"/>
  <c r="AW22" i="41"/>
  <c r="AX22" i="41"/>
  <c r="Z23" i="41"/>
  <c r="AA23" i="41"/>
  <c r="AB23" i="41"/>
  <c r="AC23" i="41"/>
  <c r="AD23" i="41"/>
  <c r="AE23" i="41"/>
  <c r="AF23" i="41"/>
  <c r="AG23" i="41"/>
  <c r="AH23" i="41"/>
  <c r="AI23" i="41"/>
  <c r="AJ23" i="41"/>
  <c r="AK23" i="41"/>
  <c r="AM23" i="41"/>
  <c r="AN23" i="41"/>
  <c r="AO23" i="41"/>
  <c r="AP23" i="41"/>
  <c r="AQ23" i="41"/>
  <c r="AR23" i="41"/>
  <c r="AS23" i="41"/>
  <c r="AT23" i="41"/>
  <c r="AU23" i="41"/>
  <c r="AV23" i="41"/>
  <c r="AW23" i="41"/>
  <c r="AX23" i="41"/>
  <c r="Z24" i="41"/>
  <c r="AA24" i="41"/>
  <c r="AB24" i="41"/>
  <c r="AC24" i="41"/>
  <c r="AD24" i="41"/>
  <c r="AE24" i="41"/>
  <c r="AF24" i="41"/>
  <c r="AG24" i="41"/>
  <c r="AH24" i="41"/>
  <c r="AI24" i="41"/>
  <c r="AJ24" i="41"/>
  <c r="AK24" i="41"/>
  <c r="AM24" i="41"/>
  <c r="AN24" i="41"/>
  <c r="AO24" i="41"/>
  <c r="AP24" i="41"/>
  <c r="AQ24" i="41"/>
  <c r="AR24" i="41"/>
  <c r="AS24" i="41"/>
  <c r="AT24" i="41"/>
  <c r="AU24" i="41"/>
  <c r="AV24" i="41"/>
  <c r="AW24" i="41"/>
  <c r="AX24" i="41"/>
  <c r="Z25" i="41"/>
  <c r="AA25" i="41"/>
  <c r="AB25" i="41"/>
  <c r="AC25" i="41"/>
  <c r="AD25" i="41"/>
  <c r="AE25" i="41"/>
  <c r="AF25" i="41"/>
  <c r="AG25" i="41"/>
  <c r="AH25" i="41"/>
  <c r="AI25" i="41"/>
  <c r="AJ25" i="41"/>
  <c r="AK25" i="41"/>
  <c r="AM25" i="41"/>
  <c r="AN25" i="41"/>
  <c r="AO25" i="41"/>
  <c r="AP25" i="41"/>
  <c r="AQ25" i="41"/>
  <c r="AR25" i="41"/>
  <c r="AS25" i="41"/>
  <c r="AT25" i="41"/>
  <c r="AU25" i="41"/>
  <c r="AV25" i="41"/>
  <c r="AW25" i="41"/>
  <c r="AX25" i="41"/>
  <c r="Z26" i="41"/>
  <c r="AA26" i="41"/>
  <c r="AB26" i="41"/>
  <c r="AC26" i="41"/>
  <c r="AD26" i="41"/>
  <c r="AE26" i="41"/>
  <c r="AF26" i="41"/>
  <c r="AG26" i="41"/>
  <c r="AH26" i="41"/>
  <c r="AI26" i="41"/>
  <c r="AJ26" i="41"/>
  <c r="AK26" i="41"/>
  <c r="AM26" i="41"/>
  <c r="AN26" i="41"/>
  <c r="AO26" i="41"/>
  <c r="AP26" i="41"/>
  <c r="AQ26" i="41"/>
  <c r="AR26" i="41"/>
  <c r="AS26" i="41"/>
  <c r="AT26" i="41"/>
  <c r="AU26" i="41"/>
  <c r="AV26" i="41"/>
  <c r="AW26" i="41"/>
  <c r="AX26" i="41"/>
  <c r="Z27" i="41"/>
  <c r="AA27" i="41"/>
  <c r="AB27" i="41"/>
  <c r="AC27" i="41"/>
  <c r="AD27" i="41"/>
  <c r="AE27" i="41"/>
  <c r="AF27" i="41"/>
  <c r="AG27" i="41"/>
  <c r="AH27" i="41"/>
  <c r="AI27" i="41"/>
  <c r="AJ27" i="41"/>
  <c r="AK27" i="41"/>
  <c r="AM27" i="41"/>
  <c r="AN27" i="41"/>
  <c r="AO27" i="41"/>
  <c r="AP27" i="41"/>
  <c r="AQ27" i="41"/>
  <c r="AR27" i="41"/>
  <c r="AS27" i="41"/>
  <c r="AT27" i="41"/>
  <c r="AU27" i="41"/>
  <c r="AV27" i="41"/>
  <c r="AW27" i="41"/>
  <c r="AX27" i="41"/>
  <c r="Z28" i="41"/>
  <c r="AA28" i="41"/>
  <c r="AB28" i="41"/>
  <c r="AC28" i="41"/>
  <c r="AD28" i="41"/>
  <c r="AE28" i="41"/>
  <c r="AF28" i="41"/>
  <c r="AG28" i="41"/>
  <c r="AH28" i="41"/>
  <c r="AI28" i="41"/>
  <c r="AJ28" i="41"/>
  <c r="AK28" i="41"/>
  <c r="AM28" i="41"/>
  <c r="AN28" i="41"/>
  <c r="AO28" i="41"/>
  <c r="AP28" i="41"/>
  <c r="AQ28" i="41"/>
  <c r="AR28" i="41"/>
  <c r="AS28" i="41"/>
  <c r="AT28" i="41"/>
  <c r="AU28" i="41"/>
  <c r="AV28" i="41"/>
  <c r="AW28" i="41"/>
  <c r="AX28" i="41"/>
  <c r="Z29" i="41"/>
  <c r="AA29" i="41"/>
  <c r="AB29" i="41"/>
  <c r="AC29" i="41"/>
  <c r="AD29" i="41"/>
  <c r="AE29" i="41"/>
  <c r="AF29" i="41"/>
  <c r="AG29" i="41"/>
  <c r="AH29" i="41"/>
  <c r="AI29" i="41"/>
  <c r="AJ29" i="41"/>
  <c r="AK29" i="41"/>
  <c r="AM29" i="41"/>
  <c r="AN29" i="41"/>
  <c r="AO29" i="41"/>
  <c r="AP29" i="41"/>
  <c r="AQ29" i="41"/>
  <c r="AR29" i="41"/>
  <c r="AS29" i="41"/>
  <c r="AT29" i="41"/>
  <c r="AU29" i="41"/>
  <c r="AV29" i="41"/>
  <c r="AW29" i="41"/>
  <c r="AX29" i="41"/>
  <c r="Z30" i="41"/>
  <c r="AA30" i="41"/>
  <c r="AB30" i="41"/>
  <c r="AC30" i="41"/>
  <c r="AD30" i="41"/>
  <c r="AE30" i="41"/>
  <c r="AF30" i="41"/>
  <c r="AG30" i="41"/>
  <c r="AH30" i="41"/>
  <c r="AI30" i="41"/>
  <c r="AJ30" i="41"/>
  <c r="AK30" i="41"/>
  <c r="AM30" i="41"/>
  <c r="AN30" i="41"/>
  <c r="AO30" i="41"/>
  <c r="AP30" i="41"/>
  <c r="AQ30" i="41"/>
  <c r="AR30" i="41"/>
  <c r="AS30" i="41"/>
  <c r="AT30" i="41"/>
  <c r="AU30" i="41"/>
  <c r="AV30" i="41"/>
  <c r="AW30" i="41"/>
  <c r="AX30" i="41"/>
  <c r="Z31" i="41"/>
  <c r="AA31" i="41"/>
  <c r="AB31" i="41"/>
  <c r="AC31" i="41"/>
  <c r="AD31" i="41"/>
  <c r="AE31" i="41"/>
  <c r="AF31" i="41"/>
  <c r="AG31" i="41"/>
  <c r="AH31" i="41"/>
  <c r="AI31" i="41"/>
  <c r="AJ31" i="41"/>
  <c r="AK31" i="41"/>
  <c r="AM31" i="41"/>
  <c r="AN31" i="41"/>
  <c r="AO31" i="41"/>
  <c r="AP31" i="41"/>
  <c r="AQ31" i="41"/>
  <c r="AR31" i="41"/>
  <c r="AS31" i="41"/>
  <c r="AT31" i="41"/>
  <c r="AU31" i="41"/>
  <c r="AV31" i="41"/>
  <c r="AW31" i="41"/>
  <c r="AX31" i="41"/>
  <c r="Z32" i="41"/>
  <c r="AA32" i="41"/>
  <c r="AB32" i="41"/>
  <c r="AC32" i="41"/>
  <c r="AD32" i="41"/>
  <c r="AE32" i="41"/>
  <c r="AF32" i="41"/>
  <c r="AG32" i="41"/>
  <c r="AH32" i="41"/>
  <c r="AI32" i="41"/>
  <c r="AJ32" i="41"/>
  <c r="AK32" i="41"/>
  <c r="AM32" i="41"/>
  <c r="AN32" i="41"/>
  <c r="AO32" i="41"/>
  <c r="AP32" i="41"/>
  <c r="AQ32" i="41"/>
  <c r="AR32" i="41"/>
  <c r="AS32" i="41"/>
  <c r="AT32" i="41"/>
  <c r="AU32" i="41"/>
  <c r="AV32" i="41"/>
  <c r="AW32" i="41"/>
  <c r="AX32" i="41"/>
  <c r="Z33" i="41"/>
  <c r="AA33" i="41"/>
  <c r="AB33" i="41"/>
  <c r="AC33" i="41"/>
  <c r="AD33" i="41"/>
  <c r="AE33" i="41"/>
  <c r="AF33" i="41"/>
  <c r="AG33" i="41"/>
  <c r="AH33" i="41"/>
  <c r="AI33" i="41"/>
  <c r="AJ33" i="41"/>
  <c r="AK33" i="41"/>
  <c r="AM33" i="41"/>
  <c r="AN33" i="41"/>
  <c r="AO33" i="41"/>
  <c r="AP33" i="41"/>
  <c r="AQ33" i="41"/>
  <c r="AR33" i="41"/>
  <c r="AS33" i="41"/>
  <c r="AT33" i="41"/>
  <c r="AU33" i="41"/>
  <c r="AV33" i="41"/>
  <c r="AW33" i="41"/>
  <c r="AX33" i="41"/>
  <c r="Z34" i="41"/>
  <c r="AA34" i="41"/>
  <c r="AB34" i="41"/>
  <c r="AC34" i="41"/>
  <c r="AD34" i="41"/>
  <c r="AE34" i="41"/>
  <c r="AF34" i="41"/>
  <c r="AG34" i="41"/>
  <c r="AH34" i="41"/>
  <c r="AI34" i="41"/>
  <c r="AJ34" i="41"/>
  <c r="AK34" i="41"/>
  <c r="AM34" i="41"/>
  <c r="AN34" i="41"/>
  <c r="AO34" i="41"/>
  <c r="AP34" i="41"/>
  <c r="AQ34" i="41"/>
  <c r="AR34" i="41"/>
  <c r="AS34" i="41"/>
  <c r="AT34" i="41"/>
  <c r="AU34" i="41"/>
  <c r="AV34" i="41"/>
  <c r="AW34" i="41"/>
  <c r="AX34" i="41"/>
  <c r="Z35" i="41"/>
  <c r="AA35" i="41"/>
  <c r="AB35" i="41"/>
  <c r="AC35" i="41"/>
  <c r="AD35" i="41"/>
  <c r="AE35" i="41"/>
  <c r="AF35" i="41"/>
  <c r="AG35" i="41"/>
  <c r="AH35" i="41"/>
  <c r="AI35" i="41"/>
  <c r="AJ35" i="41"/>
  <c r="AK35" i="41"/>
  <c r="AM35" i="41"/>
  <c r="AN35" i="41"/>
  <c r="AO35" i="41"/>
  <c r="AP35" i="41"/>
  <c r="AQ35" i="41"/>
  <c r="AR35" i="41"/>
  <c r="AS35" i="41"/>
  <c r="AT35" i="41"/>
  <c r="AU35" i="41"/>
  <c r="AV35" i="41"/>
  <c r="AW35" i="41"/>
  <c r="AX35" i="41"/>
  <c r="Z36" i="41"/>
  <c r="AA36" i="41"/>
  <c r="AB36" i="41"/>
  <c r="AC36" i="41"/>
  <c r="AD36" i="41"/>
  <c r="AE36" i="41"/>
  <c r="AF36" i="41"/>
  <c r="AG36" i="41"/>
  <c r="AH36" i="41"/>
  <c r="AI36" i="41"/>
  <c r="AJ36" i="41"/>
  <c r="AK36" i="41"/>
  <c r="AM36" i="41"/>
  <c r="AN36" i="41"/>
  <c r="AO36" i="41"/>
  <c r="AP36" i="41"/>
  <c r="AQ36" i="41"/>
  <c r="AR36" i="41"/>
  <c r="AS36" i="41"/>
  <c r="AT36" i="41"/>
  <c r="AU36" i="41"/>
  <c r="AV36" i="41"/>
  <c r="AW36" i="41"/>
  <c r="AX36" i="41"/>
  <c r="Z37" i="41"/>
  <c r="AA37" i="41"/>
  <c r="AB37" i="41"/>
  <c r="AC37" i="41"/>
  <c r="AD37" i="41"/>
  <c r="AE37" i="41"/>
  <c r="AF37" i="41"/>
  <c r="AG37" i="41"/>
  <c r="AH37" i="41"/>
  <c r="AI37" i="41"/>
  <c r="AJ37" i="41"/>
  <c r="AK37" i="41"/>
  <c r="AM37" i="41"/>
  <c r="AN37" i="41"/>
  <c r="AO37" i="41"/>
  <c r="AP37" i="41"/>
  <c r="AQ37" i="41"/>
  <c r="AR37" i="41"/>
  <c r="AS37" i="41"/>
  <c r="AT37" i="41"/>
  <c r="AU37" i="41"/>
  <c r="AV37" i="41"/>
  <c r="AW37" i="41"/>
  <c r="AX37" i="41"/>
  <c r="Z38" i="41"/>
  <c r="AA38" i="41"/>
  <c r="AB38" i="41"/>
  <c r="AC38" i="41"/>
  <c r="AD38" i="41"/>
  <c r="AE38" i="41"/>
  <c r="AF38" i="41"/>
  <c r="AG38" i="41"/>
  <c r="AH38" i="41"/>
  <c r="AI38" i="41"/>
  <c r="AJ38" i="41"/>
  <c r="AK38" i="41"/>
  <c r="AM38" i="41"/>
  <c r="AN38" i="41"/>
  <c r="AO38" i="41"/>
  <c r="AP38" i="41"/>
  <c r="AQ38" i="41"/>
  <c r="AR38" i="41"/>
  <c r="AS38" i="41"/>
  <c r="AT38" i="41"/>
  <c r="AU38" i="41"/>
  <c r="AV38" i="41"/>
  <c r="AW38" i="41"/>
  <c r="AX38" i="41"/>
  <c r="Z39" i="41"/>
  <c r="AA39" i="41"/>
  <c r="AB39" i="41"/>
  <c r="AC39" i="41"/>
  <c r="AD39" i="41"/>
  <c r="AE39" i="41"/>
  <c r="AF39" i="41"/>
  <c r="AG39" i="41"/>
  <c r="AH39" i="41"/>
  <c r="AI39" i="41"/>
  <c r="AJ39" i="41"/>
  <c r="AK39" i="41"/>
  <c r="AM39" i="41"/>
  <c r="AN39" i="41"/>
  <c r="AO39" i="41"/>
  <c r="AP39" i="41"/>
  <c r="AQ39" i="41"/>
  <c r="AR39" i="41"/>
  <c r="AS39" i="41"/>
  <c r="AT39" i="41"/>
  <c r="AU39" i="41"/>
  <c r="AV39" i="41"/>
  <c r="AW39" i="41"/>
  <c r="AX39" i="41"/>
  <c r="Z40" i="41"/>
  <c r="AA40" i="41"/>
  <c r="AB40" i="41"/>
  <c r="AC40" i="41"/>
  <c r="AD40" i="41"/>
  <c r="AE40" i="41"/>
  <c r="AF40" i="41"/>
  <c r="AG40" i="41"/>
  <c r="AH40" i="41"/>
  <c r="AI40" i="41"/>
  <c r="AJ40" i="41"/>
  <c r="AK40" i="41"/>
  <c r="AM40" i="41"/>
  <c r="AN40" i="41"/>
  <c r="AO40" i="41"/>
  <c r="AP40" i="41"/>
  <c r="AQ40" i="41"/>
  <c r="AR40" i="41"/>
  <c r="AS40" i="41"/>
  <c r="AT40" i="41"/>
  <c r="AU40" i="41"/>
  <c r="AV40" i="41"/>
  <c r="AW40" i="41"/>
  <c r="AX40" i="41"/>
  <c r="Z41" i="41"/>
  <c r="AA41" i="41"/>
  <c r="AB41" i="41"/>
  <c r="AC41" i="41"/>
  <c r="AD41" i="41"/>
  <c r="AE41" i="41"/>
  <c r="AF41" i="41"/>
  <c r="AG41" i="41"/>
  <c r="AH41" i="41"/>
  <c r="AI41" i="41"/>
  <c r="AJ41" i="41"/>
  <c r="AK41" i="41"/>
  <c r="AM41" i="41"/>
  <c r="AN41" i="41"/>
  <c r="AO41" i="41"/>
  <c r="AP41" i="41"/>
  <c r="AQ41" i="41"/>
  <c r="AR41" i="41"/>
  <c r="AS41" i="41"/>
  <c r="AT41" i="41"/>
  <c r="AU41" i="41"/>
  <c r="AV41" i="41"/>
  <c r="AW41" i="41"/>
  <c r="AX41" i="41"/>
  <c r="Z42" i="41"/>
  <c r="AA42" i="41"/>
  <c r="AB42" i="41"/>
  <c r="AC42" i="41"/>
  <c r="AD42" i="41"/>
  <c r="AE42" i="41"/>
  <c r="AF42" i="41"/>
  <c r="AG42" i="41"/>
  <c r="AH42" i="41"/>
  <c r="AI42" i="41"/>
  <c r="AJ42" i="41"/>
  <c r="AK42" i="41"/>
  <c r="AM42" i="41"/>
  <c r="AN42" i="41"/>
  <c r="AO42" i="41"/>
  <c r="AP42" i="41"/>
  <c r="AQ42" i="41"/>
  <c r="AR42" i="41"/>
  <c r="AS42" i="41"/>
  <c r="AT42" i="41"/>
  <c r="AU42" i="41"/>
  <c r="AV42" i="41"/>
  <c r="AW42" i="41"/>
  <c r="AX42" i="41"/>
  <c r="Z43" i="41"/>
  <c r="AA43" i="41"/>
  <c r="AB43" i="41"/>
  <c r="AC43" i="41"/>
  <c r="AD43" i="41"/>
  <c r="AE43" i="41"/>
  <c r="AF43" i="41"/>
  <c r="AG43" i="41"/>
  <c r="AH43" i="41"/>
  <c r="AI43" i="41"/>
  <c r="AJ43" i="41"/>
  <c r="AK43" i="41"/>
  <c r="AM43" i="41"/>
  <c r="AN43" i="41"/>
  <c r="AO43" i="41"/>
  <c r="AP43" i="41"/>
  <c r="AQ43" i="41"/>
  <c r="AR43" i="41"/>
  <c r="AS43" i="41"/>
  <c r="AT43" i="41"/>
  <c r="AU43" i="41"/>
  <c r="AV43" i="41"/>
  <c r="AW43" i="41"/>
  <c r="AX43" i="41"/>
  <c r="Z44" i="41"/>
  <c r="AA44" i="41"/>
  <c r="AB44" i="41"/>
  <c r="AC44" i="41"/>
  <c r="AD44" i="41"/>
  <c r="AE44" i="41"/>
  <c r="AF44" i="41"/>
  <c r="AG44" i="41"/>
  <c r="AH44" i="41"/>
  <c r="AI44" i="41"/>
  <c r="AJ44" i="41"/>
  <c r="AK44" i="41"/>
  <c r="AM44" i="41"/>
  <c r="AN44" i="41"/>
  <c r="AO44" i="41"/>
  <c r="AP44" i="41"/>
  <c r="AQ44" i="41"/>
  <c r="AR44" i="41"/>
  <c r="AS44" i="41"/>
  <c r="AT44" i="41"/>
  <c r="AU44" i="41"/>
  <c r="AV44" i="41"/>
  <c r="AW44" i="41"/>
  <c r="AX44" i="41"/>
  <c r="Z45" i="41"/>
  <c r="AA45" i="41"/>
  <c r="AB45" i="41"/>
  <c r="AC45" i="41"/>
  <c r="AD45" i="41"/>
  <c r="AE45" i="41"/>
  <c r="AF45" i="41"/>
  <c r="AG45" i="41"/>
  <c r="AH45" i="41"/>
  <c r="AI45" i="41"/>
  <c r="AJ45" i="41"/>
  <c r="AK45" i="41"/>
  <c r="AM45" i="41"/>
  <c r="AN45" i="41"/>
  <c r="AO45" i="41"/>
  <c r="AP45" i="41"/>
  <c r="AQ45" i="41"/>
  <c r="AR45" i="41"/>
  <c r="AS45" i="41"/>
  <c r="AT45" i="41"/>
  <c r="AU45" i="41"/>
  <c r="AV45" i="41"/>
  <c r="AW45" i="41"/>
  <c r="AX45" i="41"/>
  <c r="Z46" i="41"/>
  <c r="AA46" i="41"/>
  <c r="AB46" i="41"/>
  <c r="AC46" i="41"/>
  <c r="AD46" i="41"/>
  <c r="AE46" i="41"/>
  <c r="AF46" i="41"/>
  <c r="AG46" i="41"/>
  <c r="AH46" i="41"/>
  <c r="AI46" i="41"/>
  <c r="AJ46" i="41"/>
  <c r="AK46" i="41"/>
  <c r="AM46" i="41"/>
  <c r="AN46" i="41"/>
  <c r="AO46" i="41"/>
  <c r="AP46" i="41"/>
  <c r="AQ46" i="41"/>
  <c r="AR46" i="41"/>
  <c r="AS46" i="41"/>
  <c r="AT46" i="41"/>
  <c r="AU46" i="41"/>
  <c r="AV46" i="41"/>
  <c r="AW46" i="41"/>
  <c r="AX46" i="41"/>
  <c r="Z47" i="41"/>
  <c r="AA47" i="41"/>
  <c r="AB47" i="41"/>
  <c r="AC47" i="41"/>
  <c r="AD47" i="41"/>
  <c r="AE47" i="41"/>
  <c r="AF47" i="41"/>
  <c r="AG47" i="41"/>
  <c r="AH47" i="41"/>
  <c r="AI47" i="41"/>
  <c r="AJ47" i="41"/>
  <c r="AK47" i="41"/>
  <c r="AM47" i="41"/>
  <c r="AN47" i="41"/>
  <c r="AO47" i="41"/>
  <c r="AP47" i="41"/>
  <c r="AQ47" i="41"/>
  <c r="AR47" i="41"/>
  <c r="AS47" i="41"/>
  <c r="AT47" i="41"/>
  <c r="AU47" i="41"/>
  <c r="AV47" i="41"/>
  <c r="AW47" i="41"/>
  <c r="AX47" i="41"/>
  <c r="Z48" i="41"/>
  <c r="AA48" i="41"/>
  <c r="AB48" i="41"/>
  <c r="AC48" i="41"/>
  <c r="AD48" i="41"/>
  <c r="AE48" i="41"/>
  <c r="AF48" i="41"/>
  <c r="AG48" i="41"/>
  <c r="AH48" i="41"/>
  <c r="AI48" i="41"/>
  <c r="AJ48" i="41"/>
  <c r="AK48" i="41"/>
  <c r="AM48" i="41"/>
  <c r="AN48" i="41"/>
  <c r="AO48" i="41"/>
  <c r="AP48" i="41"/>
  <c r="AQ48" i="41"/>
  <c r="AR48" i="41"/>
  <c r="AS48" i="41"/>
  <c r="AT48" i="41"/>
  <c r="AU48" i="41"/>
  <c r="AV48" i="41"/>
  <c r="AW48" i="41"/>
  <c r="AX48" i="41"/>
  <c r="Z49" i="41"/>
  <c r="AA49" i="41"/>
  <c r="AB49" i="41"/>
  <c r="AC49" i="41"/>
  <c r="AD49" i="41"/>
  <c r="AE49" i="41"/>
  <c r="AF49" i="41"/>
  <c r="AG49" i="41"/>
  <c r="AH49" i="41"/>
  <c r="AI49" i="41"/>
  <c r="AJ49" i="41"/>
  <c r="AK49" i="41"/>
  <c r="AM49" i="41"/>
  <c r="AN49" i="41"/>
  <c r="AO49" i="41"/>
  <c r="AP49" i="41"/>
  <c r="AQ49" i="41"/>
  <c r="AR49" i="41"/>
  <c r="AS49" i="41"/>
  <c r="AT49" i="41"/>
  <c r="AU49" i="41"/>
  <c r="AV49" i="41"/>
  <c r="AW49" i="41"/>
  <c r="AX49" i="41"/>
  <c r="Z50" i="41"/>
  <c r="AA50" i="41"/>
  <c r="AB50" i="41"/>
  <c r="AC50" i="41"/>
  <c r="AD50" i="41"/>
  <c r="AE50" i="41"/>
  <c r="AF50" i="41"/>
  <c r="AG50" i="41"/>
  <c r="AH50" i="41"/>
  <c r="AI50" i="41"/>
  <c r="AJ50" i="41"/>
  <c r="AK50" i="41"/>
  <c r="AM50" i="41"/>
  <c r="AN50" i="41"/>
  <c r="AO50" i="41"/>
  <c r="AP50" i="41"/>
  <c r="AQ50" i="41"/>
  <c r="AR50" i="41"/>
  <c r="AS50" i="41"/>
  <c r="AT50" i="41"/>
  <c r="AU50" i="41"/>
  <c r="AV50" i="41"/>
  <c r="AW50" i="41"/>
  <c r="AX50" i="41"/>
  <c r="Z51" i="41"/>
  <c r="AA51" i="41"/>
  <c r="AB51" i="41"/>
  <c r="AC51" i="41"/>
  <c r="AD51" i="41"/>
  <c r="AE51" i="41"/>
  <c r="AF51" i="41"/>
  <c r="AG51" i="41"/>
  <c r="AH51" i="41"/>
  <c r="AI51" i="41"/>
  <c r="AJ51" i="41"/>
  <c r="AK51" i="41"/>
  <c r="AM51" i="41"/>
  <c r="AN51" i="41"/>
  <c r="AO51" i="41"/>
  <c r="AP51" i="41"/>
  <c r="AQ51" i="41"/>
  <c r="AR51" i="41"/>
  <c r="AS51" i="41"/>
  <c r="AT51" i="41"/>
  <c r="AU51" i="41"/>
  <c r="AV51" i="41"/>
  <c r="AW51" i="41"/>
  <c r="AX51" i="41"/>
  <c r="Z52" i="41"/>
  <c r="AA52" i="41"/>
  <c r="AB52" i="41"/>
  <c r="AC52" i="41"/>
  <c r="AD52" i="41"/>
  <c r="AE52" i="41"/>
  <c r="AF52" i="41"/>
  <c r="AG52" i="41"/>
  <c r="AH52" i="41"/>
  <c r="AI52" i="41"/>
  <c r="AJ52" i="41"/>
  <c r="AK52" i="41"/>
  <c r="AM52" i="41"/>
  <c r="AN52" i="41"/>
  <c r="AO52" i="41"/>
  <c r="AP52" i="41"/>
  <c r="AQ52" i="41"/>
  <c r="AR52" i="41"/>
  <c r="AS52" i="41"/>
  <c r="AT52" i="41"/>
  <c r="AU52" i="41"/>
  <c r="AV52" i="41"/>
  <c r="AW52" i="41"/>
  <c r="AX52" i="41"/>
  <c r="Z53" i="41"/>
  <c r="AA53" i="41"/>
  <c r="AB53" i="41"/>
  <c r="AC53" i="41"/>
  <c r="AD53" i="41"/>
  <c r="AE53" i="41"/>
  <c r="AF53" i="41"/>
  <c r="AG53" i="41"/>
  <c r="AH53" i="41"/>
  <c r="AI53" i="41"/>
  <c r="AJ53" i="41"/>
  <c r="AK53" i="41"/>
  <c r="AM53" i="41"/>
  <c r="AN53" i="41"/>
  <c r="AO53" i="41"/>
  <c r="AP53" i="41"/>
  <c r="AQ53" i="41"/>
  <c r="AR53" i="41"/>
  <c r="AS53" i="41"/>
  <c r="AT53" i="41"/>
  <c r="AU53" i="41"/>
  <c r="AV53" i="41"/>
  <c r="AW53" i="41"/>
  <c r="AX53" i="41"/>
  <c r="Z54" i="41"/>
  <c r="AA54" i="41"/>
  <c r="AB54" i="41"/>
  <c r="AC54" i="41"/>
  <c r="AD54" i="41"/>
  <c r="AE54" i="41"/>
  <c r="AF54" i="41"/>
  <c r="AG54" i="41"/>
  <c r="AH54" i="41"/>
  <c r="AI54" i="41"/>
  <c r="AJ54" i="41"/>
  <c r="AK54" i="41"/>
  <c r="AM54" i="41"/>
  <c r="AN54" i="41"/>
  <c r="AO54" i="41"/>
  <c r="AP54" i="41"/>
  <c r="AQ54" i="41"/>
  <c r="AR54" i="41"/>
  <c r="AS54" i="41"/>
  <c r="AT54" i="41"/>
  <c r="AU54" i="41"/>
  <c r="AV54" i="41"/>
  <c r="AW54" i="41"/>
  <c r="AX54" i="41"/>
  <c r="Z55" i="41"/>
  <c r="AA55" i="41"/>
  <c r="AB55" i="41"/>
  <c r="AC55" i="41"/>
  <c r="AD55" i="41"/>
  <c r="AE55" i="41"/>
  <c r="AF55" i="41"/>
  <c r="AG55" i="41"/>
  <c r="AH55" i="41"/>
  <c r="AI55" i="41"/>
  <c r="AJ55" i="41"/>
  <c r="AK55" i="41"/>
  <c r="AM55" i="41"/>
  <c r="AN55" i="41"/>
  <c r="AO55" i="41"/>
  <c r="AP55" i="41"/>
  <c r="AQ55" i="41"/>
  <c r="AR55" i="41"/>
  <c r="AS55" i="41"/>
  <c r="AT55" i="41"/>
  <c r="AU55" i="41"/>
  <c r="AV55" i="41"/>
  <c r="AW55" i="41"/>
  <c r="AX55" i="41"/>
  <c r="Z56" i="41"/>
  <c r="AA56" i="41"/>
  <c r="AB56" i="41"/>
  <c r="AC56" i="41"/>
  <c r="AD56" i="41"/>
  <c r="AE56" i="41"/>
  <c r="AF56" i="41"/>
  <c r="AG56" i="41"/>
  <c r="AH56" i="41"/>
  <c r="AI56" i="41"/>
  <c r="AJ56" i="41"/>
  <c r="AK56" i="41"/>
  <c r="AM56" i="41"/>
  <c r="AN56" i="41"/>
  <c r="AO56" i="41"/>
  <c r="AP56" i="41"/>
  <c r="AQ56" i="41"/>
  <c r="AR56" i="41"/>
  <c r="AS56" i="41"/>
  <c r="AT56" i="41"/>
  <c r="AU56" i="41"/>
  <c r="AV56" i="41"/>
  <c r="AW56" i="41"/>
  <c r="AX56" i="41"/>
  <c r="Z57" i="41"/>
  <c r="AA57" i="41"/>
  <c r="AB57" i="41"/>
  <c r="AC57" i="41"/>
  <c r="AD57" i="41"/>
  <c r="AE57" i="41"/>
  <c r="AF57" i="41"/>
  <c r="AG57" i="41"/>
  <c r="AH57" i="41"/>
  <c r="AI57" i="41"/>
  <c r="AJ57" i="41"/>
  <c r="AK57" i="41"/>
  <c r="AM57" i="41"/>
  <c r="AN57" i="41"/>
  <c r="AO57" i="41"/>
  <c r="AP57" i="41"/>
  <c r="AQ57" i="41"/>
  <c r="AR57" i="41"/>
  <c r="AS57" i="41"/>
  <c r="AT57" i="41"/>
  <c r="AU57" i="41"/>
  <c r="AV57" i="41"/>
  <c r="AW57" i="41"/>
  <c r="AX57" i="41"/>
  <c r="Z58" i="41"/>
  <c r="AA58" i="41"/>
  <c r="AB58" i="41"/>
  <c r="AC58" i="41"/>
  <c r="AD58" i="41"/>
  <c r="AE58" i="41"/>
  <c r="AF58" i="41"/>
  <c r="AG58" i="41"/>
  <c r="AH58" i="41"/>
  <c r="AI58" i="41"/>
  <c r="AJ58" i="41"/>
  <c r="AK58" i="41"/>
  <c r="AM58" i="41"/>
  <c r="AN58" i="41"/>
  <c r="AO58" i="41"/>
  <c r="AP58" i="41"/>
  <c r="AQ58" i="41"/>
  <c r="AR58" i="41"/>
  <c r="AS58" i="41"/>
  <c r="AT58" i="41"/>
  <c r="AU58" i="41"/>
  <c r="AV58" i="41"/>
  <c r="AW58" i="41"/>
  <c r="AX58" i="41"/>
  <c r="Z59" i="41"/>
  <c r="AA59" i="41"/>
  <c r="AB59" i="41"/>
  <c r="AC59" i="41"/>
  <c r="AD59" i="41"/>
  <c r="AE59" i="41"/>
  <c r="AF59" i="41"/>
  <c r="AG59" i="41"/>
  <c r="AH59" i="41"/>
  <c r="AI59" i="41"/>
  <c r="AJ59" i="41"/>
  <c r="AK59" i="41"/>
  <c r="AM59" i="41"/>
  <c r="AN59" i="41"/>
  <c r="AO59" i="41"/>
  <c r="AP59" i="41"/>
  <c r="AQ59" i="41"/>
  <c r="AR59" i="41"/>
  <c r="AS59" i="41"/>
  <c r="AT59" i="41"/>
  <c r="AU59" i="41"/>
  <c r="AV59" i="41"/>
  <c r="AW59" i="41"/>
  <c r="AX59" i="41"/>
  <c r="Z60" i="41"/>
  <c r="AA60" i="41"/>
  <c r="AB60" i="41"/>
  <c r="AC60" i="41"/>
  <c r="AD60" i="41"/>
  <c r="AE60" i="41"/>
  <c r="AF60" i="41"/>
  <c r="AG60" i="41"/>
  <c r="AH60" i="41"/>
  <c r="AI60" i="41"/>
  <c r="AJ60" i="41"/>
  <c r="AK60" i="41"/>
  <c r="AM60" i="41"/>
  <c r="AN60" i="41"/>
  <c r="AO60" i="41"/>
  <c r="AP60" i="41"/>
  <c r="AQ60" i="41"/>
  <c r="AR60" i="41"/>
  <c r="AS60" i="41"/>
  <c r="AT60" i="41"/>
  <c r="AU60" i="41"/>
  <c r="AV60" i="41"/>
  <c r="AW60" i="41"/>
  <c r="AX60" i="41"/>
  <c r="Z61" i="41"/>
  <c r="AA61" i="41"/>
  <c r="AB61" i="41"/>
  <c r="AC61" i="41"/>
  <c r="AD61" i="41"/>
  <c r="AE61" i="41"/>
  <c r="AF61" i="41"/>
  <c r="AG61" i="41"/>
  <c r="AH61" i="41"/>
  <c r="AI61" i="41"/>
  <c r="AJ61" i="41"/>
  <c r="AK61" i="41"/>
  <c r="AM61" i="41"/>
  <c r="AN61" i="41"/>
  <c r="AO61" i="41"/>
  <c r="AP61" i="41"/>
  <c r="AQ61" i="41"/>
  <c r="AR61" i="41"/>
  <c r="AS61" i="41"/>
  <c r="AT61" i="41"/>
  <c r="AU61" i="41"/>
  <c r="AV61" i="41"/>
  <c r="AW61" i="41"/>
  <c r="AX61" i="41"/>
  <c r="Z62" i="41"/>
  <c r="AA62" i="41"/>
  <c r="AB62" i="41"/>
  <c r="AC62" i="41"/>
  <c r="AD62" i="41"/>
  <c r="AE62" i="41"/>
  <c r="AF62" i="41"/>
  <c r="AG62" i="41"/>
  <c r="AH62" i="41"/>
  <c r="AI62" i="41"/>
  <c r="AJ62" i="41"/>
  <c r="AK62" i="41"/>
  <c r="AM62" i="41"/>
  <c r="AN62" i="41"/>
  <c r="AO62" i="41"/>
  <c r="AP62" i="41"/>
  <c r="AQ62" i="41"/>
  <c r="AR62" i="41"/>
  <c r="AS62" i="41"/>
  <c r="AT62" i="41"/>
  <c r="AU62" i="41"/>
  <c r="AV62" i="41"/>
  <c r="AW62" i="41"/>
  <c r="AX62" i="41"/>
  <c r="Z63" i="41"/>
  <c r="AA63" i="41"/>
  <c r="AB63" i="41"/>
  <c r="AC63" i="41"/>
  <c r="AD63" i="41"/>
  <c r="AE63" i="41"/>
  <c r="AF63" i="41"/>
  <c r="AG63" i="41"/>
  <c r="AH63" i="41"/>
  <c r="AI63" i="41"/>
  <c r="AJ63" i="41"/>
  <c r="AK63" i="41"/>
  <c r="AM63" i="41"/>
  <c r="AN63" i="41"/>
  <c r="AO63" i="41"/>
  <c r="AP63" i="41"/>
  <c r="AQ63" i="41"/>
  <c r="AR63" i="41"/>
  <c r="AS63" i="41"/>
  <c r="AT63" i="41"/>
  <c r="AU63" i="41"/>
  <c r="AV63" i="41"/>
  <c r="AW63" i="41"/>
  <c r="AX63" i="41"/>
  <c r="Z64" i="41"/>
  <c r="AA64" i="41"/>
  <c r="AB64" i="41"/>
  <c r="AC64" i="41"/>
  <c r="AD64" i="41"/>
  <c r="AE64" i="41"/>
  <c r="AF64" i="41"/>
  <c r="AG64" i="41"/>
  <c r="AH64" i="41"/>
  <c r="AI64" i="41"/>
  <c r="AJ64" i="41"/>
  <c r="AK64" i="41"/>
  <c r="AM64" i="41"/>
  <c r="AN64" i="41"/>
  <c r="AO64" i="41"/>
  <c r="AP64" i="41"/>
  <c r="AQ64" i="41"/>
  <c r="AR64" i="41"/>
  <c r="AS64" i="41"/>
  <c r="AT64" i="41"/>
  <c r="AU64" i="41"/>
  <c r="AV64" i="41"/>
  <c r="AW64" i="41"/>
  <c r="AX64" i="41"/>
  <c r="Z65" i="41"/>
  <c r="AA65" i="41"/>
  <c r="AB65" i="41"/>
  <c r="AC65" i="41"/>
  <c r="AD65" i="41"/>
  <c r="AE65" i="41"/>
  <c r="AF65" i="41"/>
  <c r="AG65" i="41"/>
  <c r="AH65" i="41"/>
  <c r="AI65" i="41"/>
  <c r="AJ65" i="41"/>
  <c r="AK65" i="41"/>
  <c r="AM65" i="41"/>
  <c r="AN65" i="41"/>
  <c r="AO65" i="41"/>
  <c r="AP65" i="41"/>
  <c r="AQ65" i="41"/>
  <c r="AR65" i="41"/>
  <c r="AS65" i="41"/>
  <c r="AT65" i="41"/>
  <c r="AU65" i="41"/>
  <c r="AV65" i="41"/>
  <c r="AW65" i="41"/>
  <c r="AX65" i="41"/>
  <c r="Z66" i="41"/>
  <c r="AA66" i="41"/>
  <c r="AB66" i="41"/>
  <c r="AC66" i="41"/>
  <c r="AD66" i="41"/>
  <c r="AE66" i="41"/>
  <c r="AF66" i="41"/>
  <c r="AG66" i="41"/>
  <c r="AH66" i="41"/>
  <c r="AI66" i="41"/>
  <c r="AJ66" i="41"/>
  <c r="AK66" i="41"/>
  <c r="AM66" i="41"/>
  <c r="AN66" i="41"/>
  <c r="AO66" i="41"/>
  <c r="AP66" i="41"/>
  <c r="AQ66" i="41"/>
  <c r="AR66" i="41"/>
  <c r="AS66" i="41"/>
  <c r="AT66" i="41"/>
  <c r="AU66" i="41"/>
  <c r="AV66" i="41"/>
  <c r="AW66" i="41"/>
  <c r="AX66" i="41"/>
  <c r="Z67" i="41"/>
  <c r="AA67" i="41"/>
  <c r="AB67" i="41"/>
  <c r="AC67" i="41"/>
  <c r="AD67" i="41"/>
  <c r="AE67" i="41"/>
  <c r="AF67" i="41"/>
  <c r="AG67" i="41"/>
  <c r="AH67" i="41"/>
  <c r="AI67" i="41"/>
  <c r="AJ67" i="41"/>
  <c r="AK67" i="41"/>
  <c r="AM67" i="41"/>
  <c r="AN67" i="41"/>
  <c r="AO67" i="41"/>
  <c r="AP67" i="41"/>
  <c r="AQ67" i="41"/>
  <c r="AR67" i="41"/>
  <c r="AS67" i="41"/>
  <c r="AT67" i="41"/>
  <c r="AU67" i="41"/>
  <c r="AV67" i="41"/>
  <c r="AW67" i="41"/>
  <c r="AX67" i="41"/>
  <c r="Z68" i="41"/>
  <c r="AA68" i="41"/>
  <c r="AB68" i="41"/>
  <c r="AC68" i="41"/>
  <c r="AD68" i="41"/>
  <c r="AE68" i="41"/>
  <c r="AF68" i="41"/>
  <c r="AG68" i="41"/>
  <c r="AH68" i="41"/>
  <c r="AI68" i="41"/>
  <c r="AJ68" i="41"/>
  <c r="AK68" i="41"/>
  <c r="AM68" i="41"/>
  <c r="AN68" i="41"/>
  <c r="AO68" i="41"/>
  <c r="AP68" i="41"/>
  <c r="AQ68" i="41"/>
  <c r="AR68" i="41"/>
  <c r="AS68" i="41"/>
  <c r="AT68" i="41"/>
  <c r="AU68" i="41"/>
  <c r="AV68" i="41"/>
  <c r="AW68" i="41"/>
  <c r="AX68" i="41"/>
  <c r="Z69" i="41"/>
  <c r="AA69" i="41"/>
  <c r="AB69" i="41"/>
  <c r="AC69" i="41"/>
  <c r="AD69" i="41"/>
  <c r="AE69" i="41"/>
  <c r="AF69" i="41"/>
  <c r="AG69" i="41"/>
  <c r="AH69" i="41"/>
  <c r="AI69" i="41"/>
  <c r="AJ69" i="41"/>
  <c r="AK69" i="41"/>
  <c r="AM69" i="41"/>
  <c r="AN69" i="41"/>
  <c r="AO69" i="41"/>
  <c r="AP69" i="41"/>
  <c r="AQ69" i="41"/>
  <c r="AR69" i="41"/>
  <c r="AS69" i="41"/>
  <c r="AT69" i="41"/>
  <c r="AU69" i="41"/>
  <c r="AV69" i="41"/>
  <c r="AW69" i="41"/>
  <c r="AX69" i="41"/>
  <c r="Z70" i="41"/>
  <c r="AA70" i="41"/>
  <c r="AB70" i="41"/>
  <c r="AC70" i="41"/>
  <c r="AD70" i="41"/>
  <c r="AE70" i="41"/>
  <c r="AF70" i="41"/>
  <c r="AG70" i="41"/>
  <c r="AH70" i="41"/>
  <c r="AI70" i="41"/>
  <c r="AJ70" i="41"/>
  <c r="AK70" i="41"/>
  <c r="AM70" i="41"/>
  <c r="AN70" i="41"/>
  <c r="AO70" i="41"/>
  <c r="AP70" i="41"/>
  <c r="AQ70" i="41"/>
  <c r="AR70" i="41"/>
  <c r="AS70" i="41"/>
  <c r="AT70" i="41"/>
  <c r="AU70" i="41"/>
  <c r="AV70" i="41"/>
  <c r="AW70" i="41"/>
  <c r="AX70" i="41"/>
  <c r="Z71" i="41"/>
  <c r="AA71" i="41"/>
  <c r="AB71" i="41"/>
  <c r="AC71" i="41"/>
  <c r="AD71" i="41"/>
  <c r="AE71" i="41"/>
  <c r="AF71" i="41"/>
  <c r="AG71" i="41"/>
  <c r="AH71" i="41"/>
  <c r="AI71" i="41"/>
  <c r="AJ71" i="41"/>
  <c r="AK71" i="41"/>
  <c r="AM71" i="41"/>
  <c r="AN71" i="41"/>
  <c r="AO71" i="41"/>
  <c r="AP71" i="41"/>
  <c r="AQ71" i="41"/>
  <c r="AR71" i="41"/>
  <c r="AS71" i="41"/>
  <c r="AT71" i="41"/>
  <c r="AU71" i="41"/>
  <c r="AV71" i="41"/>
  <c r="AW71" i="41"/>
  <c r="AX71" i="41"/>
  <c r="Z72" i="41"/>
  <c r="AA72" i="41"/>
  <c r="AB72" i="41"/>
  <c r="AC72" i="41"/>
  <c r="AD72" i="41"/>
  <c r="AE72" i="41"/>
  <c r="AF72" i="41"/>
  <c r="AG72" i="41"/>
  <c r="AH72" i="41"/>
  <c r="AI72" i="41"/>
  <c r="AJ72" i="41"/>
  <c r="AK72" i="41"/>
  <c r="AM72" i="41"/>
  <c r="AN72" i="41"/>
  <c r="AO72" i="41"/>
  <c r="AP72" i="41"/>
  <c r="AQ72" i="41"/>
  <c r="AR72" i="41"/>
  <c r="AS72" i="41"/>
  <c r="AT72" i="41"/>
  <c r="AU72" i="41"/>
  <c r="AV72" i="41"/>
  <c r="AW72" i="41"/>
  <c r="AX72" i="41"/>
  <c r="Z73" i="41"/>
  <c r="AA73" i="41"/>
  <c r="AB73" i="41"/>
  <c r="AC73" i="41"/>
  <c r="AD73" i="41"/>
  <c r="AE73" i="41"/>
  <c r="AF73" i="41"/>
  <c r="AG73" i="41"/>
  <c r="AH73" i="41"/>
  <c r="AI73" i="41"/>
  <c r="AJ73" i="41"/>
  <c r="AK73" i="41"/>
  <c r="AM73" i="41"/>
  <c r="AN73" i="41"/>
  <c r="AO73" i="41"/>
  <c r="AP73" i="41"/>
  <c r="AQ73" i="41"/>
  <c r="AR73" i="41"/>
  <c r="AS73" i="41"/>
  <c r="AT73" i="41"/>
  <c r="AU73" i="41"/>
  <c r="AV73" i="41"/>
  <c r="AW73" i="41"/>
  <c r="AX73" i="41"/>
  <c r="Z74" i="41"/>
  <c r="AA74" i="41"/>
  <c r="AB74" i="41"/>
  <c r="AC74" i="41"/>
  <c r="AD74" i="41"/>
  <c r="AE74" i="41"/>
  <c r="AF74" i="41"/>
  <c r="AG74" i="41"/>
  <c r="AH74" i="41"/>
  <c r="AI74" i="41"/>
  <c r="AJ74" i="41"/>
  <c r="AK74" i="41"/>
  <c r="AM74" i="41"/>
  <c r="AN74" i="41"/>
  <c r="AO74" i="41"/>
  <c r="AP74" i="41"/>
  <c r="AQ74" i="41"/>
  <c r="AR74" i="41"/>
  <c r="AS74" i="41"/>
  <c r="AT74" i="41"/>
  <c r="AU74" i="41"/>
  <c r="AV74" i="41"/>
  <c r="AW74" i="41"/>
  <c r="AX74" i="41"/>
  <c r="Z75" i="41"/>
  <c r="AA75" i="41"/>
  <c r="AB75" i="41"/>
  <c r="AC75" i="41"/>
  <c r="AD75" i="41"/>
  <c r="AE75" i="41"/>
  <c r="AF75" i="41"/>
  <c r="AG75" i="41"/>
  <c r="AH75" i="41"/>
  <c r="AI75" i="41"/>
  <c r="AJ75" i="41"/>
  <c r="AK75" i="41"/>
  <c r="AM75" i="41"/>
  <c r="AN75" i="41"/>
  <c r="AO75" i="41"/>
  <c r="AP75" i="41"/>
  <c r="AQ75" i="41"/>
  <c r="AR75" i="41"/>
  <c r="AS75" i="41"/>
  <c r="AT75" i="41"/>
  <c r="AU75" i="41"/>
  <c r="AV75" i="41"/>
  <c r="AW75" i="41"/>
  <c r="AX75" i="41"/>
  <c r="Z76" i="41"/>
  <c r="AA76" i="41"/>
  <c r="AB76" i="41"/>
  <c r="AC76" i="41"/>
  <c r="AD76" i="41"/>
  <c r="AE76" i="41"/>
  <c r="AF76" i="41"/>
  <c r="AG76" i="41"/>
  <c r="AH76" i="41"/>
  <c r="AI76" i="41"/>
  <c r="AJ76" i="41"/>
  <c r="AK76" i="41"/>
  <c r="AM76" i="41"/>
  <c r="AN76" i="41"/>
  <c r="AO76" i="41"/>
  <c r="AP76" i="41"/>
  <c r="AQ76" i="41"/>
  <c r="AR76" i="41"/>
  <c r="AS76" i="41"/>
  <c r="AT76" i="41"/>
  <c r="AU76" i="41"/>
  <c r="AV76" i="41"/>
  <c r="AW76" i="41"/>
  <c r="AX76" i="41"/>
  <c r="Z77" i="41"/>
  <c r="AA77" i="41"/>
  <c r="AB77" i="41"/>
  <c r="AC77" i="41"/>
  <c r="AD77" i="41"/>
  <c r="AE77" i="41"/>
  <c r="AF77" i="41"/>
  <c r="AG77" i="41"/>
  <c r="AH77" i="41"/>
  <c r="AI77" i="41"/>
  <c r="AJ77" i="41"/>
  <c r="AK77" i="41"/>
  <c r="AM77" i="41"/>
  <c r="AN77" i="41"/>
  <c r="AO77" i="41"/>
  <c r="AP77" i="41"/>
  <c r="AQ77" i="41"/>
  <c r="AR77" i="41"/>
  <c r="AS77" i="41"/>
  <c r="AT77" i="41"/>
  <c r="AU77" i="41"/>
  <c r="AV77" i="41"/>
  <c r="AW77" i="41"/>
  <c r="AX77" i="41"/>
  <c r="Z78" i="41"/>
  <c r="AA78" i="41"/>
  <c r="AB78" i="41"/>
  <c r="AC78" i="41"/>
  <c r="AD78" i="41"/>
  <c r="AE78" i="41"/>
  <c r="AF78" i="41"/>
  <c r="AG78" i="41"/>
  <c r="AH78" i="41"/>
  <c r="AI78" i="41"/>
  <c r="AJ78" i="41"/>
  <c r="AK78" i="41"/>
  <c r="AM78" i="41"/>
  <c r="AN78" i="41"/>
  <c r="AO78" i="41"/>
  <c r="AP78" i="41"/>
  <c r="AQ78" i="41"/>
  <c r="AR78" i="41"/>
  <c r="AS78" i="41"/>
  <c r="AT78" i="41"/>
  <c r="AU78" i="41"/>
  <c r="AV78" i="41"/>
  <c r="AW78" i="41"/>
  <c r="AX78" i="41"/>
  <c r="Z79" i="41"/>
  <c r="AA79" i="41"/>
  <c r="AB79" i="41"/>
  <c r="AC79" i="41"/>
  <c r="AD79" i="41"/>
  <c r="AE79" i="41"/>
  <c r="AF79" i="41"/>
  <c r="AG79" i="41"/>
  <c r="AH79" i="41"/>
  <c r="AI79" i="41"/>
  <c r="AJ79" i="41"/>
  <c r="AK79" i="41"/>
  <c r="AM79" i="41"/>
  <c r="AN79" i="41"/>
  <c r="AO79" i="41"/>
  <c r="AP79" i="41"/>
  <c r="AQ79" i="41"/>
  <c r="AR79" i="41"/>
  <c r="AS79" i="41"/>
  <c r="AT79" i="41"/>
  <c r="AU79" i="41"/>
  <c r="AV79" i="41"/>
  <c r="AW79" i="41"/>
  <c r="AX79" i="41"/>
  <c r="Z80" i="41"/>
  <c r="AA80" i="41"/>
  <c r="AB80" i="41"/>
  <c r="AC80" i="41"/>
  <c r="AD80" i="41"/>
  <c r="AE80" i="41"/>
  <c r="AF80" i="41"/>
  <c r="AG80" i="41"/>
  <c r="AH80" i="41"/>
  <c r="AI80" i="41"/>
  <c r="AJ80" i="41"/>
  <c r="AK80" i="41"/>
  <c r="AM80" i="41"/>
  <c r="AN80" i="41"/>
  <c r="AO80" i="41"/>
  <c r="AP80" i="41"/>
  <c r="AQ80" i="41"/>
  <c r="AR80" i="41"/>
  <c r="AS80" i="41"/>
  <c r="AT80" i="41"/>
  <c r="AU80" i="41"/>
  <c r="AV80" i="41"/>
  <c r="AW80" i="41"/>
  <c r="AX80" i="41"/>
  <c r="Z81" i="41"/>
  <c r="AA81" i="41"/>
  <c r="AB81" i="41"/>
  <c r="AC81" i="41"/>
  <c r="AD81" i="41"/>
  <c r="AE81" i="41"/>
  <c r="AF81" i="41"/>
  <c r="AG81" i="41"/>
  <c r="AH81" i="41"/>
  <c r="AI81" i="41"/>
  <c r="AJ81" i="41"/>
  <c r="AK81" i="41"/>
  <c r="AM81" i="41"/>
  <c r="AN81" i="41"/>
  <c r="AO81" i="41"/>
  <c r="AP81" i="41"/>
  <c r="AQ81" i="41"/>
  <c r="AR81" i="41"/>
  <c r="AS81" i="41"/>
  <c r="AT81" i="41"/>
  <c r="AU81" i="41"/>
  <c r="AV81" i="41"/>
  <c r="AW81" i="41"/>
  <c r="AX81" i="41"/>
  <c r="Z82" i="41"/>
  <c r="AA82" i="41"/>
  <c r="AB82" i="41"/>
  <c r="AC82" i="41"/>
  <c r="AD82" i="41"/>
  <c r="AE82" i="41"/>
  <c r="AF82" i="41"/>
  <c r="AG82" i="41"/>
  <c r="AH82" i="41"/>
  <c r="AI82" i="41"/>
  <c r="AJ82" i="41"/>
  <c r="AK82" i="41"/>
  <c r="AM82" i="41"/>
  <c r="AN82" i="41"/>
  <c r="AO82" i="41"/>
  <c r="AP82" i="41"/>
  <c r="AQ82" i="41"/>
  <c r="AR82" i="41"/>
  <c r="AS82" i="41"/>
  <c r="AT82" i="41"/>
  <c r="AU82" i="41"/>
  <c r="AV82" i="41"/>
  <c r="AW82" i="41"/>
  <c r="AX82" i="41"/>
  <c r="Z83" i="41"/>
  <c r="AA83" i="41"/>
  <c r="AB83" i="41"/>
  <c r="AC83" i="41"/>
  <c r="AD83" i="41"/>
  <c r="AE83" i="41"/>
  <c r="AF83" i="41"/>
  <c r="AG83" i="41"/>
  <c r="AH83" i="41"/>
  <c r="AI83" i="41"/>
  <c r="AJ83" i="41"/>
  <c r="AK83" i="41"/>
  <c r="AM83" i="41"/>
  <c r="AN83" i="41"/>
  <c r="AO83" i="41"/>
  <c r="AP83" i="41"/>
  <c r="AQ83" i="41"/>
  <c r="AR83" i="41"/>
  <c r="AS83" i="41"/>
  <c r="AT83" i="41"/>
  <c r="AU83" i="41"/>
  <c r="AV83" i="41"/>
  <c r="AW83" i="41"/>
  <c r="AX83" i="41"/>
  <c r="Z84" i="41"/>
  <c r="AA84" i="41"/>
  <c r="AB84" i="41"/>
  <c r="AC84" i="41"/>
  <c r="AD84" i="41"/>
  <c r="AE84" i="41"/>
  <c r="AF84" i="41"/>
  <c r="AG84" i="41"/>
  <c r="AH84" i="41"/>
  <c r="AI84" i="41"/>
  <c r="AJ84" i="41"/>
  <c r="AK84" i="41"/>
  <c r="AM84" i="41"/>
  <c r="AN84" i="41"/>
  <c r="AO84" i="41"/>
  <c r="AP84" i="41"/>
  <c r="AQ84" i="41"/>
  <c r="AR84" i="41"/>
  <c r="AS84" i="41"/>
  <c r="AT84" i="41"/>
  <c r="AU84" i="41"/>
  <c r="AV84" i="41"/>
  <c r="AW84" i="41"/>
  <c r="AX84" i="41"/>
  <c r="Z85" i="41"/>
  <c r="AA85" i="41"/>
  <c r="AB85" i="41"/>
  <c r="AC85" i="41"/>
  <c r="AD85" i="41"/>
  <c r="AE85" i="41"/>
  <c r="AF85" i="41"/>
  <c r="AG85" i="41"/>
  <c r="AH85" i="41"/>
  <c r="AI85" i="41"/>
  <c r="AJ85" i="41"/>
  <c r="AK85" i="41"/>
  <c r="AM85" i="41"/>
  <c r="AN85" i="41"/>
  <c r="AO85" i="41"/>
  <c r="AP85" i="41"/>
  <c r="AQ85" i="41"/>
  <c r="AR85" i="41"/>
  <c r="AS85" i="41"/>
  <c r="AT85" i="41"/>
  <c r="AU85" i="41"/>
  <c r="AV85" i="41"/>
  <c r="AW85" i="41"/>
  <c r="AX85" i="41"/>
  <c r="Z86" i="41"/>
  <c r="AA86" i="41"/>
  <c r="AB86" i="41"/>
  <c r="AC86" i="41"/>
  <c r="AD86" i="41"/>
  <c r="AE86" i="41"/>
  <c r="AF86" i="41"/>
  <c r="AG86" i="41"/>
  <c r="AH86" i="41"/>
  <c r="AI86" i="41"/>
  <c r="AJ86" i="41"/>
  <c r="AK86" i="41"/>
  <c r="AM86" i="41"/>
  <c r="AN86" i="41"/>
  <c r="AO86" i="41"/>
  <c r="AP86" i="41"/>
  <c r="AQ86" i="41"/>
  <c r="AR86" i="41"/>
  <c r="AS86" i="41"/>
  <c r="AT86" i="41"/>
  <c r="AU86" i="41"/>
  <c r="AV86" i="41"/>
  <c r="AW86" i="41"/>
  <c r="AX86" i="41"/>
  <c r="Z87" i="41"/>
  <c r="AA87" i="41"/>
  <c r="AB87" i="41"/>
  <c r="AC87" i="41"/>
  <c r="AD87" i="41"/>
  <c r="AE87" i="41"/>
  <c r="AF87" i="41"/>
  <c r="AG87" i="41"/>
  <c r="AH87" i="41"/>
  <c r="AI87" i="41"/>
  <c r="AJ87" i="41"/>
  <c r="AK87" i="41"/>
  <c r="AM87" i="41"/>
  <c r="AN87" i="41"/>
  <c r="AO87" i="41"/>
  <c r="AP87" i="41"/>
  <c r="AQ87" i="41"/>
  <c r="AR87" i="41"/>
  <c r="AS87" i="41"/>
  <c r="AT87" i="41"/>
  <c r="AU87" i="41"/>
  <c r="AV87" i="41"/>
  <c r="AW87" i="41"/>
  <c r="AX87" i="41"/>
  <c r="Z88" i="41"/>
  <c r="AA88" i="41"/>
  <c r="AB88" i="41"/>
  <c r="AC88" i="41"/>
  <c r="AD88" i="41"/>
  <c r="AE88" i="41"/>
  <c r="AF88" i="41"/>
  <c r="AG88" i="41"/>
  <c r="AH88" i="41"/>
  <c r="AI88" i="41"/>
  <c r="AJ88" i="41"/>
  <c r="AK88" i="41"/>
  <c r="AM88" i="41"/>
  <c r="AN88" i="41"/>
  <c r="AO88" i="41"/>
  <c r="AP88" i="41"/>
  <c r="AQ88" i="41"/>
  <c r="AR88" i="41"/>
  <c r="AS88" i="41"/>
  <c r="AT88" i="41"/>
  <c r="AU88" i="41"/>
  <c r="AV88" i="41"/>
  <c r="AW88" i="41"/>
  <c r="AX88" i="41"/>
  <c r="Z89" i="41"/>
  <c r="AA89" i="41"/>
  <c r="AB89" i="41"/>
  <c r="AC89" i="41"/>
  <c r="AD89" i="41"/>
  <c r="AE89" i="41"/>
  <c r="AF89" i="41"/>
  <c r="AG89" i="41"/>
  <c r="AH89" i="41"/>
  <c r="AI89" i="41"/>
  <c r="AJ89" i="41"/>
  <c r="AK89" i="41"/>
  <c r="AM89" i="41"/>
  <c r="AN89" i="41"/>
  <c r="AO89" i="41"/>
  <c r="AP89" i="41"/>
  <c r="AQ89" i="41"/>
  <c r="AR89" i="41"/>
  <c r="AS89" i="41"/>
  <c r="AT89" i="41"/>
  <c r="AU89" i="41"/>
  <c r="AV89" i="41"/>
  <c r="AW89" i="41"/>
  <c r="AX89" i="41"/>
  <c r="Z90" i="41"/>
  <c r="AA90" i="41"/>
  <c r="AB90" i="41"/>
  <c r="AC90" i="41"/>
  <c r="AD90" i="41"/>
  <c r="AE90" i="41"/>
  <c r="AF90" i="41"/>
  <c r="AG90" i="41"/>
  <c r="AH90" i="41"/>
  <c r="AI90" i="41"/>
  <c r="AJ90" i="41"/>
  <c r="AK90" i="41"/>
  <c r="AM90" i="41"/>
  <c r="AN90" i="41"/>
  <c r="AO90" i="41"/>
  <c r="AP90" i="41"/>
  <c r="AQ90" i="41"/>
  <c r="AR90" i="41"/>
  <c r="AS90" i="41"/>
  <c r="AT90" i="41"/>
  <c r="AU90" i="41"/>
  <c r="AV90" i="41"/>
  <c r="AW90" i="41"/>
  <c r="AX90" i="41"/>
  <c r="Z91" i="41"/>
  <c r="AA91" i="41"/>
  <c r="AB91" i="41"/>
  <c r="AC91" i="41"/>
  <c r="AD91" i="41"/>
  <c r="AE91" i="41"/>
  <c r="AF91" i="41"/>
  <c r="AG91" i="41"/>
  <c r="AH91" i="41"/>
  <c r="AI91" i="41"/>
  <c r="AJ91" i="41"/>
  <c r="AK91" i="41"/>
  <c r="AM91" i="41"/>
  <c r="AN91" i="41"/>
  <c r="AO91" i="41"/>
  <c r="AP91" i="41"/>
  <c r="AQ91" i="41"/>
  <c r="AR91" i="41"/>
  <c r="AS91" i="41"/>
  <c r="AT91" i="41"/>
  <c r="AU91" i="41"/>
  <c r="AV91" i="41"/>
  <c r="AW91" i="41"/>
  <c r="AX91" i="41"/>
  <c r="Z92" i="41"/>
  <c r="AA92" i="41"/>
  <c r="AB92" i="41"/>
  <c r="AC92" i="41"/>
  <c r="AD92" i="41"/>
  <c r="AE92" i="41"/>
  <c r="AF92" i="41"/>
  <c r="AG92" i="41"/>
  <c r="AH92" i="41"/>
  <c r="AI92" i="41"/>
  <c r="AJ92" i="41"/>
  <c r="AK92" i="41"/>
  <c r="AM92" i="41"/>
  <c r="AN92" i="41"/>
  <c r="AO92" i="41"/>
  <c r="AP92" i="41"/>
  <c r="AQ92" i="41"/>
  <c r="AR92" i="41"/>
  <c r="AS92" i="41"/>
  <c r="AT92" i="41"/>
  <c r="AU92" i="41"/>
  <c r="AV92" i="41"/>
  <c r="AW92" i="41"/>
  <c r="AX92" i="41"/>
  <c r="Z93" i="41"/>
  <c r="AA93" i="41"/>
  <c r="AB93" i="41"/>
  <c r="AC93" i="41"/>
  <c r="AD93" i="41"/>
  <c r="AE93" i="41"/>
  <c r="AF93" i="41"/>
  <c r="AG93" i="41"/>
  <c r="AH93" i="41"/>
  <c r="AI93" i="41"/>
  <c r="AJ93" i="41"/>
  <c r="AK93" i="41"/>
  <c r="AM93" i="41"/>
  <c r="AN93" i="41"/>
  <c r="AO93" i="41"/>
  <c r="AP93" i="41"/>
  <c r="AQ93" i="41"/>
  <c r="AR93" i="41"/>
  <c r="AS93" i="41"/>
  <c r="AT93" i="41"/>
  <c r="AU93" i="41"/>
  <c r="AV93" i="41"/>
  <c r="AW93" i="41"/>
  <c r="AX93" i="41"/>
  <c r="Z94" i="41"/>
  <c r="AA94" i="41"/>
  <c r="AB94" i="41"/>
  <c r="AC94" i="41"/>
  <c r="AD94" i="41"/>
  <c r="AE94" i="41"/>
  <c r="AF94" i="41"/>
  <c r="AG94" i="41"/>
  <c r="AH94" i="41"/>
  <c r="AI94" i="41"/>
  <c r="AJ94" i="41"/>
  <c r="AK94" i="41"/>
  <c r="AM94" i="41"/>
  <c r="AN94" i="41"/>
  <c r="AO94" i="41"/>
  <c r="AP94" i="41"/>
  <c r="AQ94" i="41"/>
  <c r="AR94" i="41"/>
  <c r="AS94" i="41"/>
  <c r="AT94" i="41"/>
  <c r="AU94" i="41"/>
  <c r="AV94" i="41"/>
  <c r="AW94" i="41"/>
  <c r="AX94" i="41"/>
  <c r="Z95" i="41"/>
  <c r="AA95" i="41"/>
  <c r="AB95" i="41"/>
  <c r="AC95" i="41"/>
  <c r="AD95" i="41"/>
  <c r="AE95" i="41"/>
  <c r="AF95" i="41"/>
  <c r="AG95" i="41"/>
  <c r="AH95" i="41"/>
  <c r="AI95" i="41"/>
  <c r="AJ95" i="41"/>
  <c r="AK95" i="41"/>
  <c r="AM95" i="41"/>
  <c r="AN95" i="41"/>
  <c r="AO95" i="41"/>
  <c r="AP95" i="41"/>
  <c r="AQ95" i="41"/>
  <c r="AR95" i="41"/>
  <c r="AS95" i="41"/>
  <c r="AT95" i="41"/>
  <c r="AU95" i="41"/>
  <c r="AV95" i="41"/>
  <c r="AW95" i="41"/>
  <c r="AX95" i="41"/>
  <c r="Z96" i="41"/>
  <c r="AA96" i="41"/>
  <c r="AB96" i="41"/>
  <c r="AC96" i="41"/>
  <c r="AD96" i="41"/>
  <c r="AE96" i="41"/>
  <c r="AF96" i="41"/>
  <c r="AG96" i="41"/>
  <c r="AH96" i="41"/>
  <c r="AI96" i="41"/>
  <c r="AJ96" i="41"/>
  <c r="AK96" i="41"/>
  <c r="AM96" i="41"/>
  <c r="AN96" i="41"/>
  <c r="AO96" i="41"/>
  <c r="AP96" i="41"/>
  <c r="AQ96" i="41"/>
  <c r="AR96" i="41"/>
  <c r="AS96" i="41"/>
  <c r="AT96" i="41"/>
  <c r="AU96" i="41"/>
  <c r="AV96" i="41"/>
  <c r="AW96" i="41"/>
  <c r="AX96" i="41"/>
  <c r="Z97" i="41"/>
  <c r="AA97" i="41"/>
  <c r="AB97" i="41"/>
  <c r="AC97" i="41"/>
  <c r="AD97" i="41"/>
  <c r="AE97" i="41"/>
  <c r="AF97" i="41"/>
  <c r="AG97" i="41"/>
  <c r="AH97" i="41"/>
  <c r="AI97" i="41"/>
  <c r="AJ97" i="41"/>
  <c r="AK97" i="41"/>
  <c r="AM97" i="41"/>
  <c r="AN97" i="41"/>
  <c r="AO97" i="41"/>
  <c r="AP97" i="41"/>
  <c r="AQ97" i="41"/>
  <c r="AR97" i="41"/>
  <c r="AS97" i="41"/>
  <c r="AT97" i="41"/>
  <c r="AU97" i="41"/>
  <c r="AV97" i="41"/>
  <c r="AW97" i="41"/>
  <c r="AX97" i="41"/>
  <c r="Z98" i="41"/>
  <c r="AA98" i="41"/>
  <c r="AB98" i="41"/>
  <c r="AC98" i="41"/>
  <c r="AD98" i="41"/>
  <c r="AE98" i="41"/>
  <c r="AF98" i="41"/>
  <c r="AG98" i="41"/>
  <c r="AH98" i="41"/>
  <c r="AI98" i="41"/>
  <c r="AJ98" i="41"/>
  <c r="AK98" i="41"/>
  <c r="AM98" i="41"/>
  <c r="AN98" i="41"/>
  <c r="AO98" i="41"/>
  <c r="AP98" i="41"/>
  <c r="AQ98" i="41"/>
  <c r="AR98" i="41"/>
  <c r="AS98" i="41"/>
  <c r="AT98" i="41"/>
  <c r="AU98" i="41"/>
  <c r="AV98" i="41"/>
  <c r="AW98" i="41"/>
  <c r="AX98" i="41"/>
  <c r="Z99" i="41"/>
  <c r="AA99" i="41"/>
  <c r="AB99" i="41"/>
  <c r="AC99" i="41"/>
  <c r="AD99" i="41"/>
  <c r="AE99" i="41"/>
  <c r="AF99" i="41"/>
  <c r="AG99" i="41"/>
  <c r="AH99" i="41"/>
  <c r="AI99" i="41"/>
  <c r="AJ99" i="41"/>
  <c r="AK99" i="41"/>
  <c r="AM99" i="41"/>
  <c r="AN99" i="41"/>
  <c r="AO99" i="41"/>
  <c r="AP99" i="41"/>
  <c r="AQ99" i="41"/>
  <c r="AR99" i="41"/>
  <c r="AS99" i="41"/>
  <c r="AT99" i="41"/>
  <c r="AU99" i="41"/>
  <c r="AV99" i="41"/>
  <c r="AW99" i="41"/>
  <c r="AX99" i="41"/>
  <c r="Z100" i="41"/>
  <c r="AA100" i="41"/>
  <c r="AB100" i="41"/>
  <c r="AC100" i="41"/>
  <c r="AD100" i="41"/>
  <c r="AE100" i="41"/>
  <c r="AF100" i="41"/>
  <c r="AG100" i="41"/>
  <c r="AH100" i="41"/>
  <c r="AI100" i="41"/>
  <c r="AJ100" i="41"/>
  <c r="AK100" i="41"/>
  <c r="AM100" i="41"/>
  <c r="AN100" i="41"/>
  <c r="AO100" i="41"/>
  <c r="AP100" i="41"/>
  <c r="AQ100" i="41"/>
  <c r="AR100" i="41"/>
  <c r="AS100" i="41"/>
  <c r="AT100" i="41"/>
  <c r="AU100" i="41"/>
  <c r="AV100" i="41"/>
  <c r="AW100" i="41"/>
  <c r="AX100" i="41"/>
  <c r="Z101" i="41"/>
  <c r="AA101" i="41"/>
  <c r="AB101" i="41"/>
  <c r="AC101" i="41"/>
  <c r="AD101" i="41"/>
  <c r="AE101" i="41"/>
  <c r="AF101" i="41"/>
  <c r="AG101" i="41"/>
  <c r="AH101" i="41"/>
  <c r="AI101" i="41"/>
  <c r="AJ101" i="41"/>
  <c r="AK101" i="41"/>
  <c r="AM101" i="41"/>
  <c r="AN101" i="41"/>
  <c r="AO101" i="41"/>
  <c r="AP101" i="41"/>
  <c r="AQ101" i="41"/>
  <c r="AR101" i="41"/>
  <c r="AS101" i="41"/>
  <c r="AT101" i="41"/>
  <c r="AU101" i="41"/>
  <c r="AV101" i="41"/>
  <c r="AW101" i="41"/>
  <c r="AX101" i="41"/>
  <c r="Z102" i="41"/>
  <c r="AA102" i="41"/>
  <c r="AB102" i="41"/>
  <c r="AC102" i="41"/>
  <c r="AD102" i="41"/>
  <c r="AE102" i="41"/>
  <c r="AF102" i="41"/>
  <c r="AG102" i="41"/>
  <c r="AH102" i="41"/>
  <c r="AI102" i="41"/>
  <c r="AJ102" i="41"/>
  <c r="AK102" i="41"/>
  <c r="AM102" i="41"/>
  <c r="AN102" i="41"/>
  <c r="AO102" i="41"/>
  <c r="AP102" i="41"/>
  <c r="AQ102" i="41"/>
  <c r="AR102" i="41"/>
  <c r="AS102" i="41"/>
  <c r="AT102" i="41"/>
  <c r="AU102" i="41"/>
  <c r="AV102" i="41"/>
  <c r="AW102" i="41"/>
  <c r="AX102" i="41"/>
  <c r="Z103" i="41"/>
  <c r="AA103" i="41"/>
  <c r="AB103" i="41"/>
  <c r="AC103" i="41"/>
  <c r="AD103" i="41"/>
  <c r="AE103" i="41"/>
  <c r="AF103" i="41"/>
  <c r="AG103" i="41"/>
  <c r="AH103" i="41"/>
  <c r="AI103" i="41"/>
  <c r="AJ103" i="41"/>
  <c r="AK103" i="41"/>
  <c r="AM103" i="41"/>
  <c r="AN103" i="41"/>
  <c r="AO103" i="41"/>
  <c r="AP103" i="41"/>
  <c r="AQ103" i="41"/>
  <c r="AR103" i="41"/>
  <c r="AS103" i="41"/>
  <c r="AT103" i="41"/>
  <c r="AU103" i="41"/>
  <c r="AV103" i="41"/>
  <c r="AW103" i="41"/>
  <c r="AX103" i="41"/>
  <c r="Z104" i="41"/>
  <c r="AA104" i="41"/>
  <c r="AB104" i="41"/>
  <c r="AC104" i="41"/>
  <c r="AD104" i="41"/>
  <c r="AE104" i="41"/>
  <c r="AF104" i="41"/>
  <c r="AG104" i="41"/>
  <c r="AH104" i="41"/>
  <c r="AI104" i="41"/>
  <c r="AJ104" i="41"/>
  <c r="AK104" i="41"/>
  <c r="AM104" i="41"/>
  <c r="AN104" i="41"/>
  <c r="AO104" i="41"/>
  <c r="AP104" i="41"/>
  <c r="AQ104" i="41"/>
  <c r="AR104" i="41"/>
  <c r="AS104" i="41"/>
  <c r="AT104" i="41"/>
  <c r="AU104" i="41"/>
  <c r="AV104" i="41"/>
  <c r="AW104" i="41"/>
  <c r="AX104" i="41"/>
  <c r="Z105" i="41"/>
  <c r="AA105" i="41"/>
  <c r="AB105" i="41"/>
  <c r="AC105" i="41"/>
  <c r="AD105" i="41"/>
  <c r="AE105" i="41"/>
  <c r="AF105" i="41"/>
  <c r="AG105" i="41"/>
  <c r="AH105" i="41"/>
  <c r="AI105" i="41"/>
  <c r="AJ105" i="41"/>
  <c r="AK105" i="41"/>
  <c r="AM105" i="41"/>
  <c r="AN105" i="41"/>
  <c r="AO105" i="41"/>
  <c r="AP105" i="41"/>
  <c r="AQ105" i="41"/>
  <c r="AR105" i="41"/>
  <c r="AS105" i="41"/>
  <c r="AT105" i="41"/>
  <c r="AU105" i="41"/>
  <c r="AV105" i="41"/>
  <c r="AW105" i="41"/>
  <c r="AX105" i="41"/>
  <c r="Z106" i="41"/>
  <c r="AA106" i="41"/>
  <c r="AB106" i="41"/>
  <c r="AC106" i="41"/>
  <c r="AD106" i="41"/>
  <c r="AE106" i="41"/>
  <c r="AF106" i="41"/>
  <c r="AG106" i="41"/>
  <c r="AH106" i="41"/>
  <c r="AI106" i="41"/>
  <c r="AJ106" i="41"/>
  <c r="AK106" i="41"/>
  <c r="AM106" i="41"/>
  <c r="AN106" i="41"/>
  <c r="AO106" i="41"/>
  <c r="AP106" i="41"/>
  <c r="AQ106" i="41"/>
  <c r="AR106" i="41"/>
  <c r="AS106" i="41"/>
  <c r="AT106" i="41"/>
  <c r="AU106" i="41"/>
  <c r="AV106" i="41"/>
  <c r="AW106" i="41"/>
  <c r="AX106" i="41"/>
  <c r="Z107" i="41"/>
  <c r="AA107" i="41"/>
  <c r="AB107" i="41"/>
  <c r="AC107" i="41"/>
  <c r="AD107" i="41"/>
  <c r="AE107" i="41"/>
  <c r="AF107" i="41"/>
  <c r="AG107" i="41"/>
  <c r="AH107" i="41"/>
  <c r="AI107" i="41"/>
  <c r="AJ107" i="41"/>
  <c r="AK107" i="41"/>
  <c r="AM107" i="41"/>
  <c r="AN107" i="41"/>
  <c r="AO107" i="41"/>
  <c r="AP107" i="41"/>
  <c r="AQ107" i="41"/>
  <c r="AR107" i="41"/>
  <c r="AS107" i="41"/>
  <c r="AT107" i="41"/>
  <c r="AU107" i="41"/>
  <c r="AV107" i="41"/>
  <c r="AW107" i="41"/>
  <c r="AX107" i="41"/>
  <c r="Z108" i="41"/>
  <c r="AA108" i="41"/>
  <c r="AB108" i="41"/>
  <c r="AC108" i="41"/>
  <c r="AD108" i="41"/>
  <c r="AE108" i="41"/>
  <c r="AF108" i="41"/>
  <c r="AG108" i="41"/>
  <c r="AH108" i="41"/>
  <c r="AI108" i="41"/>
  <c r="AJ108" i="41"/>
  <c r="AK108" i="41"/>
  <c r="AM108" i="41"/>
  <c r="AN108" i="41"/>
  <c r="AO108" i="41"/>
  <c r="AP108" i="41"/>
  <c r="AQ108" i="41"/>
  <c r="AR108" i="41"/>
  <c r="AS108" i="41"/>
  <c r="AT108" i="41"/>
  <c r="AU108" i="41"/>
  <c r="AV108" i="41"/>
  <c r="AW108" i="41"/>
  <c r="AX108" i="41"/>
  <c r="Z109" i="41"/>
  <c r="AA109" i="41"/>
  <c r="AB109" i="41"/>
  <c r="AC109" i="41"/>
  <c r="AD109" i="41"/>
  <c r="AE109" i="41"/>
  <c r="AF109" i="41"/>
  <c r="AG109" i="41"/>
  <c r="AH109" i="41"/>
  <c r="AI109" i="41"/>
  <c r="AJ109" i="41"/>
  <c r="AK109" i="41"/>
  <c r="AM109" i="41"/>
  <c r="AN109" i="41"/>
  <c r="AO109" i="41"/>
  <c r="AP109" i="41"/>
  <c r="AQ109" i="41"/>
  <c r="AR109" i="41"/>
  <c r="AS109" i="41"/>
  <c r="AT109" i="41"/>
  <c r="AU109" i="41"/>
  <c r="AV109" i="41"/>
  <c r="AW109" i="41"/>
  <c r="AX109" i="41"/>
  <c r="Z110" i="41"/>
  <c r="AA110" i="41"/>
  <c r="AB110" i="41"/>
  <c r="AC110" i="41"/>
  <c r="AD110" i="41"/>
  <c r="AE110" i="41"/>
  <c r="AF110" i="41"/>
  <c r="AG110" i="41"/>
  <c r="AH110" i="41"/>
  <c r="AI110" i="41"/>
  <c r="AJ110" i="41"/>
  <c r="AK110" i="41"/>
  <c r="AM110" i="41"/>
  <c r="AN110" i="41"/>
  <c r="AO110" i="41"/>
  <c r="AP110" i="41"/>
  <c r="AQ110" i="41"/>
  <c r="AR110" i="41"/>
  <c r="AS110" i="41"/>
  <c r="AT110" i="41"/>
  <c r="AU110" i="41"/>
  <c r="AV110" i="41"/>
  <c r="AW110" i="41"/>
  <c r="AX110" i="41"/>
  <c r="Z111" i="41"/>
  <c r="AA111" i="41"/>
  <c r="AB111" i="41"/>
  <c r="AC111" i="41"/>
  <c r="AD111" i="41"/>
  <c r="AE111" i="41"/>
  <c r="AF111" i="41"/>
  <c r="AG111" i="41"/>
  <c r="AH111" i="41"/>
  <c r="AI111" i="41"/>
  <c r="AJ111" i="41"/>
  <c r="AK111" i="41"/>
  <c r="AM111" i="41"/>
  <c r="AN111" i="41"/>
  <c r="AO111" i="41"/>
  <c r="AP111" i="41"/>
  <c r="AQ111" i="41"/>
  <c r="AR111" i="41"/>
  <c r="AS111" i="41"/>
  <c r="AT111" i="41"/>
  <c r="AU111" i="41"/>
  <c r="AV111" i="41"/>
  <c r="AW111" i="41"/>
  <c r="AX111" i="41"/>
  <c r="Z112" i="41"/>
  <c r="AA112" i="41"/>
  <c r="AB112" i="41"/>
  <c r="AC112" i="41"/>
  <c r="AD112" i="41"/>
  <c r="AE112" i="41"/>
  <c r="AF112" i="41"/>
  <c r="AG112" i="41"/>
  <c r="AH112" i="41"/>
  <c r="AI112" i="41"/>
  <c r="AJ112" i="41"/>
  <c r="AK112" i="41"/>
  <c r="AM112" i="41"/>
  <c r="AN112" i="41"/>
  <c r="AO112" i="41"/>
  <c r="AP112" i="41"/>
  <c r="AQ112" i="41"/>
  <c r="AR112" i="41"/>
  <c r="AS112" i="41"/>
  <c r="AT112" i="41"/>
  <c r="AU112" i="41"/>
  <c r="AV112" i="41"/>
  <c r="AW112" i="41"/>
  <c r="AX112" i="41"/>
  <c r="Z113" i="41"/>
  <c r="AA113" i="41"/>
  <c r="AB113" i="41"/>
  <c r="AC113" i="41"/>
  <c r="AD113" i="41"/>
  <c r="AE113" i="41"/>
  <c r="AF113" i="41"/>
  <c r="AG113" i="41"/>
  <c r="AH113" i="41"/>
  <c r="AI113" i="41"/>
  <c r="AJ113" i="41"/>
  <c r="AK113" i="41"/>
  <c r="AM113" i="41"/>
  <c r="AN113" i="41"/>
  <c r="AO113" i="41"/>
  <c r="AP113" i="41"/>
  <c r="AQ113" i="41"/>
  <c r="AR113" i="41"/>
  <c r="AS113" i="41"/>
  <c r="AT113" i="41"/>
  <c r="AU113" i="41"/>
  <c r="AV113" i="41"/>
  <c r="AW113" i="41"/>
  <c r="AX113" i="41"/>
  <c r="Z114" i="41"/>
  <c r="AA114" i="41"/>
  <c r="AB114" i="41"/>
  <c r="AC114" i="41"/>
  <c r="AD114" i="41"/>
  <c r="AE114" i="41"/>
  <c r="AF114" i="41"/>
  <c r="AG114" i="41"/>
  <c r="AH114" i="41"/>
  <c r="AI114" i="41"/>
  <c r="AJ114" i="41"/>
  <c r="AK114" i="41"/>
  <c r="AM114" i="41"/>
  <c r="AN114" i="41"/>
  <c r="AO114" i="41"/>
  <c r="AP114" i="41"/>
  <c r="AQ114" i="41"/>
  <c r="AR114" i="41"/>
  <c r="AS114" i="41"/>
  <c r="AT114" i="41"/>
  <c r="AU114" i="41"/>
  <c r="AV114" i="41"/>
  <c r="AW114" i="41"/>
  <c r="AX114" i="41"/>
  <c r="Z115" i="41"/>
  <c r="AA115" i="41"/>
  <c r="AB115" i="41"/>
  <c r="AC115" i="41"/>
  <c r="AD115" i="41"/>
  <c r="AE115" i="41"/>
  <c r="AF115" i="41"/>
  <c r="AG115" i="41"/>
  <c r="AH115" i="41"/>
  <c r="AI115" i="41"/>
  <c r="AJ115" i="41"/>
  <c r="AK115" i="41"/>
  <c r="AM115" i="41"/>
  <c r="AN115" i="41"/>
  <c r="AO115" i="41"/>
  <c r="AP115" i="41"/>
  <c r="AQ115" i="41"/>
  <c r="AR115" i="41"/>
  <c r="AS115" i="41"/>
  <c r="AT115" i="41"/>
  <c r="AU115" i="41"/>
  <c r="AV115" i="41"/>
  <c r="AW115" i="41"/>
  <c r="AX115" i="41"/>
  <c r="Z116" i="41"/>
  <c r="AA116" i="41"/>
  <c r="AB116" i="41"/>
  <c r="AC116" i="41"/>
  <c r="AD116" i="41"/>
  <c r="AE116" i="41"/>
  <c r="AF116" i="41"/>
  <c r="AG116" i="41"/>
  <c r="AH116" i="41"/>
  <c r="AI116" i="41"/>
  <c r="AJ116" i="41"/>
  <c r="AK116" i="41"/>
  <c r="AM116" i="41"/>
  <c r="AN116" i="41"/>
  <c r="AO116" i="41"/>
  <c r="AP116" i="41"/>
  <c r="AQ116" i="41"/>
  <c r="AR116" i="41"/>
  <c r="AS116" i="41"/>
  <c r="AT116" i="41"/>
  <c r="AU116" i="41"/>
  <c r="AV116" i="41"/>
  <c r="AW116" i="41"/>
  <c r="AX116" i="41"/>
  <c r="Z117" i="41"/>
  <c r="AA117" i="41"/>
  <c r="AB117" i="41"/>
  <c r="AC117" i="41"/>
  <c r="AD117" i="41"/>
  <c r="AE117" i="41"/>
  <c r="AF117" i="41"/>
  <c r="AG117" i="41"/>
  <c r="AH117" i="41"/>
  <c r="AI117" i="41"/>
  <c r="AJ117" i="41"/>
  <c r="AK117" i="41"/>
  <c r="AM117" i="41"/>
  <c r="AN117" i="41"/>
  <c r="AO117" i="41"/>
  <c r="AP117" i="41"/>
  <c r="AQ117" i="41"/>
  <c r="AR117" i="41"/>
  <c r="AS117" i="41"/>
  <c r="AT117" i="41"/>
  <c r="AU117" i="41"/>
  <c r="AV117" i="41"/>
  <c r="AW117" i="41"/>
  <c r="AX117" i="41"/>
  <c r="Z118" i="41"/>
  <c r="AA118" i="41"/>
  <c r="AB118" i="41"/>
  <c r="AC118" i="41"/>
  <c r="AD118" i="41"/>
  <c r="AE118" i="41"/>
  <c r="AF118" i="41"/>
  <c r="AG118" i="41"/>
  <c r="AH118" i="41"/>
  <c r="AI118" i="41"/>
  <c r="AJ118" i="41"/>
  <c r="AK118" i="41"/>
  <c r="AM118" i="41"/>
  <c r="AN118" i="41"/>
  <c r="AO118" i="41"/>
  <c r="AP118" i="41"/>
  <c r="AQ118" i="41"/>
  <c r="AR118" i="41"/>
  <c r="AS118" i="41"/>
  <c r="AT118" i="41"/>
  <c r="AU118" i="41"/>
  <c r="AV118" i="41"/>
  <c r="AW118" i="41"/>
  <c r="AX118" i="41"/>
  <c r="Z119" i="41"/>
  <c r="AA119" i="41"/>
  <c r="AB119" i="41"/>
  <c r="AC119" i="41"/>
  <c r="AD119" i="41"/>
  <c r="AE119" i="41"/>
  <c r="AF119" i="41"/>
  <c r="AG119" i="41"/>
  <c r="AH119" i="41"/>
  <c r="AI119" i="41"/>
  <c r="AJ119" i="41"/>
  <c r="AK119" i="41"/>
  <c r="AM119" i="41"/>
  <c r="AN119" i="41"/>
  <c r="AO119" i="41"/>
  <c r="AP119" i="41"/>
  <c r="AQ119" i="41"/>
  <c r="AR119" i="41"/>
  <c r="AS119" i="41"/>
  <c r="AT119" i="41"/>
  <c r="AU119" i="41"/>
  <c r="AV119" i="41"/>
  <c r="AW119" i="41"/>
  <c r="AX119" i="41"/>
  <c r="Z120" i="41"/>
  <c r="AA120" i="41"/>
  <c r="AB120" i="41"/>
  <c r="AC120" i="41"/>
  <c r="AD120" i="41"/>
  <c r="AE120" i="41"/>
  <c r="AF120" i="41"/>
  <c r="AG120" i="41"/>
  <c r="AH120" i="41"/>
  <c r="AI120" i="41"/>
  <c r="AJ120" i="41"/>
  <c r="AK120" i="41"/>
  <c r="AM120" i="41"/>
  <c r="AN120" i="41"/>
  <c r="AO120" i="41"/>
  <c r="AP120" i="41"/>
  <c r="AQ120" i="41"/>
  <c r="AR120" i="41"/>
  <c r="AS120" i="41"/>
  <c r="AT120" i="41"/>
  <c r="AU120" i="41"/>
  <c r="AV120" i="41"/>
  <c r="AW120" i="41"/>
  <c r="AX120" i="41"/>
  <c r="Z121" i="41"/>
  <c r="AA121" i="41"/>
  <c r="AB121" i="41"/>
  <c r="AC121" i="41"/>
  <c r="AD121" i="41"/>
  <c r="AE121" i="41"/>
  <c r="AF121" i="41"/>
  <c r="AG121" i="41"/>
  <c r="AH121" i="41"/>
  <c r="AI121" i="41"/>
  <c r="AJ121" i="41"/>
  <c r="AK121" i="41"/>
  <c r="AM121" i="41"/>
  <c r="AN121" i="41"/>
  <c r="AO121" i="41"/>
  <c r="AP121" i="41"/>
  <c r="AQ121" i="41"/>
  <c r="AR121" i="41"/>
  <c r="AS121" i="41"/>
  <c r="AT121" i="41"/>
  <c r="AU121" i="41"/>
  <c r="AV121" i="41"/>
  <c r="AW121" i="41"/>
  <c r="AX121" i="41"/>
  <c r="Z122" i="41"/>
  <c r="AA122" i="41"/>
  <c r="AB122" i="41"/>
  <c r="AC122" i="41"/>
  <c r="AD122" i="41"/>
  <c r="AE122" i="41"/>
  <c r="AF122" i="41"/>
  <c r="AG122" i="41"/>
  <c r="AH122" i="41"/>
  <c r="AI122" i="41"/>
  <c r="AJ122" i="41"/>
  <c r="AK122" i="41"/>
  <c r="AM122" i="41"/>
  <c r="AN122" i="41"/>
  <c r="AO122" i="41"/>
  <c r="AP122" i="41"/>
  <c r="AQ122" i="41"/>
  <c r="AR122" i="41"/>
  <c r="AS122" i="41"/>
  <c r="AT122" i="41"/>
  <c r="AU122" i="41"/>
  <c r="AV122" i="41"/>
  <c r="AW122" i="41"/>
  <c r="AX122" i="41"/>
  <c r="Z123" i="41"/>
  <c r="AA123" i="41"/>
  <c r="AB123" i="41"/>
  <c r="AC123" i="41"/>
  <c r="AD123" i="41"/>
  <c r="AE123" i="41"/>
  <c r="AF123" i="41"/>
  <c r="AG123" i="41"/>
  <c r="AH123" i="41"/>
  <c r="AI123" i="41"/>
  <c r="AJ123" i="41"/>
  <c r="AK123" i="41"/>
  <c r="AM123" i="41"/>
  <c r="AN123" i="41"/>
  <c r="AO123" i="41"/>
  <c r="AP123" i="41"/>
  <c r="AQ123" i="41"/>
  <c r="AR123" i="41"/>
  <c r="AS123" i="41"/>
  <c r="AT123" i="41"/>
  <c r="AU123" i="41"/>
  <c r="AV123" i="41"/>
  <c r="AW123" i="41"/>
  <c r="AX123" i="41"/>
  <c r="Z124" i="41"/>
  <c r="AA124" i="41"/>
  <c r="AB124" i="41"/>
  <c r="AC124" i="41"/>
  <c r="AD124" i="41"/>
  <c r="AE124" i="41"/>
  <c r="AF124" i="41"/>
  <c r="AG124" i="41"/>
  <c r="AH124" i="41"/>
  <c r="AI124" i="41"/>
  <c r="AJ124" i="41"/>
  <c r="AK124" i="41"/>
  <c r="AM124" i="41"/>
  <c r="AN124" i="41"/>
  <c r="AO124" i="41"/>
  <c r="AP124" i="41"/>
  <c r="AQ124" i="41"/>
  <c r="AR124" i="41"/>
  <c r="AS124" i="41"/>
  <c r="AT124" i="41"/>
  <c r="AU124" i="41"/>
  <c r="AV124" i="41"/>
  <c r="AW124" i="41"/>
  <c r="AX124" i="41"/>
  <c r="Z125" i="41"/>
  <c r="AA125" i="41"/>
  <c r="AB125" i="41"/>
  <c r="AC125" i="41"/>
  <c r="AD125" i="41"/>
  <c r="AE125" i="41"/>
  <c r="AF125" i="41"/>
  <c r="AG125" i="41"/>
  <c r="AH125" i="41"/>
  <c r="AI125" i="41"/>
  <c r="AJ125" i="41"/>
  <c r="AK125" i="41"/>
  <c r="AM125" i="41"/>
  <c r="AN125" i="41"/>
  <c r="AO125" i="41"/>
  <c r="AP125" i="41"/>
  <c r="AQ125" i="41"/>
  <c r="AR125" i="41"/>
  <c r="AS125" i="41"/>
  <c r="AT125" i="41"/>
  <c r="AU125" i="41"/>
  <c r="AV125" i="41"/>
  <c r="AW125" i="41"/>
  <c r="AX125" i="41"/>
  <c r="Z126" i="41"/>
  <c r="AA126" i="41"/>
  <c r="AB126" i="41"/>
  <c r="AC126" i="41"/>
  <c r="AD126" i="41"/>
  <c r="AE126" i="41"/>
  <c r="AF126" i="41"/>
  <c r="AG126" i="41"/>
  <c r="AH126" i="41"/>
  <c r="AI126" i="41"/>
  <c r="AJ126" i="41"/>
  <c r="AK126" i="41"/>
  <c r="AM126" i="41"/>
  <c r="AN126" i="41"/>
  <c r="AO126" i="41"/>
  <c r="AP126" i="41"/>
  <c r="AQ126" i="41"/>
  <c r="AR126" i="41"/>
  <c r="AS126" i="41"/>
  <c r="AT126" i="41"/>
  <c r="AU126" i="41"/>
  <c r="AV126" i="41"/>
  <c r="AW126" i="41"/>
  <c r="AX126" i="41"/>
  <c r="Z127" i="41"/>
  <c r="AA127" i="41"/>
  <c r="AB127" i="41"/>
  <c r="AC127" i="41"/>
  <c r="AD127" i="41"/>
  <c r="AE127" i="41"/>
  <c r="AF127" i="41"/>
  <c r="AG127" i="41"/>
  <c r="AH127" i="41"/>
  <c r="AI127" i="41"/>
  <c r="AJ127" i="41"/>
  <c r="AK127" i="41"/>
  <c r="AM127" i="41"/>
  <c r="AN127" i="41"/>
  <c r="AO127" i="41"/>
  <c r="AP127" i="41"/>
  <c r="AQ127" i="41"/>
  <c r="AR127" i="41"/>
  <c r="AS127" i="41"/>
  <c r="AT127" i="41"/>
  <c r="AU127" i="41"/>
  <c r="AV127" i="41"/>
  <c r="AW127" i="41"/>
  <c r="AX127" i="41"/>
  <c r="Z128" i="41"/>
  <c r="AA128" i="41"/>
  <c r="AB128" i="41"/>
  <c r="AC128" i="41"/>
  <c r="AD128" i="41"/>
  <c r="AE128" i="41"/>
  <c r="AF128" i="41"/>
  <c r="AG128" i="41"/>
  <c r="AH128" i="41"/>
  <c r="AI128" i="41"/>
  <c r="AJ128" i="41"/>
  <c r="AK128" i="41"/>
  <c r="AM128" i="41"/>
  <c r="AN128" i="41"/>
  <c r="AO128" i="41"/>
  <c r="AP128" i="41"/>
  <c r="AQ128" i="41"/>
  <c r="AR128" i="41"/>
  <c r="AS128" i="41"/>
  <c r="AT128" i="41"/>
  <c r="AU128" i="41"/>
  <c r="AV128" i="41"/>
  <c r="AW128" i="41"/>
  <c r="AX128" i="41"/>
  <c r="Z129" i="41"/>
  <c r="AA129" i="41"/>
  <c r="AB129" i="41"/>
  <c r="AC129" i="41"/>
  <c r="AD129" i="41"/>
  <c r="AE129" i="41"/>
  <c r="AF129" i="41"/>
  <c r="AG129" i="41"/>
  <c r="AH129" i="41"/>
  <c r="AI129" i="41"/>
  <c r="AJ129" i="41"/>
  <c r="AK129" i="41"/>
  <c r="AM129" i="41"/>
  <c r="AN129" i="41"/>
  <c r="AO129" i="41"/>
  <c r="AP129" i="41"/>
  <c r="AQ129" i="41"/>
  <c r="AR129" i="41"/>
  <c r="AS129" i="41"/>
  <c r="AT129" i="41"/>
  <c r="AU129" i="41"/>
  <c r="AV129" i="41"/>
  <c r="AW129" i="41"/>
  <c r="AX129" i="41"/>
  <c r="Z130" i="41"/>
  <c r="AA130" i="41"/>
  <c r="AB130" i="41"/>
  <c r="AC130" i="41"/>
  <c r="AD130" i="41"/>
  <c r="AE130" i="41"/>
  <c r="AF130" i="41"/>
  <c r="AG130" i="41"/>
  <c r="AH130" i="41"/>
  <c r="AI130" i="41"/>
  <c r="AJ130" i="41"/>
  <c r="AK130" i="41"/>
  <c r="AM130" i="41"/>
  <c r="AN130" i="41"/>
  <c r="AO130" i="41"/>
  <c r="AP130" i="41"/>
  <c r="AQ130" i="41"/>
  <c r="AR130" i="41"/>
  <c r="AS130" i="41"/>
  <c r="AT130" i="41"/>
  <c r="AU130" i="41"/>
  <c r="AV130" i="41"/>
  <c r="AW130" i="41"/>
  <c r="AX130" i="41"/>
  <c r="Z131" i="41"/>
  <c r="AA131" i="41"/>
  <c r="AB131" i="41"/>
  <c r="AC131" i="41"/>
  <c r="AD131" i="41"/>
  <c r="AE131" i="41"/>
  <c r="AF131" i="41"/>
  <c r="AG131" i="41"/>
  <c r="AH131" i="41"/>
  <c r="AI131" i="41"/>
  <c r="AJ131" i="41"/>
  <c r="AK131" i="41"/>
  <c r="AM131" i="41"/>
  <c r="AN131" i="41"/>
  <c r="AO131" i="41"/>
  <c r="AP131" i="41"/>
  <c r="AQ131" i="41"/>
  <c r="AR131" i="41"/>
  <c r="AS131" i="41"/>
  <c r="AT131" i="41"/>
  <c r="AU131" i="41"/>
  <c r="AV131" i="41"/>
  <c r="AW131" i="41"/>
  <c r="AX131" i="41"/>
  <c r="Z132" i="41"/>
  <c r="AA132" i="41"/>
  <c r="AB132" i="41"/>
  <c r="AC132" i="41"/>
  <c r="AD132" i="41"/>
  <c r="AE132" i="41"/>
  <c r="AF132" i="41"/>
  <c r="AG132" i="41"/>
  <c r="AH132" i="41"/>
  <c r="AI132" i="41"/>
  <c r="AJ132" i="41"/>
  <c r="AK132" i="41"/>
  <c r="AM132" i="41"/>
  <c r="AN132" i="41"/>
  <c r="AO132" i="41"/>
  <c r="AP132" i="41"/>
  <c r="AQ132" i="41"/>
  <c r="AR132" i="41"/>
  <c r="AS132" i="41"/>
  <c r="AT132" i="41"/>
  <c r="AU132" i="41"/>
  <c r="AV132" i="41"/>
  <c r="AW132" i="41"/>
  <c r="AX132" i="41"/>
  <c r="Z133" i="41"/>
  <c r="AA133" i="41"/>
  <c r="AB133" i="41"/>
  <c r="AC133" i="41"/>
  <c r="AD133" i="41"/>
  <c r="AE133" i="41"/>
  <c r="AF133" i="41"/>
  <c r="AG133" i="41"/>
  <c r="AH133" i="41"/>
  <c r="AI133" i="41"/>
  <c r="AJ133" i="41"/>
  <c r="AK133" i="41"/>
  <c r="AM133" i="41"/>
  <c r="AN133" i="41"/>
  <c r="AO133" i="41"/>
  <c r="AP133" i="41"/>
  <c r="AQ133" i="41"/>
  <c r="AR133" i="41"/>
  <c r="AS133" i="41"/>
  <c r="AT133" i="41"/>
  <c r="AU133" i="41"/>
  <c r="AV133" i="41"/>
  <c r="AW133" i="41"/>
  <c r="AX133" i="41"/>
  <c r="Z134" i="41"/>
  <c r="AA134" i="41"/>
  <c r="AB134" i="41"/>
  <c r="AC134" i="41"/>
  <c r="AD134" i="41"/>
  <c r="AE134" i="41"/>
  <c r="AF134" i="41"/>
  <c r="AG134" i="41"/>
  <c r="AH134" i="41"/>
  <c r="AI134" i="41"/>
  <c r="AJ134" i="41"/>
  <c r="AK134" i="41"/>
  <c r="AM134" i="41"/>
  <c r="AN134" i="41"/>
  <c r="AO134" i="41"/>
  <c r="AP134" i="41"/>
  <c r="AQ134" i="41"/>
  <c r="AR134" i="41"/>
  <c r="AS134" i="41"/>
  <c r="AT134" i="41"/>
  <c r="AU134" i="41"/>
  <c r="AV134" i="41"/>
  <c r="AW134" i="41"/>
  <c r="AX134" i="41"/>
  <c r="Z135" i="41"/>
  <c r="AA135" i="41"/>
  <c r="AB135" i="41"/>
  <c r="AC135" i="41"/>
  <c r="AD135" i="41"/>
  <c r="AE135" i="41"/>
  <c r="AF135" i="41"/>
  <c r="AG135" i="41"/>
  <c r="AH135" i="41"/>
  <c r="AI135" i="41"/>
  <c r="AJ135" i="41"/>
  <c r="AK135" i="41"/>
  <c r="AM135" i="41"/>
  <c r="AN135" i="41"/>
  <c r="AO135" i="41"/>
  <c r="AP135" i="41"/>
  <c r="AQ135" i="41"/>
  <c r="AR135" i="41"/>
  <c r="AS135" i="41"/>
  <c r="AT135" i="41"/>
  <c r="AU135" i="41"/>
  <c r="AV135" i="41"/>
  <c r="AW135" i="41"/>
  <c r="AX135" i="41"/>
  <c r="Z136" i="41"/>
  <c r="AA136" i="41"/>
  <c r="AB136" i="41"/>
  <c r="AC136" i="41"/>
  <c r="AD136" i="41"/>
  <c r="AE136" i="41"/>
  <c r="AF136" i="41"/>
  <c r="AG136" i="41"/>
  <c r="AH136" i="41"/>
  <c r="AI136" i="41"/>
  <c r="AJ136" i="41"/>
  <c r="AK136" i="41"/>
  <c r="AM136" i="41"/>
  <c r="AN136" i="41"/>
  <c r="AO136" i="41"/>
  <c r="AP136" i="41"/>
  <c r="AQ136" i="41"/>
  <c r="AR136" i="41"/>
  <c r="AS136" i="41"/>
  <c r="AT136" i="41"/>
  <c r="AU136" i="41"/>
  <c r="AV136" i="41"/>
  <c r="AW136" i="41"/>
  <c r="AX136" i="41"/>
  <c r="Z137" i="41"/>
  <c r="AA137" i="41"/>
  <c r="AB137" i="41"/>
  <c r="AC137" i="41"/>
  <c r="AD137" i="41"/>
  <c r="AE137" i="41"/>
  <c r="AF137" i="41"/>
  <c r="AG137" i="41"/>
  <c r="AH137" i="41"/>
  <c r="AI137" i="41"/>
  <c r="AJ137" i="41"/>
  <c r="AK137" i="41"/>
  <c r="AM137" i="41"/>
  <c r="AN137" i="41"/>
  <c r="AO137" i="41"/>
  <c r="AP137" i="41"/>
  <c r="AQ137" i="41"/>
  <c r="AR137" i="41"/>
  <c r="AS137" i="41"/>
  <c r="AT137" i="41"/>
  <c r="AU137" i="41"/>
  <c r="AV137" i="41"/>
  <c r="AW137" i="41"/>
  <c r="AX137" i="41"/>
  <c r="Z138" i="41"/>
  <c r="AA138" i="41"/>
  <c r="AB138" i="41"/>
  <c r="AC138" i="41"/>
  <c r="AD138" i="41"/>
  <c r="AE138" i="41"/>
  <c r="AF138" i="41"/>
  <c r="AG138" i="41"/>
  <c r="AH138" i="41"/>
  <c r="AI138" i="41"/>
  <c r="AJ138" i="41"/>
  <c r="AK138" i="41"/>
  <c r="AM138" i="41"/>
  <c r="AN138" i="41"/>
  <c r="AO138" i="41"/>
  <c r="AP138" i="41"/>
  <c r="AQ138" i="41"/>
  <c r="AR138" i="41"/>
  <c r="AS138" i="41"/>
  <c r="AT138" i="41"/>
  <c r="AU138" i="41"/>
  <c r="AV138" i="41"/>
  <c r="AW138" i="41"/>
  <c r="AX138" i="41"/>
  <c r="Z139" i="41"/>
  <c r="AA139" i="41"/>
  <c r="AB139" i="41"/>
  <c r="AC139" i="41"/>
  <c r="AD139" i="41"/>
  <c r="AE139" i="41"/>
  <c r="AF139" i="41"/>
  <c r="AG139" i="41"/>
  <c r="AH139" i="41"/>
  <c r="AI139" i="41"/>
  <c r="AJ139" i="41"/>
  <c r="AK139" i="41"/>
  <c r="AM139" i="41"/>
  <c r="AN139" i="41"/>
  <c r="AO139" i="41"/>
  <c r="AP139" i="41"/>
  <c r="AQ139" i="41"/>
  <c r="AR139" i="41"/>
  <c r="AS139" i="41"/>
  <c r="AT139" i="41"/>
  <c r="AU139" i="41"/>
  <c r="AV139" i="41"/>
  <c r="AW139" i="41"/>
  <c r="AX139" i="41"/>
  <c r="Z140" i="41"/>
  <c r="AA140" i="41"/>
  <c r="AB140" i="41"/>
  <c r="AC140" i="41"/>
  <c r="AD140" i="41"/>
  <c r="AE140" i="41"/>
  <c r="AF140" i="41"/>
  <c r="AG140" i="41"/>
  <c r="AH140" i="41"/>
  <c r="AI140" i="41"/>
  <c r="AJ140" i="41"/>
  <c r="AK140" i="41"/>
  <c r="AM140" i="41"/>
  <c r="AN140" i="41"/>
  <c r="AO140" i="41"/>
  <c r="AP140" i="41"/>
  <c r="AQ140" i="41"/>
  <c r="AR140" i="41"/>
  <c r="AS140" i="41"/>
  <c r="AT140" i="41"/>
  <c r="AU140" i="41"/>
  <c r="AV140" i="41"/>
  <c r="AW140" i="41"/>
  <c r="AX140" i="41"/>
  <c r="Z141" i="41"/>
  <c r="AA141" i="41"/>
  <c r="AB141" i="41"/>
  <c r="AC141" i="41"/>
  <c r="AD141" i="41"/>
  <c r="AE141" i="41"/>
  <c r="AF141" i="41"/>
  <c r="AG141" i="41"/>
  <c r="AH141" i="41"/>
  <c r="AI141" i="41"/>
  <c r="AJ141" i="41"/>
  <c r="AK141" i="41"/>
  <c r="AM141" i="41"/>
  <c r="AN141" i="41"/>
  <c r="AO141" i="41"/>
  <c r="AP141" i="41"/>
  <c r="AQ141" i="41"/>
  <c r="AR141" i="41"/>
  <c r="AS141" i="41"/>
  <c r="AT141" i="41"/>
  <c r="AU141" i="41"/>
  <c r="AV141" i="41"/>
  <c r="AW141" i="41"/>
  <c r="AX141" i="41"/>
  <c r="Z142" i="41"/>
  <c r="AA142" i="41"/>
  <c r="AB142" i="41"/>
  <c r="AC142" i="41"/>
  <c r="AD142" i="41"/>
  <c r="AE142" i="41"/>
  <c r="AF142" i="41"/>
  <c r="AG142" i="41"/>
  <c r="AH142" i="41"/>
  <c r="AI142" i="41"/>
  <c r="AJ142" i="41"/>
  <c r="AK142" i="41"/>
  <c r="AM142" i="41"/>
  <c r="AN142" i="41"/>
  <c r="AO142" i="41"/>
  <c r="AP142" i="41"/>
  <c r="AQ142" i="41"/>
  <c r="AR142" i="41"/>
  <c r="AS142" i="41"/>
  <c r="AT142" i="41"/>
  <c r="AU142" i="41"/>
  <c r="AV142" i="41"/>
  <c r="AW142" i="41"/>
  <c r="AX142" i="41"/>
  <c r="Z143" i="41"/>
  <c r="AA143" i="41"/>
  <c r="AB143" i="41"/>
  <c r="AC143" i="41"/>
  <c r="AD143" i="41"/>
  <c r="AE143" i="41"/>
  <c r="AF143" i="41"/>
  <c r="AG143" i="41"/>
  <c r="AH143" i="41"/>
  <c r="AI143" i="41"/>
  <c r="AJ143" i="41"/>
  <c r="AK143" i="41"/>
  <c r="AM143" i="41"/>
  <c r="AN143" i="41"/>
  <c r="AO143" i="41"/>
  <c r="AP143" i="41"/>
  <c r="AQ143" i="41"/>
  <c r="AR143" i="41"/>
  <c r="AS143" i="41"/>
  <c r="AT143" i="41"/>
  <c r="AU143" i="41"/>
  <c r="AV143" i="41"/>
  <c r="AW143" i="41"/>
  <c r="AX143" i="41"/>
  <c r="Z144" i="41"/>
  <c r="AA144" i="41"/>
  <c r="AB144" i="41"/>
  <c r="AC144" i="41"/>
  <c r="AD144" i="41"/>
  <c r="AE144" i="41"/>
  <c r="AF144" i="41"/>
  <c r="AG144" i="41"/>
  <c r="AH144" i="41"/>
  <c r="AI144" i="41"/>
  <c r="AJ144" i="41"/>
  <c r="AK144" i="41"/>
  <c r="AM144" i="41"/>
  <c r="AN144" i="41"/>
  <c r="AO144" i="41"/>
  <c r="AP144" i="41"/>
  <c r="AQ144" i="41"/>
  <c r="AR144" i="41"/>
  <c r="AS144" i="41"/>
  <c r="AT144" i="41"/>
  <c r="AU144" i="41"/>
  <c r="AV144" i="41"/>
  <c r="AW144" i="41"/>
  <c r="AX144" i="41"/>
  <c r="Z145" i="41"/>
  <c r="AA145" i="41"/>
  <c r="AB145" i="41"/>
  <c r="AC145" i="41"/>
  <c r="AD145" i="41"/>
  <c r="AE145" i="41"/>
  <c r="AF145" i="41"/>
  <c r="AG145" i="41"/>
  <c r="AH145" i="41"/>
  <c r="AI145" i="41"/>
  <c r="AJ145" i="41"/>
  <c r="AK145" i="41"/>
  <c r="AM145" i="41"/>
  <c r="AN145" i="41"/>
  <c r="AO145" i="41"/>
  <c r="AP145" i="41"/>
  <c r="AQ145" i="41"/>
  <c r="AR145" i="41"/>
  <c r="AS145" i="41"/>
  <c r="AT145" i="41"/>
  <c r="AU145" i="41"/>
  <c r="AV145" i="41"/>
  <c r="AW145" i="41"/>
  <c r="AX145" i="41"/>
  <c r="Z146" i="41"/>
  <c r="AA146" i="41"/>
  <c r="AB146" i="41"/>
  <c r="AC146" i="41"/>
  <c r="AD146" i="41"/>
  <c r="AE146" i="41"/>
  <c r="AF146" i="41"/>
  <c r="AG146" i="41"/>
  <c r="AH146" i="41"/>
  <c r="AI146" i="41"/>
  <c r="AJ146" i="41"/>
  <c r="AK146" i="41"/>
  <c r="AM146" i="41"/>
  <c r="AN146" i="41"/>
  <c r="AO146" i="41"/>
  <c r="AP146" i="41"/>
  <c r="AQ146" i="41"/>
  <c r="AR146" i="41"/>
  <c r="AS146" i="41"/>
  <c r="AT146" i="41"/>
  <c r="AU146" i="41"/>
  <c r="AV146" i="41"/>
  <c r="AW146" i="41"/>
  <c r="AX146" i="41"/>
  <c r="Z147" i="41"/>
  <c r="AA147" i="41"/>
  <c r="AB147" i="41"/>
  <c r="AC147" i="41"/>
  <c r="AD147" i="41"/>
  <c r="AE147" i="41"/>
  <c r="AF147" i="41"/>
  <c r="AG147" i="41"/>
  <c r="AH147" i="41"/>
  <c r="AI147" i="41"/>
  <c r="AJ147" i="41"/>
  <c r="AK147" i="41"/>
  <c r="AM147" i="41"/>
  <c r="AN147" i="41"/>
  <c r="AO147" i="41"/>
  <c r="AP147" i="41"/>
  <c r="AQ147" i="41"/>
  <c r="AR147" i="41"/>
  <c r="AS147" i="41"/>
  <c r="AT147" i="41"/>
  <c r="AU147" i="41"/>
  <c r="AV147" i="41"/>
  <c r="AW147" i="41"/>
  <c r="AX147" i="41"/>
  <c r="Z148" i="41"/>
  <c r="AA148" i="41"/>
  <c r="AB148" i="41"/>
  <c r="AC148" i="41"/>
  <c r="AD148" i="41"/>
  <c r="AE148" i="41"/>
  <c r="AF148" i="41"/>
  <c r="AG148" i="41"/>
  <c r="AH148" i="41"/>
  <c r="AI148" i="41"/>
  <c r="AJ148" i="41"/>
  <c r="AK148" i="41"/>
  <c r="AM148" i="41"/>
  <c r="AN148" i="41"/>
  <c r="AO148" i="41"/>
  <c r="AP148" i="41"/>
  <c r="AQ148" i="41"/>
  <c r="AR148" i="41"/>
  <c r="AS148" i="41"/>
  <c r="AT148" i="41"/>
  <c r="AU148" i="41"/>
  <c r="AV148" i="41"/>
  <c r="AW148" i="41"/>
  <c r="AX148" i="41"/>
  <c r="Z149" i="41"/>
  <c r="AA149" i="41"/>
  <c r="AB149" i="41"/>
  <c r="AC149" i="41"/>
  <c r="AD149" i="41"/>
  <c r="AE149" i="41"/>
  <c r="AF149" i="41"/>
  <c r="AG149" i="41"/>
  <c r="AH149" i="41"/>
  <c r="AI149" i="41"/>
  <c r="AJ149" i="41"/>
  <c r="AK149" i="41"/>
  <c r="AM149" i="41"/>
  <c r="AN149" i="41"/>
  <c r="AO149" i="41"/>
  <c r="AP149" i="41"/>
  <c r="AQ149" i="41"/>
  <c r="AR149" i="41"/>
  <c r="AS149" i="41"/>
  <c r="AT149" i="41"/>
  <c r="AU149" i="41"/>
  <c r="AV149" i="41"/>
  <c r="AW149" i="41"/>
  <c r="AX149" i="41"/>
  <c r="Z150" i="41"/>
  <c r="AA150" i="41"/>
  <c r="AB150" i="41"/>
  <c r="AC150" i="41"/>
  <c r="AD150" i="41"/>
  <c r="AE150" i="41"/>
  <c r="AF150" i="41"/>
  <c r="AG150" i="41"/>
  <c r="AH150" i="41"/>
  <c r="AI150" i="41"/>
  <c r="AJ150" i="41"/>
  <c r="AK150" i="41"/>
  <c r="AM150" i="41"/>
  <c r="AN150" i="41"/>
  <c r="AO150" i="41"/>
  <c r="AP150" i="41"/>
  <c r="AQ150" i="41"/>
  <c r="AR150" i="41"/>
  <c r="AS150" i="41"/>
  <c r="AT150" i="41"/>
  <c r="AU150" i="41"/>
  <c r="AV150" i="41"/>
  <c r="AW150" i="41"/>
  <c r="AX150" i="41"/>
  <c r="Z151" i="41"/>
  <c r="AA151" i="41"/>
  <c r="AB151" i="41"/>
  <c r="AC151" i="41"/>
  <c r="AD151" i="41"/>
  <c r="AE151" i="41"/>
  <c r="AF151" i="41"/>
  <c r="AG151" i="41"/>
  <c r="AH151" i="41"/>
  <c r="AI151" i="41"/>
  <c r="AJ151" i="41"/>
  <c r="AK151" i="41"/>
  <c r="AM151" i="41"/>
  <c r="AN151" i="41"/>
  <c r="AO151" i="41"/>
  <c r="AP151" i="41"/>
  <c r="AQ151" i="41"/>
  <c r="AR151" i="41"/>
  <c r="AS151" i="41"/>
  <c r="AT151" i="41"/>
  <c r="AU151" i="41"/>
  <c r="AV151" i="41"/>
  <c r="AW151" i="41"/>
  <c r="AX151" i="41"/>
  <c r="Z152" i="41"/>
  <c r="AA152" i="41"/>
  <c r="AB152" i="41"/>
  <c r="AC152" i="41"/>
  <c r="AD152" i="41"/>
  <c r="AE152" i="41"/>
  <c r="AF152" i="41"/>
  <c r="AG152" i="41"/>
  <c r="AH152" i="41"/>
  <c r="AI152" i="41"/>
  <c r="AJ152" i="41"/>
  <c r="AK152" i="41"/>
  <c r="AM152" i="41"/>
  <c r="AN152" i="41"/>
  <c r="AO152" i="41"/>
  <c r="AP152" i="41"/>
  <c r="AQ152" i="41"/>
  <c r="AR152" i="41"/>
  <c r="AS152" i="41"/>
  <c r="AT152" i="41"/>
  <c r="AU152" i="41"/>
  <c r="AV152" i="41"/>
  <c r="AW152" i="41"/>
  <c r="AX152" i="41"/>
  <c r="Z153" i="41"/>
  <c r="AA153" i="41"/>
  <c r="AB153" i="41"/>
  <c r="AC153" i="41"/>
  <c r="AD153" i="41"/>
  <c r="AE153" i="41"/>
  <c r="AF153" i="41"/>
  <c r="AG153" i="41"/>
  <c r="AH153" i="41"/>
  <c r="AI153" i="41"/>
  <c r="AJ153" i="41"/>
  <c r="AK153" i="41"/>
  <c r="AM153" i="41"/>
  <c r="AN153" i="41"/>
  <c r="AO153" i="41"/>
  <c r="AP153" i="41"/>
  <c r="AQ153" i="41"/>
  <c r="AR153" i="41"/>
  <c r="AS153" i="41"/>
  <c r="AT153" i="41"/>
  <c r="AU153" i="41"/>
  <c r="AV153" i="41"/>
  <c r="AW153" i="41"/>
  <c r="AX153" i="41"/>
  <c r="Z154" i="41"/>
  <c r="AA154" i="41"/>
  <c r="AB154" i="41"/>
  <c r="AC154" i="41"/>
  <c r="AD154" i="41"/>
  <c r="AE154" i="41"/>
  <c r="AF154" i="41"/>
  <c r="AG154" i="41"/>
  <c r="AH154" i="41"/>
  <c r="AI154" i="41"/>
  <c r="AJ154" i="41"/>
  <c r="AK154" i="41"/>
  <c r="AM154" i="41"/>
  <c r="AN154" i="41"/>
  <c r="AO154" i="41"/>
  <c r="AP154" i="41"/>
  <c r="AQ154" i="41"/>
  <c r="AR154" i="41"/>
  <c r="AS154" i="41"/>
  <c r="AT154" i="41"/>
  <c r="AU154" i="41"/>
  <c r="AV154" i="41"/>
  <c r="AW154" i="41"/>
  <c r="AX154" i="41"/>
  <c r="Z155" i="41"/>
  <c r="AA155" i="41"/>
  <c r="AB155" i="41"/>
  <c r="AC155" i="41"/>
  <c r="AD155" i="41"/>
  <c r="AE155" i="41"/>
  <c r="AF155" i="41"/>
  <c r="AG155" i="41"/>
  <c r="AH155" i="41"/>
  <c r="AI155" i="41"/>
  <c r="AJ155" i="41"/>
  <c r="AK155" i="41"/>
  <c r="AM155" i="41"/>
  <c r="AN155" i="41"/>
  <c r="AO155" i="41"/>
  <c r="AP155" i="41"/>
  <c r="AQ155" i="41"/>
  <c r="AR155" i="41"/>
  <c r="AS155" i="41"/>
  <c r="AT155" i="41"/>
  <c r="AU155" i="41"/>
  <c r="AV155" i="41"/>
  <c r="AW155" i="41"/>
  <c r="AX155" i="41"/>
  <c r="H3" i="8"/>
  <c r="I3" i="8"/>
  <c r="J3" i="8"/>
  <c r="K3" i="8"/>
  <c r="L3" i="8"/>
  <c r="M3" i="8"/>
  <c r="N3" i="8"/>
  <c r="O3" i="8"/>
  <c r="P3" i="8"/>
  <c r="Q3" i="8"/>
  <c r="R3" i="8"/>
  <c r="S3" i="8"/>
  <c r="V3" i="8"/>
  <c r="W3" i="8"/>
  <c r="X3" i="8"/>
  <c r="Y3" i="8"/>
  <c r="Z3" i="8"/>
  <c r="AA3" i="8"/>
  <c r="AB3" i="8"/>
  <c r="AC3" i="8"/>
  <c r="AD3" i="8"/>
  <c r="AE3" i="8"/>
  <c r="AF3" i="8"/>
  <c r="AG3" i="8"/>
  <c r="H4" i="8"/>
  <c r="I4" i="8"/>
  <c r="J4" i="8"/>
  <c r="K4" i="8"/>
  <c r="L4" i="8"/>
  <c r="M4" i="8"/>
  <c r="N4" i="8"/>
  <c r="O4" i="8"/>
  <c r="P4" i="8"/>
  <c r="Q4" i="8"/>
  <c r="R4" i="8"/>
  <c r="S4" i="8"/>
  <c r="V4" i="8"/>
  <c r="W4" i="8"/>
  <c r="X4" i="8"/>
  <c r="Y4" i="8"/>
  <c r="Z4" i="8"/>
  <c r="AA4" i="8"/>
  <c r="AB4" i="8"/>
  <c r="AC4" i="8"/>
  <c r="AD4" i="8"/>
  <c r="AE4" i="8"/>
  <c r="AF4" i="8"/>
  <c r="AG4" i="8"/>
  <c r="H5" i="8"/>
  <c r="I5" i="8"/>
  <c r="J5" i="8"/>
  <c r="K5" i="8"/>
  <c r="L5" i="8"/>
  <c r="M5" i="8"/>
  <c r="N5" i="8"/>
  <c r="O5" i="8"/>
  <c r="P5" i="8"/>
  <c r="Q5" i="8"/>
  <c r="R5" i="8"/>
  <c r="S5" i="8"/>
  <c r="V5" i="8"/>
  <c r="W5" i="8"/>
  <c r="X5" i="8"/>
  <c r="Y5" i="8"/>
  <c r="Z5" i="8"/>
  <c r="AA5" i="8"/>
  <c r="AB5" i="8"/>
  <c r="AC5" i="8"/>
  <c r="AD5" i="8"/>
  <c r="AE5" i="8"/>
  <c r="AF5" i="8"/>
  <c r="AG5" i="8"/>
  <c r="H6" i="8"/>
  <c r="I6" i="8"/>
  <c r="J6" i="8"/>
  <c r="K6" i="8"/>
  <c r="L6" i="8"/>
  <c r="M6" i="8"/>
  <c r="N6" i="8"/>
  <c r="O6" i="8"/>
  <c r="P6" i="8"/>
  <c r="Q6" i="8"/>
  <c r="R6" i="8"/>
  <c r="S6" i="8"/>
  <c r="V6" i="8"/>
  <c r="W6" i="8"/>
  <c r="X6" i="8"/>
  <c r="Y6" i="8"/>
  <c r="Z6" i="8"/>
  <c r="AA6" i="8"/>
  <c r="AB6" i="8"/>
  <c r="AC6" i="8"/>
  <c r="AD6" i="8"/>
  <c r="AE6" i="8"/>
  <c r="AF6" i="8"/>
  <c r="AG6" i="8"/>
  <c r="H7" i="8"/>
  <c r="I7" i="8"/>
  <c r="J7" i="8"/>
  <c r="K7" i="8"/>
  <c r="L7" i="8"/>
  <c r="M7" i="8"/>
  <c r="N7" i="8"/>
  <c r="O7" i="8"/>
  <c r="P7" i="8"/>
  <c r="Q7" i="8"/>
  <c r="R7" i="8"/>
  <c r="S7" i="8"/>
  <c r="V7" i="8"/>
  <c r="W7" i="8"/>
  <c r="X7" i="8"/>
  <c r="Y7" i="8"/>
  <c r="Z7" i="8"/>
  <c r="AA7" i="8"/>
  <c r="AB7" i="8"/>
  <c r="AC7" i="8"/>
  <c r="AD7" i="8"/>
  <c r="AE7" i="8"/>
  <c r="AF7" i="8"/>
  <c r="AG7" i="8"/>
  <c r="H8" i="8"/>
  <c r="I8" i="8"/>
  <c r="J8" i="8"/>
  <c r="K8" i="8"/>
  <c r="L8" i="8"/>
  <c r="M8" i="8"/>
  <c r="N8" i="8"/>
  <c r="O8" i="8"/>
  <c r="P8" i="8"/>
  <c r="Q8" i="8"/>
  <c r="R8" i="8"/>
  <c r="S8" i="8"/>
  <c r="V8" i="8"/>
  <c r="W8" i="8"/>
  <c r="X8" i="8"/>
  <c r="Y8" i="8"/>
  <c r="Z8" i="8"/>
  <c r="AA8" i="8"/>
  <c r="AB8" i="8"/>
  <c r="AC8" i="8"/>
  <c r="AD8" i="8"/>
  <c r="AE8" i="8"/>
  <c r="AF8" i="8"/>
  <c r="AG8" i="8"/>
  <c r="H9" i="8"/>
  <c r="I9" i="8"/>
  <c r="J9" i="8"/>
  <c r="K9" i="8"/>
  <c r="L9" i="8"/>
  <c r="M9" i="8"/>
  <c r="N9" i="8"/>
  <c r="O9" i="8"/>
  <c r="P9" i="8"/>
  <c r="Q9" i="8"/>
  <c r="R9" i="8"/>
  <c r="S9" i="8"/>
  <c r="V9" i="8"/>
  <c r="W9" i="8"/>
  <c r="X9" i="8"/>
  <c r="Y9" i="8"/>
  <c r="Z9" i="8"/>
  <c r="AA9" i="8"/>
  <c r="AB9" i="8"/>
  <c r="AC9" i="8"/>
  <c r="AD9" i="8"/>
  <c r="AE9" i="8"/>
  <c r="AF9" i="8"/>
  <c r="AG9" i="8"/>
  <c r="H10" i="8"/>
  <c r="I10" i="8"/>
  <c r="J10" i="8"/>
  <c r="K10" i="8"/>
  <c r="L10" i="8"/>
  <c r="M10" i="8"/>
  <c r="N10" i="8"/>
  <c r="O10" i="8"/>
  <c r="P10" i="8"/>
  <c r="Q10" i="8"/>
  <c r="R10" i="8"/>
  <c r="S10" i="8"/>
  <c r="V10" i="8"/>
  <c r="W10" i="8"/>
  <c r="X10" i="8"/>
  <c r="Y10" i="8"/>
  <c r="Z10" i="8"/>
  <c r="AA10" i="8"/>
  <c r="AB10" i="8"/>
  <c r="AC10" i="8"/>
  <c r="AD10" i="8"/>
  <c r="AE10" i="8"/>
  <c r="AF10" i="8"/>
  <c r="AG10" i="8"/>
  <c r="H11" i="8"/>
  <c r="I11" i="8"/>
  <c r="J11" i="8"/>
  <c r="K11" i="8"/>
  <c r="L11" i="8"/>
  <c r="M11" i="8"/>
  <c r="N11" i="8"/>
  <c r="O11" i="8"/>
  <c r="P11" i="8"/>
  <c r="Q11" i="8"/>
  <c r="R11" i="8"/>
  <c r="S11" i="8"/>
  <c r="V11" i="8"/>
  <c r="W11" i="8"/>
  <c r="X11" i="8"/>
  <c r="Y11" i="8"/>
  <c r="Z11" i="8"/>
  <c r="AA11" i="8"/>
  <c r="AB11" i="8"/>
  <c r="AC11" i="8"/>
  <c r="AD11" i="8"/>
  <c r="AE11" i="8"/>
  <c r="AF11" i="8"/>
  <c r="AG11" i="8"/>
  <c r="H12" i="8"/>
  <c r="I12" i="8"/>
  <c r="J12" i="8"/>
  <c r="K12" i="8"/>
  <c r="L12" i="8"/>
  <c r="M12" i="8"/>
  <c r="N12" i="8"/>
  <c r="O12" i="8"/>
  <c r="P12" i="8"/>
  <c r="Q12" i="8"/>
  <c r="R12" i="8"/>
  <c r="S12" i="8"/>
  <c r="V12" i="8"/>
  <c r="W12" i="8"/>
  <c r="X12" i="8"/>
  <c r="Y12" i="8"/>
  <c r="Z12" i="8"/>
  <c r="AA12" i="8"/>
  <c r="AB12" i="8"/>
  <c r="AC12" i="8"/>
  <c r="AD12" i="8"/>
  <c r="AE12" i="8"/>
  <c r="AF12" i="8"/>
  <c r="AG12" i="8"/>
  <c r="H13" i="8"/>
  <c r="I13" i="8"/>
  <c r="J13" i="8"/>
  <c r="K13" i="8"/>
  <c r="L13" i="8"/>
  <c r="M13" i="8"/>
  <c r="N13" i="8"/>
  <c r="O13" i="8"/>
  <c r="P13" i="8"/>
  <c r="Q13" i="8"/>
  <c r="R13" i="8"/>
  <c r="S13" i="8"/>
  <c r="V13" i="8"/>
  <c r="W13" i="8"/>
  <c r="X13" i="8"/>
  <c r="Y13" i="8"/>
  <c r="Z13" i="8"/>
  <c r="AA13" i="8"/>
  <c r="AB13" i="8"/>
  <c r="AC13" i="8"/>
  <c r="AD13" i="8"/>
  <c r="AE13" i="8"/>
  <c r="AF13" i="8"/>
  <c r="AG13" i="8"/>
  <c r="H14" i="8"/>
  <c r="I14" i="8"/>
  <c r="J14" i="8"/>
  <c r="K14" i="8"/>
  <c r="L14" i="8"/>
  <c r="M14" i="8"/>
  <c r="N14" i="8"/>
  <c r="O14" i="8"/>
  <c r="P14" i="8"/>
  <c r="Q14" i="8"/>
  <c r="R14" i="8"/>
  <c r="S14" i="8"/>
  <c r="V14" i="8"/>
  <c r="W14" i="8"/>
  <c r="X14" i="8"/>
  <c r="Y14" i="8"/>
  <c r="Z14" i="8"/>
  <c r="AA14" i="8"/>
  <c r="AB14" i="8"/>
  <c r="AC14" i="8"/>
  <c r="AD14" i="8"/>
  <c r="AE14" i="8"/>
  <c r="AF14" i="8"/>
  <c r="AG14" i="8"/>
  <c r="H15" i="8"/>
  <c r="I15" i="8"/>
  <c r="J15" i="8"/>
  <c r="K15" i="8"/>
  <c r="L15" i="8"/>
  <c r="M15" i="8"/>
  <c r="N15" i="8"/>
  <c r="O15" i="8"/>
  <c r="P15" i="8"/>
  <c r="Q15" i="8"/>
  <c r="R15" i="8"/>
  <c r="S15" i="8"/>
  <c r="V15" i="8"/>
  <c r="W15" i="8"/>
  <c r="X15" i="8"/>
  <c r="Y15" i="8"/>
  <c r="Z15" i="8"/>
  <c r="AA15" i="8"/>
  <c r="AB15" i="8"/>
  <c r="AC15" i="8"/>
  <c r="AD15" i="8"/>
  <c r="AE15" i="8"/>
  <c r="AF15" i="8"/>
  <c r="AG15" i="8"/>
  <c r="H16" i="8"/>
  <c r="I16" i="8"/>
  <c r="J16" i="8"/>
  <c r="K16" i="8"/>
  <c r="L16" i="8"/>
  <c r="M16" i="8"/>
  <c r="N16" i="8"/>
  <c r="O16" i="8"/>
  <c r="P16" i="8"/>
  <c r="Q16" i="8"/>
  <c r="R16" i="8"/>
  <c r="S16" i="8"/>
  <c r="V16" i="8"/>
  <c r="W16" i="8"/>
  <c r="X16" i="8"/>
  <c r="Y16" i="8"/>
  <c r="Z16" i="8"/>
  <c r="AA16" i="8"/>
  <c r="AB16" i="8"/>
  <c r="AC16" i="8"/>
  <c r="AD16" i="8"/>
  <c r="AE16" i="8"/>
  <c r="AF16" i="8"/>
  <c r="AG16" i="8"/>
  <c r="H17" i="8"/>
  <c r="I17" i="8"/>
  <c r="J17" i="8"/>
  <c r="K17" i="8"/>
  <c r="L17" i="8"/>
  <c r="M17" i="8"/>
  <c r="N17" i="8"/>
  <c r="O17" i="8"/>
  <c r="P17" i="8"/>
  <c r="Q17" i="8"/>
  <c r="R17" i="8"/>
  <c r="S17" i="8"/>
  <c r="V17" i="8"/>
  <c r="W17" i="8"/>
  <c r="X17" i="8"/>
  <c r="Y17" i="8"/>
  <c r="Z17" i="8"/>
  <c r="AA17" i="8"/>
  <c r="AB17" i="8"/>
  <c r="AC17" i="8"/>
  <c r="AD17" i="8"/>
  <c r="AE17" i="8"/>
  <c r="AF17" i="8"/>
  <c r="AG17" i="8"/>
  <c r="H18" i="8"/>
  <c r="I18" i="8"/>
  <c r="J18" i="8"/>
  <c r="K18" i="8"/>
  <c r="L18" i="8"/>
  <c r="M18" i="8"/>
  <c r="N18" i="8"/>
  <c r="O18" i="8"/>
  <c r="P18" i="8"/>
  <c r="Q18" i="8"/>
  <c r="R18" i="8"/>
  <c r="S18" i="8"/>
  <c r="V18" i="8"/>
  <c r="W18" i="8"/>
  <c r="X18" i="8"/>
  <c r="Y18" i="8"/>
  <c r="Z18" i="8"/>
  <c r="AA18" i="8"/>
  <c r="AB18" i="8"/>
  <c r="AC18" i="8"/>
  <c r="AD18" i="8"/>
  <c r="AE18" i="8"/>
  <c r="AF18" i="8"/>
  <c r="AG18" i="8"/>
  <c r="H19" i="8"/>
  <c r="I19" i="8"/>
  <c r="J19" i="8"/>
  <c r="K19" i="8"/>
  <c r="L19" i="8"/>
  <c r="M19" i="8"/>
  <c r="N19" i="8"/>
  <c r="O19" i="8"/>
  <c r="P19" i="8"/>
  <c r="Q19" i="8"/>
  <c r="R19" i="8"/>
  <c r="S19" i="8"/>
  <c r="V19" i="8"/>
  <c r="W19" i="8"/>
  <c r="X19" i="8"/>
  <c r="Y19" i="8"/>
  <c r="Z19" i="8"/>
  <c r="AA19" i="8"/>
  <c r="AB19" i="8"/>
  <c r="AC19" i="8"/>
  <c r="AD19" i="8"/>
  <c r="AE19" i="8"/>
  <c r="AF19" i="8"/>
  <c r="AG19" i="8"/>
  <c r="H20" i="8"/>
  <c r="I20" i="8"/>
  <c r="J20" i="8"/>
  <c r="K20" i="8"/>
  <c r="L20" i="8"/>
  <c r="M20" i="8"/>
  <c r="N20" i="8"/>
  <c r="O20" i="8"/>
  <c r="P20" i="8"/>
  <c r="Q20" i="8"/>
  <c r="R20" i="8"/>
  <c r="S20" i="8"/>
  <c r="V20" i="8"/>
  <c r="W20" i="8"/>
  <c r="X20" i="8"/>
  <c r="Y20" i="8"/>
  <c r="Z20" i="8"/>
  <c r="AA20" i="8"/>
  <c r="AB20" i="8"/>
  <c r="AC20" i="8"/>
  <c r="AD20" i="8"/>
  <c r="AE20" i="8"/>
  <c r="AF20" i="8"/>
  <c r="AG20" i="8"/>
  <c r="H21" i="8"/>
  <c r="I21" i="8"/>
  <c r="J21" i="8"/>
  <c r="K21" i="8"/>
  <c r="L21" i="8"/>
  <c r="M21" i="8"/>
  <c r="N21" i="8"/>
  <c r="O21" i="8"/>
  <c r="P21" i="8"/>
  <c r="Q21" i="8"/>
  <c r="R21" i="8"/>
  <c r="S21" i="8"/>
  <c r="V21" i="8"/>
  <c r="W21" i="8"/>
  <c r="X21" i="8"/>
  <c r="Y21" i="8"/>
  <c r="Z21" i="8"/>
  <c r="AA21" i="8"/>
  <c r="AB21" i="8"/>
  <c r="AC21" i="8"/>
  <c r="AD21" i="8"/>
  <c r="AE21" i="8"/>
  <c r="AF21" i="8"/>
  <c r="AG21" i="8"/>
  <c r="H22" i="8"/>
  <c r="I22" i="8"/>
  <c r="J22" i="8"/>
  <c r="K22" i="8"/>
  <c r="L22" i="8"/>
  <c r="M22" i="8"/>
  <c r="N22" i="8"/>
  <c r="O22" i="8"/>
  <c r="P22" i="8"/>
  <c r="Q22" i="8"/>
  <c r="R22" i="8"/>
  <c r="S22" i="8"/>
  <c r="V22" i="8"/>
  <c r="W22" i="8"/>
  <c r="X22" i="8"/>
  <c r="Y22" i="8"/>
  <c r="Z22" i="8"/>
  <c r="AA22" i="8"/>
  <c r="AB22" i="8"/>
  <c r="AC22" i="8"/>
  <c r="AD22" i="8"/>
  <c r="AE22" i="8"/>
  <c r="AF22" i="8"/>
  <c r="AG22" i="8"/>
  <c r="H23" i="8"/>
  <c r="I23" i="8"/>
  <c r="J23" i="8"/>
  <c r="K23" i="8"/>
  <c r="L23" i="8"/>
  <c r="M23" i="8"/>
  <c r="N23" i="8"/>
  <c r="O23" i="8"/>
  <c r="P23" i="8"/>
  <c r="Q23" i="8"/>
  <c r="R23" i="8"/>
  <c r="S23" i="8"/>
  <c r="V23" i="8"/>
  <c r="W23" i="8"/>
  <c r="X23" i="8"/>
  <c r="Y23" i="8"/>
  <c r="Z23" i="8"/>
  <c r="AA23" i="8"/>
  <c r="AB23" i="8"/>
  <c r="AC23" i="8"/>
  <c r="AD23" i="8"/>
  <c r="AE23" i="8"/>
  <c r="AF23" i="8"/>
  <c r="AG23" i="8"/>
  <c r="H24" i="8"/>
  <c r="I24" i="8"/>
  <c r="J24" i="8"/>
  <c r="K24" i="8"/>
  <c r="L24" i="8"/>
  <c r="M24" i="8"/>
  <c r="N24" i="8"/>
  <c r="O24" i="8"/>
  <c r="P24" i="8"/>
  <c r="Q24" i="8"/>
  <c r="R24" i="8"/>
  <c r="S24" i="8"/>
  <c r="V24" i="8"/>
  <c r="W24" i="8"/>
  <c r="X24" i="8"/>
  <c r="Y24" i="8"/>
  <c r="Z24" i="8"/>
  <c r="AA24" i="8"/>
  <c r="AB24" i="8"/>
  <c r="AC24" i="8"/>
  <c r="AD24" i="8"/>
  <c r="AE24" i="8"/>
  <c r="AF24" i="8"/>
  <c r="AG24" i="8"/>
  <c r="H25" i="8"/>
  <c r="I25" i="8"/>
  <c r="J25" i="8"/>
  <c r="K25" i="8"/>
  <c r="L25" i="8"/>
  <c r="M25" i="8"/>
  <c r="N25" i="8"/>
  <c r="O25" i="8"/>
  <c r="P25" i="8"/>
  <c r="Q25" i="8"/>
  <c r="R25" i="8"/>
  <c r="S25" i="8"/>
  <c r="V25" i="8"/>
  <c r="W25" i="8"/>
  <c r="X25" i="8"/>
  <c r="Y25" i="8"/>
  <c r="Z25" i="8"/>
  <c r="AA25" i="8"/>
  <c r="AB25" i="8"/>
  <c r="AC25" i="8"/>
  <c r="AD25" i="8"/>
  <c r="AE25" i="8"/>
  <c r="AF25" i="8"/>
  <c r="AG25" i="8"/>
  <c r="H26" i="8"/>
  <c r="I26" i="8"/>
  <c r="J26" i="8"/>
  <c r="K26" i="8"/>
  <c r="L26" i="8"/>
  <c r="M26" i="8"/>
  <c r="N26" i="8"/>
  <c r="O26" i="8"/>
  <c r="P26" i="8"/>
  <c r="Q26" i="8"/>
  <c r="R26" i="8"/>
  <c r="S26" i="8"/>
  <c r="V26" i="8"/>
  <c r="W26" i="8"/>
  <c r="X26" i="8"/>
  <c r="Y26" i="8"/>
  <c r="Z26" i="8"/>
  <c r="AA26" i="8"/>
  <c r="AB26" i="8"/>
  <c r="AC26" i="8"/>
  <c r="AD26" i="8"/>
  <c r="AE26" i="8"/>
  <c r="AF26" i="8"/>
  <c r="AG26" i="8"/>
  <c r="H27" i="8"/>
  <c r="I27" i="8"/>
  <c r="J27" i="8"/>
  <c r="K27" i="8"/>
  <c r="L27" i="8"/>
  <c r="M27" i="8"/>
  <c r="N27" i="8"/>
  <c r="O27" i="8"/>
  <c r="P27" i="8"/>
  <c r="Q27" i="8"/>
  <c r="R27" i="8"/>
  <c r="S27" i="8"/>
  <c r="V27" i="8"/>
  <c r="W27" i="8"/>
  <c r="X27" i="8"/>
  <c r="Y27" i="8"/>
  <c r="Z27" i="8"/>
  <c r="AA27" i="8"/>
  <c r="AB27" i="8"/>
  <c r="AC27" i="8"/>
  <c r="AD27" i="8"/>
  <c r="AE27" i="8"/>
  <c r="AF27" i="8"/>
  <c r="AG27" i="8"/>
  <c r="H28" i="8"/>
  <c r="I28" i="8"/>
  <c r="J28" i="8"/>
  <c r="K28" i="8"/>
  <c r="L28" i="8"/>
  <c r="M28" i="8"/>
  <c r="N28" i="8"/>
  <c r="O28" i="8"/>
  <c r="P28" i="8"/>
  <c r="Q28" i="8"/>
  <c r="R28" i="8"/>
  <c r="S28" i="8"/>
  <c r="V28" i="8"/>
  <c r="W28" i="8"/>
  <c r="X28" i="8"/>
  <c r="Y28" i="8"/>
  <c r="Z28" i="8"/>
  <c r="AA28" i="8"/>
  <c r="AB28" i="8"/>
  <c r="AC28" i="8"/>
  <c r="AD28" i="8"/>
  <c r="AE28" i="8"/>
  <c r="AF28" i="8"/>
  <c r="AG28" i="8"/>
  <c r="H29" i="8"/>
  <c r="I29" i="8"/>
  <c r="J29" i="8"/>
  <c r="K29" i="8"/>
  <c r="L29" i="8"/>
  <c r="M29" i="8"/>
  <c r="N29" i="8"/>
  <c r="O29" i="8"/>
  <c r="P29" i="8"/>
  <c r="Q29" i="8"/>
  <c r="R29" i="8"/>
  <c r="S29" i="8"/>
  <c r="V29" i="8"/>
  <c r="W29" i="8"/>
  <c r="X29" i="8"/>
  <c r="Y29" i="8"/>
  <c r="Z29" i="8"/>
  <c r="AA29" i="8"/>
  <c r="AB29" i="8"/>
  <c r="AC29" i="8"/>
  <c r="AD29" i="8"/>
  <c r="AE29" i="8"/>
  <c r="AF29" i="8"/>
  <c r="AG29" i="8"/>
  <c r="H30" i="8"/>
  <c r="I30" i="8"/>
  <c r="J30" i="8"/>
  <c r="K30" i="8"/>
  <c r="L30" i="8"/>
  <c r="M30" i="8"/>
  <c r="N30" i="8"/>
  <c r="O30" i="8"/>
  <c r="P30" i="8"/>
  <c r="Q30" i="8"/>
  <c r="R30" i="8"/>
  <c r="S30" i="8"/>
  <c r="V30" i="8"/>
  <c r="W30" i="8"/>
  <c r="X30" i="8"/>
  <c r="Y30" i="8"/>
  <c r="Z30" i="8"/>
  <c r="AA30" i="8"/>
  <c r="AB30" i="8"/>
  <c r="AC30" i="8"/>
  <c r="AD30" i="8"/>
  <c r="AE30" i="8"/>
  <c r="AF30" i="8"/>
  <c r="AG30" i="8"/>
  <c r="H31" i="8"/>
  <c r="I31" i="8"/>
  <c r="J31" i="8"/>
  <c r="K31" i="8"/>
  <c r="L31" i="8"/>
  <c r="M31" i="8"/>
  <c r="N31" i="8"/>
  <c r="O31" i="8"/>
  <c r="P31" i="8"/>
  <c r="Q31" i="8"/>
  <c r="R31" i="8"/>
  <c r="S31" i="8"/>
  <c r="V31" i="8"/>
  <c r="W31" i="8"/>
  <c r="X31" i="8"/>
  <c r="Y31" i="8"/>
  <c r="Z31" i="8"/>
  <c r="AA31" i="8"/>
  <c r="AB31" i="8"/>
  <c r="AC31" i="8"/>
  <c r="AD31" i="8"/>
  <c r="AE31" i="8"/>
  <c r="AF31" i="8"/>
  <c r="AG31" i="8"/>
  <c r="H32" i="8"/>
  <c r="I32" i="8"/>
  <c r="J32" i="8"/>
  <c r="K32" i="8"/>
  <c r="L32" i="8"/>
  <c r="M32" i="8"/>
  <c r="N32" i="8"/>
  <c r="O32" i="8"/>
  <c r="P32" i="8"/>
  <c r="Q32" i="8"/>
  <c r="R32" i="8"/>
  <c r="S32" i="8"/>
  <c r="V32" i="8"/>
  <c r="W32" i="8"/>
  <c r="X32" i="8"/>
  <c r="Y32" i="8"/>
  <c r="Z32" i="8"/>
  <c r="AA32" i="8"/>
  <c r="AB32" i="8"/>
  <c r="AC32" i="8"/>
  <c r="AD32" i="8"/>
  <c r="AE32" i="8"/>
  <c r="AF32" i="8"/>
  <c r="AG32" i="8"/>
  <c r="H33" i="8"/>
  <c r="I33" i="8"/>
  <c r="J33" i="8"/>
  <c r="K33" i="8"/>
  <c r="L33" i="8"/>
  <c r="M33" i="8"/>
  <c r="N33" i="8"/>
  <c r="O33" i="8"/>
  <c r="P33" i="8"/>
  <c r="Q33" i="8"/>
  <c r="R33" i="8"/>
  <c r="S33" i="8"/>
  <c r="V33" i="8"/>
  <c r="W33" i="8"/>
  <c r="X33" i="8"/>
  <c r="Y33" i="8"/>
  <c r="Z33" i="8"/>
  <c r="AA33" i="8"/>
  <c r="AB33" i="8"/>
  <c r="AC33" i="8"/>
  <c r="AD33" i="8"/>
  <c r="AE33" i="8"/>
  <c r="AF33" i="8"/>
  <c r="AG33" i="8"/>
  <c r="H34" i="8"/>
  <c r="I34" i="8"/>
  <c r="J34" i="8"/>
  <c r="K34" i="8"/>
  <c r="L34" i="8"/>
  <c r="M34" i="8"/>
  <c r="N34" i="8"/>
  <c r="O34" i="8"/>
  <c r="P34" i="8"/>
  <c r="Q34" i="8"/>
  <c r="R34" i="8"/>
  <c r="S34" i="8"/>
  <c r="V34" i="8"/>
  <c r="W34" i="8"/>
  <c r="X34" i="8"/>
  <c r="Y34" i="8"/>
  <c r="Z34" i="8"/>
  <c r="AA34" i="8"/>
  <c r="AB34" i="8"/>
  <c r="AC34" i="8"/>
  <c r="AD34" i="8"/>
  <c r="AE34" i="8"/>
  <c r="AF34" i="8"/>
  <c r="AG34" i="8"/>
  <c r="H35" i="8"/>
  <c r="I35" i="8"/>
  <c r="J35" i="8"/>
  <c r="K35" i="8"/>
  <c r="L35" i="8"/>
  <c r="M35" i="8"/>
  <c r="N35" i="8"/>
  <c r="O35" i="8"/>
  <c r="P35" i="8"/>
  <c r="Q35" i="8"/>
  <c r="R35" i="8"/>
  <c r="S35" i="8"/>
  <c r="V35" i="8"/>
  <c r="W35" i="8"/>
  <c r="X35" i="8"/>
  <c r="Y35" i="8"/>
  <c r="Z35" i="8"/>
  <c r="AA35" i="8"/>
  <c r="AB35" i="8"/>
  <c r="AC35" i="8"/>
  <c r="AD35" i="8"/>
  <c r="AE35" i="8"/>
  <c r="AF35" i="8"/>
  <c r="AG35" i="8"/>
  <c r="H36" i="8"/>
  <c r="I36" i="8"/>
  <c r="J36" i="8"/>
  <c r="K36" i="8"/>
  <c r="L36" i="8"/>
  <c r="M36" i="8"/>
  <c r="N36" i="8"/>
  <c r="O36" i="8"/>
  <c r="P36" i="8"/>
  <c r="Q36" i="8"/>
  <c r="R36" i="8"/>
  <c r="S36" i="8"/>
  <c r="V36" i="8"/>
  <c r="W36" i="8"/>
  <c r="X36" i="8"/>
  <c r="Y36" i="8"/>
  <c r="Z36" i="8"/>
  <c r="AA36" i="8"/>
  <c r="AB36" i="8"/>
  <c r="AC36" i="8"/>
  <c r="AD36" i="8"/>
  <c r="AE36" i="8"/>
  <c r="AF36" i="8"/>
  <c r="AG36" i="8"/>
  <c r="H37" i="8"/>
  <c r="I37" i="8"/>
  <c r="J37" i="8"/>
  <c r="K37" i="8"/>
  <c r="L37" i="8"/>
  <c r="M37" i="8"/>
  <c r="N37" i="8"/>
  <c r="O37" i="8"/>
  <c r="P37" i="8"/>
  <c r="Q37" i="8"/>
  <c r="R37" i="8"/>
  <c r="S37" i="8"/>
  <c r="V37" i="8"/>
  <c r="W37" i="8"/>
  <c r="X37" i="8"/>
  <c r="Y37" i="8"/>
  <c r="Z37" i="8"/>
  <c r="AA37" i="8"/>
  <c r="AB37" i="8"/>
  <c r="AC37" i="8"/>
  <c r="AD37" i="8"/>
  <c r="AE37" i="8"/>
  <c r="AF37" i="8"/>
  <c r="AG37" i="8"/>
  <c r="H38" i="8"/>
  <c r="I38" i="8"/>
  <c r="J38" i="8"/>
  <c r="K38" i="8"/>
  <c r="L38" i="8"/>
  <c r="M38" i="8"/>
  <c r="N38" i="8"/>
  <c r="O38" i="8"/>
  <c r="P38" i="8"/>
  <c r="Q38" i="8"/>
  <c r="R38" i="8"/>
  <c r="S38" i="8"/>
  <c r="V38" i="8"/>
  <c r="W38" i="8"/>
  <c r="X38" i="8"/>
  <c r="Y38" i="8"/>
  <c r="Z38" i="8"/>
  <c r="AA38" i="8"/>
  <c r="AB38" i="8"/>
  <c r="AC38" i="8"/>
  <c r="AD38" i="8"/>
  <c r="AE38" i="8"/>
  <c r="AF38" i="8"/>
  <c r="AG38" i="8"/>
  <c r="H39" i="8"/>
  <c r="I39" i="8"/>
  <c r="J39" i="8"/>
  <c r="K39" i="8"/>
  <c r="L39" i="8"/>
  <c r="M39" i="8"/>
  <c r="N39" i="8"/>
  <c r="O39" i="8"/>
  <c r="P39" i="8"/>
  <c r="Q39" i="8"/>
  <c r="R39" i="8"/>
  <c r="S39" i="8"/>
  <c r="V39" i="8"/>
  <c r="W39" i="8"/>
  <c r="X39" i="8"/>
  <c r="Y39" i="8"/>
  <c r="Z39" i="8"/>
  <c r="AA39" i="8"/>
  <c r="AB39" i="8"/>
  <c r="AC39" i="8"/>
  <c r="AD39" i="8"/>
  <c r="AE39" i="8"/>
  <c r="AF39" i="8"/>
  <c r="AG39" i="8"/>
  <c r="H40" i="8"/>
  <c r="I40" i="8"/>
  <c r="J40" i="8"/>
  <c r="K40" i="8"/>
  <c r="L40" i="8"/>
  <c r="M40" i="8"/>
  <c r="N40" i="8"/>
  <c r="O40" i="8"/>
  <c r="P40" i="8"/>
  <c r="Q40" i="8"/>
  <c r="R40" i="8"/>
  <c r="S40" i="8"/>
  <c r="V40" i="8"/>
  <c r="W40" i="8"/>
  <c r="X40" i="8"/>
  <c r="Y40" i="8"/>
  <c r="Z40" i="8"/>
  <c r="AA40" i="8"/>
  <c r="AB40" i="8"/>
  <c r="AC40" i="8"/>
  <c r="AD40" i="8"/>
  <c r="AE40" i="8"/>
  <c r="AF40" i="8"/>
  <c r="AG40" i="8"/>
  <c r="H41" i="8"/>
  <c r="I41" i="8"/>
  <c r="J41" i="8"/>
  <c r="K41" i="8"/>
  <c r="L41" i="8"/>
  <c r="M41" i="8"/>
  <c r="N41" i="8"/>
  <c r="O41" i="8"/>
  <c r="P41" i="8"/>
  <c r="Q41" i="8"/>
  <c r="R41" i="8"/>
  <c r="S41" i="8"/>
  <c r="V41" i="8"/>
  <c r="W41" i="8"/>
  <c r="X41" i="8"/>
  <c r="Y41" i="8"/>
  <c r="Z41" i="8"/>
  <c r="AA41" i="8"/>
  <c r="AB41" i="8"/>
  <c r="AC41" i="8"/>
  <c r="AD41" i="8"/>
  <c r="AE41" i="8"/>
  <c r="AF41" i="8"/>
  <c r="AG41" i="8"/>
  <c r="H3" i="7"/>
  <c r="I3" i="7"/>
  <c r="J3" i="7"/>
  <c r="K3" i="7"/>
  <c r="L3" i="7"/>
  <c r="M3" i="7"/>
  <c r="N3" i="7"/>
  <c r="O3" i="7"/>
  <c r="P3" i="7"/>
  <c r="Q3" i="7"/>
  <c r="R3" i="7"/>
  <c r="S3" i="7"/>
  <c r="V3" i="7"/>
  <c r="W3" i="7"/>
  <c r="X3" i="7"/>
  <c r="Y3" i="7"/>
  <c r="Z3" i="7"/>
  <c r="AA3" i="7"/>
  <c r="AB3" i="7"/>
  <c r="AC3" i="7"/>
  <c r="AD3" i="7"/>
  <c r="AE3" i="7"/>
  <c r="AF3" i="7"/>
  <c r="AG3" i="7"/>
  <c r="H4" i="7"/>
  <c r="I4" i="7"/>
  <c r="J4" i="7"/>
  <c r="K4" i="7"/>
  <c r="L4" i="7"/>
  <c r="M4" i="7"/>
  <c r="N4" i="7"/>
  <c r="O4" i="7"/>
  <c r="P4" i="7"/>
  <c r="Q4" i="7"/>
  <c r="R4" i="7"/>
  <c r="S4" i="7"/>
  <c r="V4" i="7"/>
  <c r="W4" i="7"/>
  <c r="X4" i="7"/>
  <c r="Y4" i="7"/>
  <c r="Z4" i="7"/>
  <c r="AA4" i="7"/>
  <c r="AB4" i="7"/>
  <c r="AC4" i="7"/>
  <c r="AD4" i="7"/>
  <c r="AE4" i="7"/>
  <c r="AF4" i="7"/>
  <c r="AG4" i="7"/>
  <c r="H5" i="7"/>
  <c r="I5" i="7"/>
  <c r="J5" i="7"/>
  <c r="K5" i="7"/>
  <c r="L5" i="7"/>
  <c r="M5" i="7"/>
  <c r="N5" i="7"/>
  <c r="O5" i="7"/>
  <c r="P5" i="7"/>
  <c r="Q5" i="7"/>
  <c r="R5" i="7"/>
  <c r="S5" i="7"/>
  <c r="V5" i="7"/>
  <c r="W5" i="7"/>
  <c r="X5" i="7"/>
  <c r="Y5" i="7"/>
  <c r="Z5" i="7"/>
  <c r="AA5" i="7"/>
  <c r="AB5" i="7"/>
  <c r="AC5" i="7"/>
  <c r="AD5" i="7"/>
  <c r="AE5" i="7"/>
  <c r="AF5" i="7"/>
  <c r="AG5" i="7"/>
  <c r="H6" i="7"/>
  <c r="I6" i="7"/>
  <c r="J6" i="7"/>
  <c r="K6" i="7"/>
  <c r="L6" i="7"/>
  <c r="M6" i="7"/>
  <c r="N6" i="7"/>
  <c r="O6" i="7"/>
  <c r="P6" i="7"/>
  <c r="Q6" i="7"/>
  <c r="R6" i="7"/>
  <c r="S6" i="7"/>
  <c r="V6" i="7"/>
  <c r="W6" i="7"/>
  <c r="X6" i="7"/>
  <c r="Y6" i="7"/>
  <c r="Z6" i="7"/>
  <c r="AA6" i="7"/>
  <c r="AB6" i="7"/>
  <c r="AC6" i="7"/>
  <c r="AD6" i="7"/>
  <c r="AE6" i="7"/>
  <c r="AF6" i="7"/>
  <c r="AG6" i="7"/>
  <c r="H7" i="7"/>
  <c r="I7" i="7"/>
  <c r="J7" i="7"/>
  <c r="K7" i="7"/>
  <c r="L7" i="7"/>
  <c r="M7" i="7"/>
  <c r="N7" i="7"/>
  <c r="O7" i="7"/>
  <c r="P7" i="7"/>
  <c r="Q7" i="7"/>
  <c r="R7" i="7"/>
  <c r="S7" i="7"/>
  <c r="V7" i="7"/>
  <c r="W7" i="7"/>
  <c r="X7" i="7"/>
  <c r="Y7" i="7"/>
  <c r="Z7" i="7"/>
  <c r="AA7" i="7"/>
  <c r="AB7" i="7"/>
  <c r="AC7" i="7"/>
  <c r="AD7" i="7"/>
  <c r="AE7" i="7"/>
  <c r="AF7" i="7"/>
  <c r="AG7" i="7"/>
  <c r="H8" i="7"/>
  <c r="I8" i="7"/>
  <c r="J8" i="7"/>
  <c r="K8" i="7"/>
  <c r="L8" i="7"/>
  <c r="M8" i="7"/>
  <c r="N8" i="7"/>
  <c r="O8" i="7"/>
  <c r="P8" i="7"/>
  <c r="Q8" i="7"/>
  <c r="R8" i="7"/>
  <c r="S8" i="7"/>
  <c r="V8" i="7"/>
  <c r="W8" i="7"/>
  <c r="X8" i="7"/>
  <c r="Y8" i="7"/>
  <c r="Z8" i="7"/>
  <c r="AA8" i="7"/>
  <c r="AB8" i="7"/>
  <c r="AC8" i="7"/>
  <c r="AD8" i="7"/>
  <c r="AE8" i="7"/>
  <c r="AF8" i="7"/>
  <c r="AG8" i="7"/>
  <c r="H9" i="7"/>
  <c r="I9" i="7"/>
  <c r="J9" i="7"/>
  <c r="K9" i="7"/>
  <c r="L9" i="7"/>
  <c r="M9" i="7"/>
  <c r="N9" i="7"/>
  <c r="O9" i="7"/>
  <c r="P9" i="7"/>
  <c r="Q9" i="7"/>
  <c r="R9" i="7"/>
  <c r="S9" i="7"/>
  <c r="V9" i="7"/>
  <c r="W9" i="7"/>
  <c r="X9" i="7"/>
  <c r="Y9" i="7"/>
  <c r="Z9" i="7"/>
  <c r="AA9" i="7"/>
  <c r="AB9" i="7"/>
  <c r="AC9" i="7"/>
  <c r="AD9" i="7"/>
  <c r="AE9" i="7"/>
  <c r="AF9" i="7"/>
  <c r="AG9" i="7"/>
  <c r="H10" i="7"/>
  <c r="I10" i="7"/>
  <c r="J10" i="7"/>
  <c r="K10" i="7"/>
  <c r="L10" i="7"/>
  <c r="M10" i="7"/>
  <c r="N10" i="7"/>
  <c r="O10" i="7"/>
  <c r="P10" i="7"/>
  <c r="Q10" i="7"/>
  <c r="R10" i="7"/>
  <c r="S10" i="7"/>
  <c r="V10" i="7"/>
  <c r="W10" i="7"/>
  <c r="X10" i="7"/>
  <c r="Y10" i="7"/>
  <c r="Z10" i="7"/>
  <c r="AA10" i="7"/>
  <c r="AB10" i="7"/>
  <c r="AC10" i="7"/>
  <c r="AD10" i="7"/>
  <c r="AE10" i="7"/>
  <c r="AF10" i="7"/>
  <c r="AG10" i="7"/>
  <c r="H11" i="7"/>
  <c r="I11" i="7"/>
  <c r="J11" i="7"/>
  <c r="K11" i="7"/>
  <c r="L11" i="7"/>
  <c r="M11" i="7"/>
  <c r="N11" i="7"/>
  <c r="O11" i="7"/>
  <c r="P11" i="7"/>
  <c r="Q11" i="7"/>
  <c r="R11" i="7"/>
  <c r="S11" i="7"/>
  <c r="V11" i="7"/>
  <c r="W11" i="7"/>
  <c r="X11" i="7"/>
  <c r="Y11" i="7"/>
  <c r="Z11" i="7"/>
  <c r="AA11" i="7"/>
  <c r="AB11" i="7"/>
  <c r="AC11" i="7"/>
  <c r="AD11" i="7"/>
  <c r="AE11" i="7"/>
  <c r="AF11" i="7"/>
  <c r="AG11" i="7"/>
  <c r="H12" i="7"/>
  <c r="I12" i="7"/>
  <c r="J12" i="7"/>
  <c r="K12" i="7"/>
  <c r="L12" i="7"/>
  <c r="M12" i="7"/>
  <c r="N12" i="7"/>
  <c r="O12" i="7"/>
  <c r="P12" i="7"/>
  <c r="Q12" i="7"/>
  <c r="R12" i="7"/>
  <c r="S12" i="7"/>
  <c r="V12" i="7"/>
  <c r="W12" i="7"/>
  <c r="X12" i="7"/>
  <c r="Y12" i="7"/>
  <c r="Z12" i="7"/>
  <c r="AA12" i="7"/>
  <c r="AB12" i="7"/>
  <c r="AC12" i="7"/>
  <c r="AD12" i="7"/>
  <c r="AE12" i="7"/>
  <c r="AF12" i="7"/>
  <c r="AG12" i="7"/>
  <c r="H13" i="7"/>
  <c r="I13" i="7"/>
  <c r="J13" i="7"/>
  <c r="K13" i="7"/>
  <c r="L13" i="7"/>
  <c r="M13" i="7"/>
  <c r="N13" i="7"/>
  <c r="O13" i="7"/>
  <c r="P13" i="7"/>
  <c r="Q13" i="7"/>
  <c r="R13" i="7"/>
  <c r="S13" i="7"/>
  <c r="V13" i="7"/>
  <c r="W13" i="7"/>
  <c r="X13" i="7"/>
  <c r="Y13" i="7"/>
  <c r="Z13" i="7"/>
  <c r="AA13" i="7"/>
  <c r="AB13" i="7"/>
  <c r="AC13" i="7"/>
  <c r="AD13" i="7"/>
  <c r="AE13" i="7"/>
  <c r="AF13" i="7"/>
  <c r="AG13" i="7"/>
  <c r="H14" i="7"/>
  <c r="I14" i="7"/>
  <c r="J14" i="7"/>
  <c r="K14" i="7"/>
  <c r="L14" i="7"/>
  <c r="M14" i="7"/>
  <c r="N14" i="7"/>
  <c r="O14" i="7"/>
  <c r="P14" i="7"/>
  <c r="Q14" i="7"/>
  <c r="R14" i="7"/>
  <c r="S14" i="7"/>
  <c r="V14" i="7"/>
  <c r="W14" i="7"/>
  <c r="X14" i="7"/>
  <c r="Y14" i="7"/>
  <c r="Z14" i="7"/>
  <c r="AA14" i="7"/>
  <c r="AB14" i="7"/>
  <c r="AC14" i="7"/>
  <c r="AD14" i="7"/>
  <c r="AE14" i="7"/>
  <c r="AF14" i="7"/>
  <c r="AG14" i="7"/>
  <c r="H15" i="7"/>
  <c r="I15" i="7"/>
  <c r="J15" i="7"/>
  <c r="K15" i="7"/>
  <c r="L15" i="7"/>
  <c r="M15" i="7"/>
  <c r="N15" i="7"/>
  <c r="O15" i="7"/>
  <c r="P15" i="7"/>
  <c r="Q15" i="7"/>
  <c r="R15" i="7"/>
  <c r="S15" i="7"/>
  <c r="V15" i="7"/>
  <c r="W15" i="7"/>
  <c r="X15" i="7"/>
  <c r="Y15" i="7"/>
  <c r="Z15" i="7"/>
  <c r="AA15" i="7"/>
  <c r="AB15" i="7"/>
  <c r="AC15" i="7"/>
  <c r="AD15" i="7"/>
  <c r="AE15" i="7"/>
  <c r="AF15" i="7"/>
  <c r="AG15" i="7"/>
  <c r="H16" i="7"/>
  <c r="I16" i="7"/>
  <c r="J16" i="7"/>
  <c r="K16" i="7"/>
  <c r="L16" i="7"/>
  <c r="M16" i="7"/>
  <c r="N16" i="7"/>
  <c r="O16" i="7"/>
  <c r="P16" i="7"/>
  <c r="Q16" i="7"/>
  <c r="R16" i="7"/>
  <c r="S16" i="7"/>
  <c r="V16" i="7"/>
  <c r="W16" i="7"/>
  <c r="X16" i="7"/>
  <c r="Y16" i="7"/>
  <c r="Z16" i="7"/>
  <c r="AA16" i="7"/>
  <c r="AB16" i="7"/>
  <c r="AC16" i="7"/>
  <c r="AD16" i="7"/>
  <c r="AE16" i="7"/>
  <c r="AF16" i="7"/>
  <c r="AG16" i="7"/>
  <c r="H17" i="7"/>
  <c r="I17" i="7"/>
  <c r="J17" i="7"/>
  <c r="K17" i="7"/>
  <c r="L17" i="7"/>
  <c r="M17" i="7"/>
  <c r="N17" i="7"/>
  <c r="O17" i="7"/>
  <c r="P17" i="7"/>
  <c r="Q17" i="7"/>
  <c r="R17" i="7"/>
  <c r="S17" i="7"/>
  <c r="V17" i="7"/>
  <c r="W17" i="7"/>
  <c r="X17" i="7"/>
  <c r="Y17" i="7"/>
  <c r="Z17" i="7"/>
  <c r="AA17" i="7"/>
  <c r="AB17" i="7"/>
  <c r="AC17" i="7"/>
  <c r="AD17" i="7"/>
  <c r="AE17" i="7"/>
  <c r="AF17" i="7"/>
  <c r="AG17" i="7"/>
  <c r="H18" i="7"/>
  <c r="I18" i="7"/>
  <c r="J18" i="7"/>
  <c r="K18" i="7"/>
  <c r="L18" i="7"/>
  <c r="M18" i="7"/>
  <c r="N18" i="7"/>
  <c r="O18" i="7"/>
  <c r="P18" i="7"/>
  <c r="Q18" i="7"/>
  <c r="R18" i="7"/>
  <c r="S18" i="7"/>
  <c r="V18" i="7"/>
  <c r="W18" i="7"/>
  <c r="X18" i="7"/>
  <c r="Y18" i="7"/>
  <c r="Z18" i="7"/>
  <c r="AA18" i="7"/>
  <c r="AB18" i="7"/>
  <c r="AC18" i="7"/>
  <c r="AD18" i="7"/>
  <c r="AE18" i="7"/>
  <c r="AF18" i="7"/>
  <c r="AG18" i="7"/>
  <c r="H19" i="7"/>
  <c r="I19" i="7"/>
  <c r="J19" i="7"/>
  <c r="K19" i="7"/>
  <c r="L19" i="7"/>
  <c r="M19" i="7"/>
  <c r="N19" i="7"/>
  <c r="O19" i="7"/>
  <c r="P19" i="7"/>
  <c r="Q19" i="7"/>
  <c r="R19" i="7"/>
  <c r="S19" i="7"/>
  <c r="V19" i="7"/>
  <c r="W19" i="7"/>
  <c r="X19" i="7"/>
  <c r="Y19" i="7"/>
  <c r="Z19" i="7"/>
  <c r="AA19" i="7"/>
  <c r="AB19" i="7"/>
  <c r="AC19" i="7"/>
  <c r="AD19" i="7"/>
  <c r="AE19" i="7"/>
  <c r="AF19" i="7"/>
  <c r="AG19" i="7"/>
  <c r="H20" i="7"/>
  <c r="I20" i="7"/>
  <c r="J20" i="7"/>
  <c r="K20" i="7"/>
  <c r="L20" i="7"/>
  <c r="M20" i="7"/>
  <c r="N20" i="7"/>
  <c r="O20" i="7"/>
  <c r="P20" i="7"/>
  <c r="Q20" i="7"/>
  <c r="R20" i="7"/>
  <c r="S20" i="7"/>
  <c r="V20" i="7"/>
  <c r="W20" i="7"/>
  <c r="X20" i="7"/>
  <c r="Y20" i="7"/>
  <c r="Z20" i="7"/>
  <c r="AA20" i="7"/>
  <c r="AB20" i="7"/>
  <c r="AC20" i="7"/>
  <c r="AD20" i="7"/>
  <c r="AE20" i="7"/>
  <c r="AF20" i="7"/>
  <c r="AG20" i="7"/>
  <c r="H21" i="7"/>
  <c r="I21" i="7"/>
  <c r="J21" i="7"/>
  <c r="K21" i="7"/>
  <c r="L21" i="7"/>
  <c r="M21" i="7"/>
  <c r="N21" i="7"/>
  <c r="O21" i="7"/>
  <c r="P21" i="7"/>
  <c r="Q21" i="7"/>
  <c r="R21" i="7"/>
  <c r="S21" i="7"/>
  <c r="V21" i="7"/>
  <c r="W21" i="7"/>
  <c r="X21" i="7"/>
  <c r="Y21" i="7"/>
  <c r="Z21" i="7"/>
  <c r="AA21" i="7"/>
  <c r="AB21" i="7"/>
  <c r="AC21" i="7"/>
  <c r="AD21" i="7"/>
  <c r="AE21" i="7"/>
  <c r="AF21" i="7"/>
  <c r="AG21" i="7"/>
  <c r="H22" i="7"/>
  <c r="I22" i="7"/>
  <c r="J22" i="7"/>
  <c r="K22" i="7"/>
  <c r="L22" i="7"/>
  <c r="M22" i="7"/>
  <c r="N22" i="7"/>
  <c r="O22" i="7"/>
  <c r="P22" i="7"/>
  <c r="Q22" i="7"/>
  <c r="R22" i="7"/>
  <c r="S22" i="7"/>
  <c r="V22" i="7"/>
  <c r="W22" i="7"/>
  <c r="X22" i="7"/>
  <c r="Y22" i="7"/>
  <c r="Z22" i="7"/>
  <c r="AA22" i="7"/>
  <c r="AB22" i="7"/>
  <c r="AC22" i="7"/>
  <c r="AD22" i="7"/>
  <c r="AE22" i="7"/>
  <c r="AF22" i="7"/>
  <c r="AG22" i="7"/>
  <c r="H23" i="7"/>
  <c r="I23" i="7"/>
  <c r="J23" i="7"/>
  <c r="K23" i="7"/>
  <c r="L23" i="7"/>
  <c r="M23" i="7"/>
  <c r="N23" i="7"/>
  <c r="O23" i="7"/>
  <c r="P23" i="7"/>
  <c r="Q23" i="7"/>
  <c r="R23" i="7"/>
  <c r="S23" i="7"/>
  <c r="V23" i="7"/>
  <c r="W23" i="7"/>
  <c r="X23" i="7"/>
  <c r="Y23" i="7"/>
  <c r="Z23" i="7"/>
  <c r="AA23" i="7"/>
  <c r="AB23" i="7"/>
  <c r="AC23" i="7"/>
  <c r="AD23" i="7"/>
  <c r="AE23" i="7"/>
  <c r="AF23" i="7"/>
  <c r="AG23" i="7"/>
  <c r="H24" i="7"/>
  <c r="I24" i="7"/>
  <c r="J24" i="7"/>
  <c r="K24" i="7"/>
  <c r="L24" i="7"/>
  <c r="M24" i="7"/>
  <c r="N24" i="7"/>
  <c r="O24" i="7"/>
  <c r="P24" i="7"/>
  <c r="Q24" i="7"/>
  <c r="R24" i="7"/>
  <c r="S24" i="7"/>
  <c r="V24" i="7"/>
  <c r="W24" i="7"/>
  <c r="X24" i="7"/>
  <c r="Y24" i="7"/>
  <c r="Z24" i="7"/>
  <c r="AA24" i="7"/>
  <c r="AB24" i="7"/>
  <c r="AC24" i="7"/>
  <c r="AD24" i="7"/>
  <c r="AE24" i="7"/>
  <c r="AF24" i="7"/>
  <c r="AG24" i="7"/>
  <c r="H25" i="7"/>
  <c r="I25" i="7"/>
  <c r="J25" i="7"/>
  <c r="K25" i="7"/>
  <c r="L25" i="7"/>
  <c r="M25" i="7"/>
  <c r="N25" i="7"/>
  <c r="O25" i="7"/>
  <c r="P25" i="7"/>
  <c r="Q25" i="7"/>
  <c r="R25" i="7"/>
  <c r="S25" i="7"/>
  <c r="V25" i="7"/>
  <c r="W25" i="7"/>
  <c r="X25" i="7"/>
  <c r="Y25" i="7"/>
  <c r="Z25" i="7"/>
  <c r="AA25" i="7"/>
  <c r="AB25" i="7"/>
  <c r="AC25" i="7"/>
  <c r="AD25" i="7"/>
  <c r="AE25" i="7"/>
  <c r="AF25" i="7"/>
  <c r="AG25" i="7"/>
  <c r="H26" i="7"/>
  <c r="I26" i="7"/>
  <c r="J26" i="7"/>
  <c r="K26" i="7"/>
  <c r="L26" i="7"/>
  <c r="M26" i="7"/>
  <c r="N26" i="7"/>
  <c r="O26" i="7"/>
  <c r="P26" i="7"/>
  <c r="Q26" i="7"/>
  <c r="R26" i="7"/>
  <c r="S26" i="7"/>
  <c r="V26" i="7"/>
  <c r="W26" i="7"/>
  <c r="X26" i="7"/>
  <c r="Y26" i="7"/>
  <c r="Z26" i="7"/>
  <c r="AA26" i="7"/>
  <c r="AB26" i="7"/>
  <c r="AC26" i="7"/>
  <c r="AD26" i="7"/>
  <c r="AE26" i="7"/>
  <c r="AF26" i="7"/>
  <c r="AG26" i="7"/>
  <c r="H27" i="7"/>
  <c r="I27" i="7"/>
  <c r="J27" i="7"/>
  <c r="K27" i="7"/>
  <c r="L27" i="7"/>
  <c r="M27" i="7"/>
  <c r="N27" i="7"/>
  <c r="O27" i="7"/>
  <c r="P27" i="7"/>
  <c r="Q27" i="7"/>
  <c r="R27" i="7"/>
  <c r="S27" i="7"/>
  <c r="V27" i="7"/>
  <c r="W27" i="7"/>
  <c r="X27" i="7"/>
  <c r="Y27" i="7"/>
  <c r="Z27" i="7"/>
  <c r="AA27" i="7"/>
  <c r="AB27" i="7"/>
  <c r="AC27" i="7"/>
  <c r="AD27" i="7"/>
  <c r="AE27" i="7"/>
  <c r="AF27" i="7"/>
  <c r="AG27" i="7"/>
  <c r="H28" i="7"/>
  <c r="I28" i="7"/>
  <c r="J28" i="7"/>
  <c r="K28" i="7"/>
  <c r="L28" i="7"/>
  <c r="M28" i="7"/>
  <c r="N28" i="7"/>
  <c r="O28" i="7"/>
  <c r="P28" i="7"/>
  <c r="Q28" i="7"/>
  <c r="R28" i="7"/>
  <c r="S28" i="7"/>
  <c r="V28" i="7"/>
  <c r="W28" i="7"/>
  <c r="X28" i="7"/>
  <c r="Y28" i="7"/>
  <c r="Z28" i="7"/>
  <c r="AA28" i="7"/>
  <c r="AB28" i="7"/>
  <c r="AC28" i="7"/>
  <c r="AD28" i="7"/>
  <c r="AE28" i="7"/>
  <c r="AF28" i="7"/>
  <c r="AG28" i="7"/>
  <c r="H29" i="7"/>
  <c r="I29" i="7"/>
  <c r="J29" i="7"/>
  <c r="K29" i="7"/>
  <c r="L29" i="7"/>
  <c r="M29" i="7"/>
  <c r="N29" i="7"/>
  <c r="O29" i="7"/>
  <c r="P29" i="7"/>
  <c r="Q29" i="7"/>
  <c r="R29" i="7"/>
  <c r="S29" i="7"/>
  <c r="V29" i="7"/>
  <c r="W29" i="7"/>
  <c r="X29" i="7"/>
  <c r="Y29" i="7"/>
  <c r="Z29" i="7"/>
  <c r="AA29" i="7"/>
  <c r="AB29" i="7"/>
  <c r="AC29" i="7"/>
  <c r="AD29" i="7"/>
  <c r="AE29" i="7"/>
  <c r="AF29" i="7"/>
  <c r="AG29" i="7"/>
  <c r="H30" i="7"/>
  <c r="I30" i="7"/>
  <c r="J30" i="7"/>
  <c r="K30" i="7"/>
  <c r="L30" i="7"/>
  <c r="M30" i="7"/>
  <c r="N30" i="7"/>
  <c r="O30" i="7"/>
  <c r="P30" i="7"/>
  <c r="Q30" i="7"/>
  <c r="R30" i="7"/>
  <c r="S30" i="7"/>
  <c r="V30" i="7"/>
  <c r="W30" i="7"/>
  <c r="X30" i="7"/>
  <c r="Y30" i="7"/>
  <c r="Z30" i="7"/>
  <c r="AA30" i="7"/>
  <c r="AB30" i="7"/>
  <c r="AC30" i="7"/>
  <c r="AD30" i="7"/>
  <c r="AE30" i="7"/>
  <c r="AF30" i="7"/>
  <c r="AG30" i="7"/>
  <c r="H31" i="7"/>
  <c r="I31" i="7"/>
  <c r="J31" i="7"/>
  <c r="K31" i="7"/>
  <c r="L31" i="7"/>
  <c r="M31" i="7"/>
  <c r="N31" i="7"/>
  <c r="O31" i="7"/>
  <c r="P31" i="7"/>
  <c r="Q31" i="7"/>
  <c r="R31" i="7"/>
  <c r="S31" i="7"/>
  <c r="V31" i="7"/>
  <c r="W31" i="7"/>
  <c r="X31" i="7"/>
  <c r="Y31" i="7"/>
  <c r="Z31" i="7"/>
  <c r="AA31" i="7"/>
  <c r="AB31" i="7"/>
  <c r="AC31" i="7"/>
  <c r="AD31" i="7"/>
  <c r="AE31" i="7"/>
  <c r="AF31" i="7"/>
  <c r="AG31" i="7"/>
  <c r="H32" i="7"/>
  <c r="I32" i="7"/>
  <c r="J32" i="7"/>
  <c r="K32" i="7"/>
  <c r="L32" i="7"/>
  <c r="M32" i="7"/>
  <c r="N32" i="7"/>
  <c r="O32" i="7"/>
  <c r="P32" i="7"/>
  <c r="Q32" i="7"/>
  <c r="R32" i="7"/>
  <c r="S32" i="7"/>
  <c r="V32" i="7"/>
  <c r="W32" i="7"/>
  <c r="X32" i="7"/>
  <c r="Y32" i="7"/>
  <c r="Z32" i="7"/>
  <c r="AA32" i="7"/>
  <c r="AB32" i="7"/>
  <c r="AC32" i="7"/>
  <c r="AD32" i="7"/>
  <c r="AE32" i="7"/>
  <c r="AF32" i="7"/>
  <c r="AG32" i="7"/>
  <c r="H33" i="7"/>
  <c r="I33" i="7"/>
  <c r="J33" i="7"/>
  <c r="K33" i="7"/>
  <c r="L33" i="7"/>
  <c r="M33" i="7"/>
  <c r="N33" i="7"/>
  <c r="O33" i="7"/>
  <c r="P33" i="7"/>
  <c r="Q33" i="7"/>
  <c r="R33" i="7"/>
  <c r="S33" i="7"/>
  <c r="V33" i="7"/>
  <c r="W33" i="7"/>
  <c r="X33" i="7"/>
  <c r="Y33" i="7"/>
  <c r="Z33" i="7"/>
  <c r="AA33" i="7"/>
  <c r="AB33" i="7"/>
  <c r="AC33" i="7"/>
  <c r="AD33" i="7"/>
  <c r="AE33" i="7"/>
  <c r="AF33" i="7"/>
  <c r="AG33" i="7"/>
  <c r="H34" i="7"/>
  <c r="I34" i="7"/>
  <c r="J34" i="7"/>
  <c r="K34" i="7"/>
  <c r="L34" i="7"/>
  <c r="M34" i="7"/>
  <c r="N34" i="7"/>
  <c r="O34" i="7"/>
  <c r="P34" i="7"/>
  <c r="Q34" i="7"/>
  <c r="R34" i="7"/>
  <c r="S34" i="7"/>
  <c r="V34" i="7"/>
  <c r="W34" i="7"/>
  <c r="X34" i="7"/>
  <c r="Y34" i="7"/>
  <c r="Z34" i="7"/>
  <c r="AA34" i="7"/>
  <c r="AB34" i="7"/>
  <c r="AC34" i="7"/>
  <c r="AD34" i="7"/>
  <c r="AE34" i="7"/>
  <c r="AF34" i="7"/>
  <c r="AG34" i="7"/>
  <c r="H35" i="7"/>
  <c r="I35" i="7"/>
  <c r="J35" i="7"/>
  <c r="K35" i="7"/>
  <c r="L35" i="7"/>
  <c r="M35" i="7"/>
  <c r="N35" i="7"/>
  <c r="O35" i="7"/>
  <c r="P35" i="7"/>
  <c r="Q35" i="7"/>
  <c r="R35" i="7"/>
  <c r="S35" i="7"/>
  <c r="V35" i="7"/>
  <c r="W35" i="7"/>
  <c r="X35" i="7"/>
  <c r="Y35" i="7"/>
  <c r="Z35" i="7"/>
  <c r="AA35" i="7"/>
  <c r="AB35" i="7"/>
  <c r="AC35" i="7"/>
  <c r="AD35" i="7"/>
  <c r="AE35" i="7"/>
  <c r="AF35" i="7"/>
  <c r="AG35" i="7"/>
  <c r="H36" i="7"/>
  <c r="I36" i="7"/>
  <c r="J36" i="7"/>
  <c r="K36" i="7"/>
  <c r="L36" i="7"/>
  <c r="M36" i="7"/>
  <c r="N36" i="7"/>
  <c r="O36" i="7"/>
  <c r="P36" i="7"/>
  <c r="Q36" i="7"/>
  <c r="R36" i="7"/>
  <c r="S36" i="7"/>
  <c r="V36" i="7"/>
  <c r="W36" i="7"/>
  <c r="X36" i="7"/>
  <c r="Y36" i="7"/>
  <c r="Z36" i="7"/>
  <c r="AA36" i="7"/>
  <c r="AB36" i="7"/>
  <c r="AC36" i="7"/>
  <c r="AD36" i="7"/>
  <c r="AE36" i="7"/>
  <c r="AF36" i="7"/>
  <c r="AG36" i="7"/>
  <c r="H37" i="7"/>
  <c r="I37" i="7"/>
  <c r="J37" i="7"/>
  <c r="K37" i="7"/>
  <c r="L37" i="7"/>
  <c r="M37" i="7"/>
  <c r="N37" i="7"/>
  <c r="O37" i="7"/>
  <c r="P37" i="7"/>
  <c r="Q37" i="7"/>
  <c r="R37" i="7"/>
  <c r="S37" i="7"/>
  <c r="V37" i="7"/>
  <c r="W37" i="7"/>
  <c r="X37" i="7"/>
  <c r="Y37" i="7"/>
  <c r="Z37" i="7"/>
  <c r="AA37" i="7"/>
  <c r="AB37" i="7"/>
  <c r="AC37" i="7"/>
  <c r="AD37" i="7"/>
  <c r="AE37" i="7"/>
  <c r="AF37" i="7"/>
  <c r="AG37" i="7"/>
  <c r="H38" i="7"/>
  <c r="I38" i="7"/>
  <c r="J38" i="7"/>
  <c r="K38" i="7"/>
  <c r="L38" i="7"/>
  <c r="M38" i="7"/>
  <c r="N38" i="7"/>
  <c r="O38" i="7"/>
  <c r="P38" i="7"/>
  <c r="Q38" i="7"/>
  <c r="R38" i="7"/>
  <c r="S38" i="7"/>
  <c r="V38" i="7"/>
  <c r="W38" i="7"/>
  <c r="X38" i="7"/>
  <c r="Y38" i="7"/>
  <c r="Z38" i="7"/>
  <c r="AA38" i="7"/>
  <c r="AB38" i="7"/>
  <c r="AC38" i="7"/>
  <c r="AD38" i="7"/>
  <c r="AE38" i="7"/>
  <c r="AF38" i="7"/>
  <c r="AG38" i="7"/>
  <c r="H39" i="7"/>
  <c r="I39" i="7"/>
  <c r="J39" i="7"/>
  <c r="K39" i="7"/>
  <c r="L39" i="7"/>
  <c r="M39" i="7"/>
  <c r="N39" i="7"/>
  <c r="O39" i="7"/>
  <c r="P39" i="7"/>
  <c r="Q39" i="7"/>
  <c r="R39" i="7"/>
  <c r="S39" i="7"/>
  <c r="V39" i="7"/>
  <c r="W39" i="7"/>
  <c r="X39" i="7"/>
  <c r="Y39" i="7"/>
  <c r="Z39" i="7"/>
  <c r="AA39" i="7"/>
  <c r="AB39" i="7"/>
  <c r="AC39" i="7"/>
  <c r="AD39" i="7"/>
  <c r="AE39" i="7"/>
  <c r="AF39" i="7"/>
  <c r="AG39" i="7"/>
  <c r="H40" i="7"/>
  <c r="I40" i="7"/>
  <c r="J40" i="7"/>
  <c r="K40" i="7"/>
  <c r="L40" i="7"/>
  <c r="M40" i="7"/>
  <c r="N40" i="7"/>
  <c r="O40" i="7"/>
  <c r="P40" i="7"/>
  <c r="Q40" i="7"/>
  <c r="R40" i="7"/>
  <c r="S40" i="7"/>
  <c r="V40" i="7"/>
  <c r="W40" i="7"/>
  <c r="X40" i="7"/>
  <c r="Y40" i="7"/>
  <c r="Z40" i="7"/>
  <c r="AA40" i="7"/>
  <c r="AB40" i="7"/>
  <c r="AC40" i="7"/>
  <c r="AD40" i="7"/>
  <c r="AE40" i="7"/>
  <c r="AF40" i="7"/>
  <c r="AG40" i="7"/>
  <c r="H41" i="7"/>
  <c r="I41" i="7"/>
  <c r="J41" i="7"/>
  <c r="K41" i="7"/>
  <c r="L41" i="7"/>
  <c r="M41" i="7"/>
  <c r="N41" i="7"/>
  <c r="O41" i="7"/>
  <c r="P41" i="7"/>
  <c r="Q41" i="7"/>
  <c r="R41" i="7"/>
  <c r="S41" i="7"/>
  <c r="V41" i="7"/>
  <c r="W41" i="7"/>
  <c r="X41" i="7"/>
  <c r="Y41" i="7"/>
  <c r="Z41" i="7"/>
  <c r="AA41" i="7"/>
  <c r="AB41" i="7"/>
  <c r="AC41" i="7"/>
  <c r="AD41" i="7"/>
  <c r="AE41" i="7"/>
  <c r="AF41" i="7"/>
  <c r="AG41" i="7"/>
  <c r="H42" i="7"/>
  <c r="I42" i="7"/>
  <c r="J42" i="7"/>
  <c r="K42" i="7"/>
  <c r="L42" i="7"/>
  <c r="M42" i="7"/>
  <c r="N42" i="7"/>
  <c r="O42" i="7"/>
  <c r="P42" i="7"/>
  <c r="Q42" i="7"/>
  <c r="R42" i="7"/>
  <c r="S42" i="7"/>
  <c r="V42" i="7"/>
  <c r="W42" i="7"/>
  <c r="X42" i="7"/>
  <c r="Y42" i="7"/>
  <c r="Z42" i="7"/>
  <c r="AA42" i="7"/>
  <c r="AB42" i="7"/>
  <c r="AC42" i="7"/>
  <c r="AD42" i="7"/>
  <c r="AE42" i="7"/>
  <c r="AF42" i="7"/>
  <c r="AG42" i="7"/>
  <c r="H43" i="7"/>
  <c r="I43" i="7"/>
  <c r="J43" i="7"/>
  <c r="K43" i="7"/>
  <c r="L43" i="7"/>
  <c r="M43" i="7"/>
  <c r="N43" i="7"/>
  <c r="O43" i="7"/>
  <c r="P43" i="7"/>
  <c r="Q43" i="7"/>
  <c r="R43" i="7"/>
  <c r="S43" i="7"/>
  <c r="V43" i="7"/>
  <c r="W43" i="7"/>
  <c r="X43" i="7"/>
  <c r="Y43" i="7"/>
  <c r="Z43" i="7"/>
  <c r="AA43" i="7"/>
  <c r="AB43" i="7"/>
  <c r="AC43" i="7"/>
  <c r="AD43" i="7"/>
  <c r="AE43" i="7"/>
  <c r="AF43" i="7"/>
  <c r="AG43" i="7"/>
  <c r="H44" i="7"/>
  <c r="I44" i="7"/>
  <c r="J44" i="7"/>
  <c r="K44" i="7"/>
  <c r="L44" i="7"/>
  <c r="M44" i="7"/>
  <c r="N44" i="7"/>
  <c r="O44" i="7"/>
  <c r="P44" i="7"/>
  <c r="Q44" i="7"/>
  <c r="R44" i="7"/>
  <c r="S44" i="7"/>
  <c r="V44" i="7"/>
  <c r="W44" i="7"/>
  <c r="X44" i="7"/>
  <c r="Y44" i="7"/>
  <c r="Z44" i="7"/>
  <c r="AA44" i="7"/>
  <c r="AB44" i="7"/>
  <c r="AC44" i="7"/>
  <c r="AD44" i="7"/>
  <c r="AE44" i="7"/>
  <c r="AF44" i="7"/>
  <c r="AG44" i="7"/>
  <c r="H45" i="7"/>
  <c r="I45" i="7"/>
  <c r="J45" i="7"/>
  <c r="K45" i="7"/>
  <c r="L45" i="7"/>
  <c r="M45" i="7"/>
  <c r="N45" i="7"/>
  <c r="O45" i="7"/>
  <c r="P45" i="7"/>
  <c r="Q45" i="7"/>
  <c r="R45" i="7"/>
  <c r="S45" i="7"/>
  <c r="V45" i="7"/>
  <c r="W45" i="7"/>
  <c r="X45" i="7"/>
  <c r="Y45" i="7"/>
  <c r="Z45" i="7"/>
  <c r="AA45" i="7"/>
  <c r="AB45" i="7"/>
  <c r="AC45" i="7"/>
  <c r="AD45" i="7"/>
  <c r="AE45" i="7"/>
  <c r="AF45" i="7"/>
  <c r="AG45" i="7"/>
  <c r="H46" i="7"/>
  <c r="I46" i="7"/>
  <c r="J46" i="7"/>
  <c r="K46" i="7"/>
  <c r="L46" i="7"/>
  <c r="M46" i="7"/>
  <c r="N46" i="7"/>
  <c r="O46" i="7"/>
  <c r="P46" i="7"/>
  <c r="Q46" i="7"/>
  <c r="R46" i="7"/>
  <c r="S46" i="7"/>
  <c r="V46" i="7"/>
  <c r="W46" i="7"/>
  <c r="X46" i="7"/>
  <c r="Y46" i="7"/>
  <c r="Z46" i="7"/>
  <c r="AA46" i="7"/>
  <c r="AB46" i="7"/>
  <c r="AC46" i="7"/>
  <c r="AD46" i="7"/>
  <c r="AE46" i="7"/>
  <c r="AF46" i="7"/>
  <c r="AG46" i="7"/>
  <c r="H47" i="7"/>
  <c r="I47" i="7"/>
  <c r="J47" i="7"/>
  <c r="K47" i="7"/>
  <c r="L47" i="7"/>
  <c r="M47" i="7"/>
  <c r="N47" i="7"/>
  <c r="O47" i="7"/>
  <c r="P47" i="7"/>
  <c r="Q47" i="7"/>
  <c r="R47" i="7"/>
  <c r="S47" i="7"/>
  <c r="V47" i="7"/>
  <c r="W47" i="7"/>
  <c r="X47" i="7"/>
  <c r="Y47" i="7"/>
  <c r="Z47" i="7"/>
  <c r="AA47" i="7"/>
  <c r="AB47" i="7"/>
  <c r="AC47" i="7"/>
  <c r="AD47" i="7"/>
  <c r="AE47" i="7"/>
  <c r="AF47" i="7"/>
  <c r="AG47" i="7"/>
  <c r="H48" i="7"/>
  <c r="I48" i="7"/>
  <c r="J48" i="7"/>
  <c r="K48" i="7"/>
  <c r="L48" i="7"/>
  <c r="M48" i="7"/>
  <c r="N48" i="7"/>
  <c r="O48" i="7"/>
  <c r="P48" i="7"/>
  <c r="Q48" i="7"/>
  <c r="R48" i="7"/>
  <c r="S48" i="7"/>
  <c r="V48" i="7"/>
  <c r="W48" i="7"/>
  <c r="X48" i="7"/>
  <c r="Y48" i="7"/>
  <c r="Z48" i="7"/>
  <c r="AA48" i="7"/>
  <c r="AB48" i="7"/>
  <c r="AC48" i="7"/>
  <c r="AD48" i="7"/>
  <c r="AE48" i="7"/>
  <c r="AF48" i="7"/>
  <c r="AG48" i="7"/>
  <c r="H49" i="7"/>
  <c r="I49" i="7"/>
  <c r="J49" i="7"/>
  <c r="K49" i="7"/>
  <c r="L49" i="7"/>
  <c r="M49" i="7"/>
  <c r="N49" i="7"/>
  <c r="O49" i="7"/>
  <c r="P49" i="7"/>
  <c r="Q49" i="7"/>
  <c r="R49" i="7"/>
  <c r="S49" i="7"/>
  <c r="V49" i="7"/>
  <c r="W49" i="7"/>
  <c r="X49" i="7"/>
  <c r="Y49" i="7"/>
  <c r="Z49" i="7"/>
  <c r="AA49" i="7"/>
  <c r="AB49" i="7"/>
  <c r="AC49" i="7"/>
  <c r="AD49" i="7"/>
  <c r="AE49" i="7"/>
  <c r="AF49" i="7"/>
  <c r="AG49" i="7"/>
  <c r="H50" i="7"/>
  <c r="I50" i="7"/>
  <c r="J50" i="7"/>
  <c r="K50" i="7"/>
  <c r="L50" i="7"/>
  <c r="M50" i="7"/>
  <c r="N50" i="7"/>
  <c r="O50" i="7"/>
  <c r="P50" i="7"/>
  <c r="Q50" i="7"/>
  <c r="R50" i="7"/>
  <c r="S50" i="7"/>
  <c r="V50" i="7"/>
  <c r="W50" i="7"/>
  <c r="X50" i="7"/>
  <c r="Y50" i="7"/>
  <c r="Z50" i="7"/>
  <c r="AA50" i="7"/>
  <c r="AB50" i="7"/>
  <c r="AC50" i="7"/>
  <c r="AD50" i="7"/>
  <c r="AE50" i="7"/>
  <c r="AF50" i="7"/>
  <c r="AG50" i="7"/>
  <c r="H51" i="7"/>
  <c r="I51" i="7"/>
  <c r="J51" i="7"/>
  <c r="K51" i="7"/>
  <c r="L51" i="7"/>
  <c r="M51" i="7"/>
  <c r="N51" i="7"/>
  <c r="O51" i="7"/>
  <c r="P51" i="7"/>
  <c r="Q51" i="7"/>
  <c r="R51" i="7"/>
  <c r="S51" i="7"/>
  <c r="V51" i="7"/>
  <c r="W51" i="7"/>
  <c r="X51" i="7"/>
  <c r="Y51" i="7"/>
  <c r="Z51" i="7"/>
  <c r="AA51" i="7"/>
  <c r="AB51" i="7"/>
  <c r="AC51" i="7"/>
  <c r="AD51" i="7"/>
  <c r="AE51" i="7"/>
  <c r="AF51" i="7"/>
  <c r="AG51" i="7"/>
  <c r="H52" i="7"/>
  <c r="I52" i="7"/>
  <c r="J52" i="7"/>
  <c r="K52" i="7"/>
  <c r="L52" i="7"/>
  <c r="M52" i="7"/>
  <c r="N52" i="7"/>
  <c r="O52" i="7"/>
  <c r="P52" i="7"/>
  <c r="Q52" i="7"/>
  <c r="R52" i="7"/>
  <c r="S52" i="7"/>
  <c r="V52" i="7"/>
  <c r="W52" i="7"/>
  <c r="X52" i="7"/>
  <c r="Y52" i="7"/>
  <c r="Z52" i="7"/>
  <c r="AA52" i="7"/>
  <c r="AB52" i="7"/>
  <c r="AC52" i="7"/>
  <c r="AD52" i="7"/>
  <c r="AE52" i="7"/>
  <c r="AF52" i="7"/>
  <c r="AG52" i="7"/>
  <c r="H53" i="7"/>
  <c r="I53" i="7"/>
  <c r="J53" i="7"/>
  <c r="K53" i="7"/>
  <c r="L53" i="7"/>
  <c r="M53" i="7"/>
  <c r="N53" i="7"/>
  <c r="O53" i="7"/>
  <c r="P53" i="7"/>
  <c r="Q53" i="7"/>
  <c r="R53" i="7"/>
  <c r="S53" i="7"/>
  <c r="V53" i="7"/>
  <c r="W53" i="7"/>
  <c r="X53" i="7"/>
  <c r="Y53" i="7"/>
  <c r="Z53" i="7"/>
  <c r="AA53" i="7"/>
  <c r="AB53" i="7"/>
  <c r="AC53" i="7"/>
  <c r="AD53" i="7"/>
  <c r="AE53" i="7"/>
  <c r="AF53" i="7"/>
  <c r="AG53" i="7"/>
  <c r="H54" i="7"/>
  <c r="I54" i="7"/>
  <c r="J54" i="7"/>
  <c r="K54" i="7"/>
  <c r="L54" i="7"/>
  <c r="M54" i="7"/>
  <c r="N54" i="7"/>
  <c r="O54" i="7"/>
  <c r="P54" i="7"/>
  <c r="Q54" i="7"/>
  <c r="R54" i="7"/>
  <c r="S54" i="7"/>
  <c r="V54" i="7"/>
  <c r="W54" i="7"/>
  <c r="X54" i="7"/>
  <c r="Y54" i="7"/>
  <c r="Z54" i="7"/>
  <c r="AA54" i="7"/>
  <c r="AB54" i="7"/>
  <c r="AC54" i="7"/>
  <c r="AD54" i="7"/>
  <c r="AE54" i="7"/>
  <c r="AF54" i="7"/>
  <c r="AG54" i="7"/>
  <c r="H55" i="7"/>
  <c r="I55" i="7"/>
  <c r="J55" i="7"/>
  <c r="K55" i="7"/>
  <c r="L55" i="7"/>
  <c r="M55" i="7"/>
  <c r="N55" i="7"/>
  <c r="O55" i="7"/>
  <c r="P55" i="7"/>
  <c r="Q55" i="7"/>
  <c r="R55" i="7"/>
  <c r="S55" i="7"/>
  <c r="V55" i="7"/>
  <c r="W55" i="7"/>
  <c r="X55" i="7"/>
  <c r="Y55" i="7"/>
  <c r="Z55" i="7"/>
  <c r="AA55" i="7"/>
  <c r="AB55" i="7"/>
  <c r="AC55" i="7"/>
  <c r="AD55" i="7"/>
  <c r="AE55" i="7"/>
  <c r="AF55" i="7"/>
  <c r="AG55" i="7"/>
  <c r="H3" i="6"/>
  <c r="I3" i="6"/>
  <c r="J3" i="6"/>
  <c r="K3" i="6"/>
  <c r="L3" i="6"/>
  <c r="M3" i="6"/>
  <c r="N3" i="6"/>
  <c r="O3" i="6"/>
  <c r="P3" i="6"/>
  <c r="Q3" i="6"/>
  <c r="R3" i="6"/>
  <c r="S3" i="6"/>
  <c r="V3" i="6"/>
  <c r="W3" i="6"/>
  <c r="X3" i="6"/>
  <c r="Y3" i="6"/>
  <c r="Z3" i="6"/>
  <c r="AA3" i="6"/>
  <c r="AB3" i="6"/>
  <c r="AC3" i="6"/>
  <c r="AD3" i="6"/>
  <c r="AE3" i="6"/>
  <c r="AF3" i="6"/>
  <c r="AG3" i="6"/>
  <c r="H4" i="6"/>
  <c r="I4" i="6"/>
  <c r="J4" i="6"/>
  <c r="K4" i="6"/>
  <c r="L4" i="6"/>
  <c r="M4" i="6"/>
  <c r="N4" i="6"/>
  <c r="O4" i="6"/>
  <c r="P4" i="6"/>
  <c r="Q4" i="6"/>
  <c r="R4" i="6"/>
  <c r="S4" i="6"/>
  <c r="V4" i="6"/>
  <c r="W4" i="6"/>
  <c r="X4" i="6"/>
  <c r="Y4" i="6"/>
  <c r="Z4" i="6"/>
  <c r="AA4" i="6"/>
  <c r="AB4" i="6"/>
  <c r="AC4" i="6"/>
  <c r="AD4" i="6"/>
  <c r="AE4" i="6"/>
  <c r="AF4" i="6"/>
  <c r="AG4" i="6"/>
  <c r="H5" i="6"/>
  <c r="I5" i="6"/>
  <c r="J5" i="6"/>
  <c r="K5" i="6"/>
  <c r="L5" i="6"/>
  <c r="M5" i="6"/>
  <c r="N5" i="6"/>
  <c r="O5" i="6"/>
  <c r="P5" i="6"/>
  <c r="Q5" i="6"/>
  <c r="R5" i="6"/>
  <c r="S5" i="6"/>
  <c r="V5" i="6"/>
  <c r="W5" i="6"/>
  <c r="X5" i="6"/>
  <c r="Y5" i="6"/>
  <c r="Z5" i="6"/>
  <c r="AA5" i="6"/>
  <c r="AB5" i="6"/>
  <c r="AC5" i="6"/>
  <c r="AD5" i="6"/>
  <c r="AE5" i="6"/>
  <c r="AF5" i="6"/>
  <c r="AG5" i="6"/>
  <c r="H6" i="6"/>
  <c r="I6" i="6"/>
  <c r="J6" i="6"/>
  <c r="K6" i="6"/>
  <c r="L6" i="6"/>
  <c r="M6" i="6"/>
  <c r="N6" i="6"/>
  <c r="O6" i="6"/>
  <c r="P6" i="6"/>
  <c r="Q6" i="6"/>
  <c r="R6" i="6"/>
  <c r="S6" i="6"/>
  <c r="V6" i="6"/>
  <c r="W6" i="6"/>
  <c r="X6" i="6"/>
  <c r="Y6" i="6"/>
  <c r="Z6" i="6"/>
  <c r="AA6" i="6"/>
  <c r="AB6" i="6"/>
  <c r="AC6" i="6"/>
  <c r="AD6" i="6"/>
  <c r="AE6" i="6"/>
  <c r="AF6" i="6"/>
  <c r="AG6" i="6"/>
  <c r="H7" i="6"/>
  <c r="I7" i="6"/>
  <c r="J7" i="6"/>
  <c r="K7" i="6"/>
  <c r="L7" i="6"/>
  <c r="M7" i="6"/>
  <c r="N7" i="6"/>
  <c r="O7" i="6"/>
  <c r="P7" i="6"/>
  <c r="Q7" i="6"/>
  <c r="R7" i="6"/>
  <c r="S7" i="6"/>
  <c r="V7" i="6"/>
  <c r="W7" i="6"/>
  <c r="X7" i="6"/>
  <c r="Y7" i="6"/>
  <c r="Z7" i="6"/>
  <c r="AA7" i="6"/>
  <c r="AB7" i="6"/>
  <c r="AC7" i="6"/>
  <c r="AD7" i="6"/>
  <c r="AE7" i="6"/>
  <c r="AF7" i="6"/>
  <c r="AG7" i="6"/>
  <c r="H8" i="6"/>
  <c r="I8" i="6"/>
  <c r="J8" i="6"/>
  <c r="K8" i="6"/>
  <c r="L8" i="6"/>
  <c r="M8" i="6"/>
  <c r="N8" i="6"/>
  <c r="O8" i="6"/>
  <c r="P8" i="6"/>
  <c r="Q8" i="6"/>
  <c r="R8" i="6"/>
  <c r="S8" i="6"/>
  <c r="V8" i="6"/>
  <c r="W8" i="6"/>
  <c r="X8" i="6"/>
  <c r="Y8" i="6"/>
  <c r="Z8" i="6"/>
  <c r="AA8" i="6"/>
  <c r="AB8" i="6"/>
  <c r="AC8" i="6"/>
  <c r="AD8" i="6"/>
  <c r="AE8" i="6"/>
  <c r="AF8" i="6"/>
  <c r="AG8" i="6"/>
  <c r="H9" i="6"/>
  <c r="I9" i="6"/>
  <c r="J9" i="6"/>
  <c r="K9" i="6"/>
  <c r="L9" i="6"/>
  <c r="M9" i="6"/>
  <c r="N9" i="6"/>
  <c r="O9" i="6"/>
  <c r="P9" i="6"/>
  <c r="Q9" i="6"/>
  <c r="R9" i="6"/>
  <c r="S9" i="6"/>
  <c r="V9" i="6"/>
  <c r="W9" i="6"/>
  <c r="X9" i="6"/>
  <c r="Y9" i="6"/>
  <c r="Z9" i="6"/>
  <c r="AA9" i="6"/>
  <c r="AB9" i="6"/>
  <c r="AC9" i="6"/>
  <c r="AD9" i="6"/>
  <c r="AE9" i="6"/>
  <c r="AF9" i="6"/>
  <c r="AG9" i="6"/>
  <c r="H10" i="6"/>
  <c r="I10" i="6"/>
  <c r="J10" i="6"/>
  <c r="K10" i="6"/>
  <c r="L10" i="6"/>
  <c r="M10" i="6"/>
  <c r="N10" i="6"/>
  <c r="O10" i="6"/>
  <c r="P10" i="6"/>
  <c r="Q10" i="6"/>
  <c r="R10" i="6"/>
  <c r="S10" i="6"/>
  <c r="V10" i="6"/>
  <c r="W10" i="6"/>
  <c r="X10" i="6"/>
  <c r="Y10" i="6"/>
  <c r="Z10" i="6"/>
  <c r="AA10" i="6"/>
  <c r="AB10" i="6"/>
  <c r="AC10" i="6"/>
  <c r="AD10" i="6"/>
  <c r="AE10" i="6"/>
  <c r="AF10" i="6"/>
  <c r="AG10" i="6"/>
  <c r="H11" i="6"/>
  <c r="I11" i="6"/>
  <c r="J11" i="6"/>
  <c r="K11" i="6"/>
  <c r="L11" i="6"/>
  <c r="M11" i="6"/>
  <c r="N11" i="6"/>
  <c r="O11" i="6"/>
  <c r="P11" i="6"/>
  <c r="Q11" i="6"/>
  <c r="R11" i="6"/>
  <c r="S11" i="6"/>
  <c r="V11" i="6"/>
  <c r="W11" i="6"/>
  <c r="X11" i="6"/>
  <c r="Y11" i="6"/>
  <c r="Z11" i="6"/>
  <c r="AA11" i="6"/>
  <c r="AB11" i="6"/>
  <c r="AC11" i="6"/>
  <c r="AD11" i="6"/>
  <c r="AE11" i="6"/>
  <c r="AF11" i="6"/>
  <c r="AG11" i="6"/>
  <c r="H12" i="6"/>
  <c r="I12" i="6"/>
  <c r="J12" i="6"/>
  <c r="K12" i="6"/>
  <c r="L12" i="6"/>
  <c r="M12" i="6"/>
  <c r="N12" i="6"/>
  <c r="O12" i="6"/>
  <c r="P12" i="6"/>
  <c r="Q12" i="6"/>
  <c r="R12" i="6"/>
  <c r="S12" i="6"/>
  <c r="V12" i="6"/>
  <c r="W12" i="6"/>
  <c r="X12" i="6"/>
  <c r="Y12" i="6"/>
  <c r="Z12" i="6"/>
  <c r="AA12" i="6"/>
  <c r="AB12" i="6"/>
  <c r="AC12" i="6"/>
  <c r="AD12" i="6"/>
  <c r="AE12" i="6"/>
  <c r="AF12" i="6"/>
  <c r="AG12" i="6"/>
  <c r="H13" i="6"/>
  <c r="I13" i="6"/>
  <c r="J13" i="6"/>
  <c r="K13" i="6"/>
  <c r="L13" i="6"/>
  <c r="M13" i="6"/>
  <c r="N13" i="6"/>
  <c r="O13" i="6"/>
  <c r="P13" i="6"/>
  <c r="Q13" i="6"/>
  <c r="R13" i="6"/>
  <c r="S13" i="6"/>
  <c r="V13" i="6"/>
  <c r="W13" i="6"/>
  <c r="X13" i="6"/>
  <c r="Y13" i="6"/>
  <c r="Z13" i="6"/>
  <c r="AA13" i="6"/>
  <c r="AB13" i="6"/>
  <c r="AC13" i="6"/>
  <c r="AD13" i="6"/>
  <c r="AE13" i="6"/>
  <c r="AF13" i="6"/>
  <c r="AG13" i="6"/>
  <c r="H14" i="6"/>
  <c r="I14" i="6"/>
  <c r="J14" i="6"/>
  <c r="K14" i="6"/>
  <c r="L14" i="6"/>
  <c r="M14" i="6"/>
  <c r="N14" i="6"/>
  <c r="O14" i="6"/>
  <c r="P14" i="6"/>
  <c r="Q14" i="6"/>
  <c r="R14" i="6"/>
  <c r="S14" i="6"/>
  <c r="V14" i="6"/>
  <c r="W14" i="6"/>
  <c r="X14" i="6"/>
  <c r="Y14" i="6"/>
  <c r="Z14" i="6"/>
  <c r="AA14" i="6"/>
  <c r="AB14" i="6"/>
  <c r="AC14" i="6"/>
  <c r="AD14" i="6"/>
  <c r="AE14" i="6"/>
  <c r="AF14" i="6"/>
  <c r="AG14" i="6"/>
  <c r="H15" i="6"/>
  <c r="I15" i="6"/>
  <c r="J15" i="6"/>
  <c r="K15" i="6"/>
  <c r="L15" i="6"/>
  <c r="M15" i="6"/>
  <c r="N15" i="6"/>
  <c r="O15" i="6"/>
  <c r="P15" i="6"/>
  <c r="Q15" i="6"/>
  <c r="R15" i="6"/>
  <c r="S15" i="6"/>
  <c r="V15" i="6"/>
  <c r="W15" i="6"/>
  <c r="X15" i="6"/>
  <c r="Y15" i="6"/>
  <c r="Z15" i="6"/>
  <c r="AA15" i="6"/>
  <c r="AB15" i="6"/>
  <c r="AC15" i="6"/>
  <c r="AD15" i="6"/>
  <c r="AE15" i="6"/>
  <c r="AF15" i="6"/>
  <c r="AG15" i="6"/>
  <c r="H16" i="6"/>
  <c r="I16" i="6"/>
  <c r="J16" i="6"/>
  <c r="K16" i="6"/>
  <c r="L16" i="6"/>
  <c r="M16" i="6"/>
  <c r="N16" i="6"/>
  <c r="O16" i="6"/>
  <c r="P16" i="6"/>
  <c r="Q16" i="6"/>
  <c r="R16" i="6"/>
  <c r="S16" i="6"/>
  <c r="V16" i="6"/>
  <c r="W16" i="6"/>
  <c r="X16" i="6"/>
  <c r="Y16" i="6"/>
  <c r="Z16" i="6"/>
  <c r="AA16" i="6"/>
  <c r="AB16" i="6"/>
  <c r="AC16" i="6"/>
  <c r="AD16" i="6"/>
  <c r="AE16" i="6"/>
  <c r="AF16" i="6"/>
  <c r="AG16" i="6"/>
  <c r="H17" i="6"/>
  <c r="I17" i="6"/>
  <c r="J17" i="6"/>
  <c r="K17" i="6"/>
  <c r="L17" i="6"/>
  <c r="M17" i="6"/>
  <c r="N17" i="6"/>
  <c r="O17" i="6"/>
  <c r="P17" i="6"/>
  <c r="Q17" i="6"/>
  <c r="R17" i="6"/>
  <c r="S17" i="6"/>
  <c r="V17" i="6"/>
  <c r="W17" i="6"/>
  <c r="X17" i="6"/>
  <c r="Y17" i="6"/>
  <c r="Z17" i="6"/>
  <c r="AA17" i="6"/>
  <c r="AB17" i="6"/>
  <c r="AC17" i="6"/>
  <c r="AD17" i="6"/>
  <c r="AE17" i="6"/>
  <c r="AF17" i="6"/>
  <c r="AG17" i="6"/>
  <c r="H18" i="6"/>
  <c r="I18" i="6"/>
  <c r="J18" i="6"/>
  <c r="K18" i="6"/>
  <c r="L18" i="6"/>
  <c r="M18" i="6"/>
  <c r="N18" i="6"/>
  <c r="O18" i="6"/>
  <c r="P18" i="6"/>
  <c r="Q18" i="6"/>
  <c r="R18" i="6"/>
  <c r="S18" i="6"/>
  <c r="V18" i="6"/>
  <c r="W18" i="6"/>
  <c r="X18" i="6"/>
  <c r="Y18" i="6"/>
  <c r="Z18" i="6"/>
  <c r="AA18" i="6"/>
  <c r="AB18" i="6"/>
  <c r="AC18" i="6"/>
  <c r="AD18" i="6"/>
  <c r="AE18" i="6"/>
  <c r="AF18" i="6"/>
  <c r="AG18" i="6"/>
  <c r="H19" i="6"/>
  <c r="I19" i="6"/>
  <c r="J19" i="6"/>
  <c r="K19" i="6"/>
  <c r="L19" i="6"/>
  <c r="M19" i="6"/>
  <c r="N19" i="6"/>
  <c r="O19" i="6"/>
  <c r="P19" i="6"/>
  <c r="Q19" i="6"/>
  <c r="R19" i="6"/>
  <c r="S19" i="6"/>
  <c r="V19" i="6"/>
  <c r="W19" i="6"/>
  <c r="X19" i="6"/>
  <c r="Y19" i="6"/>
  <c r="Z19" i="6"/>
  <c r="AA19" i="6"/>
  <c r="AB19" i="6"/>
  <c r="AC19" i="6"/>
  <c r="AD19" i="6"/>
  <c r="AE19" i="6"/>
  <c r="AF19" i="6"/>
  <c r="AG19" i="6"/>
  <c r="H20" i="6"/>
  <c r="I20" i="6"/>
  <c r="J20" i="6"/>
  <c r="K20" i="6"/>
  <c r="L20" i="6"/>
  <c r="M20" i="6"/>
  <c r="N20" i="6"/>
  <c r="O20" i="6"/>
  <c r="P20" i="6"/>
  <c r="Q20" i="6"/>
  <c r="R20" i="6"/>
  <c r="S20" i="6"/>
  <c r="V20" i="6"/>
  <c r="W20" i="6"/>
  <c r="X20" i="6"/>
  <c r="Y20" i="6"/>
  <c r="Z20" i="6"/>
  <c r="AA20" i="6"/>
  <c r="AB20" i="6"/>
  <c r="AC20" i="6"/>
  <c r="AD20" i="6"/>
  <c r="AE20" i="6"/>
  <c r="AF20" i="6"/>
  <c r="AG20" i="6"/>
  <c r="H21" i="6"/>
  <c r="I21" i="6"/>
  <c r="J21" i="6"/>
  <c r="K21" i="6"/>
  <c r="L21" i="6"/>
  <c r="M21" i="6"/>
  <c r="N21" i="6"/>
  <c r="O21" i="6"/>
  <c r="P21" i="6"/>
  <c r="Q21" i="6"/>
  <c r="R21" i="6"/>
  <c r="S21" i="6"/>
  <c r="V21" i="6"/>
  <c r="W21" i="6"/>
  <c r="X21" i="6"/>
  <c r="Y21" i="6"/>
  <c r="Z21" i="6"/>
  <c r="AA21" i="6"/>
  <c r="AB21" i="6"/>
  <c r="AC21" i="6"/>
  <c r="AD21" i="6"/>
  <c r="AE21" i="6"/>
  <c r="AF21" i="6"/>
  <c r="AG21" i="6"/>
  <c r="H22" i="6"/>
  <c r="I22" i="6"/>
  <c r="J22" i="6"/>
  <c r="K22" i="6"/>
  <c r="L22" i="6"/>
  <c r="M22" i="6"/>
  <c r="N22" i="6"/>
  <c r="O22" i="6"/>
  <c r="P22" i="6"/>
  <c r="Q22" i="6"/>
  <c r="R22" i="6"/>
  <c r="S22" i="6"/>
  <c r="V22" i="6"/>
  <c r="W22" i="6"/>
  <c r="X22" i="6"/>
  <c r="Y22" i="6"/>
  <c r="Z22" i="6"/>
  <c r="AA22" i="6"/>
  <c r="AB22" i="6"/>
  <c r="AC22" i="6"/>
  <c r="AD22" i="6"/>
  <c r="AE22" i="6"/>
  <c r="AF22" i="6"/>
  <c r="AG22" i="6"/>
  <c r="H23" i="6"/>
  <c r="I23" i="6"/>
  <c r="J23" i="6"/>
  <c r="K23" i="6"/>
  <c r="L23" i="6"/>
  <c r="M23" i="6"/>
  <c r="N23" i="6"/>
  <c r="O23" i="6"/>
  <c r="P23" i="6"/>
  <c r="Q23" i="6"/>
  <c r="R23" i="6"/>
  <c r="S23" i="6"/>
  <c r="V23" i="6"/>
  <c r="W23" i="6"/>
  <c r="X23" i="6"/>
  <c r="Y23" i="6"/>
  <c r="Z23" i="6"/>
  <c r="AA23" i="6"/>
  <c r="AB23" i="6"/>
  <c r="AC23" i="6"/>
  <c r="AD23" i="6"/>
  <c r="AE23" i="6"/>
  <c r="AF23" i="6"/>
  <c r="AG23" i="6"/>
  <c r="H24" i="6"/>
  <c r="I24" i="6"/>
  <c r="J24" i="6"/>
  <c r="K24" i="6"/>
  <c r="L24" i="6"/>
  <c r="M24" i="6"/>
  <c r="N24" i="6"/>
  <c r="O24" i="6"/>
  <c r="P24" i="6"/>
  <c r="Q24" i="6"/>
  <c r="R24" i="6"/>
  <c r="S24" i="6"/>
  <c r="V24" i="6"/>
  <c r="W24" i="6"/>
  <c r="X24" i="6"/>
  <c r="Y24" i="6"/>
  <c r="Z24" i="6"/>
  <c r="AA24" i="6"/>
  <c r="AB24" i="6"/>
  <c r="AC24" i="6"/>
  <c r="AD24" i="6"/>
  <c r="AE24" i="6"/>
  <c r="AF24" i="6"/>
  <c r="AG24" i="6"/>
  <c r="H25" i="6"/>
  <c r="I25" i="6"/>
  <c r="J25" i="6"/>
  <c r="K25" i="6"/>
  <c r="L25" i="6"/>
  <c r="M25" i="6"/>
  <c r="N25" i="6"/>
  <c r="O25" i="6"/>
  <c r="P25" i="6"/>
  <c r="Q25" i="6"/>
  <c r="R25" i="6"/>
  <c r="S25" i="6"/>
  <c r="V25" i="6"/>
  <c r="W25" i="6"/>
  <c r="X25" i="6"/>
  <c r="Y25" i="6"/>
  <c r="Z25" i="6"/>
  <c r="AA25" i="6"/>
  <c r="AB25" i="6"/>
  <c r="AC25" i="6"/>
  <c r="AD25" i="6"/>
  <c r="AE25" i="6"/>
  <c r="AF25" i="6"/>
  <c r="AG25" i="6"/>
  <c r="H26" i="6"/>
  <c r="I26" i="6"/>
  <c r="J26" i="6"/>
  <c r="K26" i="6"/>
  <c r="L26" i="6"/>
  <c r="M26" i="6"/>
  <c r="N26" i="6"/>
  <c r="O26" i="6"/>
  <c r="P26" i="6"/>
  <c r="Q26" i="6"/>
  <c r="R26" i="6"/>
  <c r="S26" i="6"/>
  <c r="V26" i="6"/>
  <c r="W26" i="6"/>
  <c r="X26" i="6"/>
  <c r="Y26" i="6"/>
  <c r="Z26" i="6"/>
  <c r="AA26" i="6"/>
  <c r="AB26" i="6"/>
  <c r="AC26" i="6"/>
  <c r="AD26" i="6"/>
  <c r="AE26" i="6"/>
  <c r="AF26" i="6"/>
  <c r="AG26" i="6"/>
  <c r="H27" i="6"/>
  <c r="I27" i="6"/>
  <c r="J27" i="6"/>
  <c r="K27" i="6"/>
  <c r="L27" i="6"/>
  <c r="M27" i="6"/>
  <c r="N27" i="6"/>
  <c r="O27" i="6"/>
  <c r="P27" i="6"/>
  <c r="Q27" i="6"/>
  <c r="R27" i="6"/>
  <c r="S27" i="6"/>
  <c r="V27" i="6"/>
  <c r="W27" i="6"/>
  <c r="X27" i="6"/>
  <c r="Y27" i="6"/>
  <c r="Z27" i="6"/>
  <c r="AA27" i="6"/>
  <c r="AB27" i="6"/>
  <c r="AC27" i="6"/>
  <c r="AD27" i="6"/>
  <c r="AE27" i="6"/>
  <c r="AF27" i="6"/>
  <c r="AG27" i="6"/>
  <c r="H28" i="6"/>
  <c r="I28" i="6"/>
  <c r="J28" i="6"/>
  <c r="K28" i="6"/>
  <c r="L28" i="6"/>
  <c r="M28" i="6"/>
  <c r="N28" i="6"/>
  <c r="O28" i="6"/>
  <c r="P28" i="6"/>
  <c r="Q28" i="6"/>
  <c r="R28" i="6"/>
  <c r="S28" i="6"/>
  <c r="V28" i="6"/>
  <c r="W28" i="6"/>
  <c r="X28" i="6"/>
  <c r="Y28" i="6"/>
  <c r="Z28" i="6"/>
  <c r="AA28" i="6"/>
  <c r="AB28" i="6"/>
  <c r="AC28" i="6"/>
  <c r="AD28" i="6"/>
  <c r="AE28" i="6"/>
  <c r="AF28" i="6"/>
  <c r="AG28" i="6"/>
  <c r="H29" i="6"/>
  <c r="I29" i="6"/>
  <c r="J29" i="6"/>
  <c r="K29" i="6"/>
  <c r="L29" i="6"/>
  <c r="M29" i="6"/>
  <c r="N29" i="6"/>
  <c r="O29" i="6"/>
  <c r="P29" i="6"/>
  <c r="Q29" i="6"/>
  <c r="R29" i="6"/>
  <c r="S29" i="6"/>
  <c r="V29" i="6"/>
  <c r="W29" i="6"/>
  <c r="X29" i="6"/>
  <c r="Y29" i="6"/>
  <c r="Z29" i="6"/>
  <c r="AA29" i="6"/>
  <c r="AB29" i="6"/>
  <c r="AC29" i="6"/>
  <c r="AD29" i="6"/>
  <c r="AE29" i="6"/>
  <c r="AF29" i="6"/>
  <c r="AG29" i="6"/>
  <c r="H30" i="6"/>
  <c r="I30" i="6"/>
  <c r="J30" i="6"/>
  <c r="K30" i="6"/>
  <c r="L30" i="6"/>
  <c r="M30" i="6"/>
  <c r="N30" i="6"/>
  <c r="O30" i="6"/>
  <c r="P30" i="6"/>
  <c r="Q30" i="6"/>
  <c r="R30" i="6"/>
  <c r="S30" i="6"/>
  <c r="V30" i="6"/>
  <c r="W30" i="6"/>
  <c r="X30" i="6"/>
  <c r="Y30" i="6"/>
  <c r="Z30" i="6"/>
  <c r="AA30" i="6"/>
  <c r="AB30" i="6"/>
  <c r="AC30" i="6"/>
  <c r="AD30" i="6"/>
  <c r="AE30" i="6"/>
  <c r="AF30" i="6"/>
  <c r="AG30" i="6"/>
  <c r="H31" i="6"/>
  <c r="I31" i="6"/>
  <c r="J31" i="6"/>
  <c r="K31" i="6"/>
  <c r="L31" i="6"/>
  <c r="M31" i="6"/>
  <c r="N31" i="6"/>
  <c r="O31" i="6"/>
  <c r="P31" i="6"/>
  <c r="Q31" i="6"/>
  <c r="R31" i="6"/>
  <c r="S31" i="6"/>
  <c r="V31" i="6"/>
  <c r="W31" i="6"/>
  <c r="X31" i="6"/>
  <c r="Y31" i="6"/>
  <c r="Z31" i="6"/>
  <c r="AA31" i="6"/>
  <c r="AB31" i="6"/>
  <c r="AC31" i="6"/>
  <c r="AD31" i="6"/>
  <c r="AE31" i="6"/>
  <c r="AF31" i="6"/>
  <c r="AG31" i="6"/>
  <c r="H32" i="6"/>
  <c r="I32" i="6"/>
  <c r="J32" i="6"/>
  <c r="K32" i="6"/>
  <c r="L32" i="6"/>
  <c r="M32" i="6"/>
  <c r="N32" i="6"/>
  <c r="O32" i="6"/>
  <c r="P32" i="6"/>
  <c r="Q32" i="6"/>
  <c r="R32" i="6"/>
  <c r="S32" i="6"/>
  <c r="V32" i="6"/>
  <c r="W32" i="6"/>
  <c r="X32" i="6"/>
  <c r="Y32" i="6"/>
  <c r="Z32" i="6"/>
  <c r="AA32" i="6"/>
  <c r="AB32" i="6"/>
  <c r="AC32" i="6"/>
  <c r="AD32" i="6"/>
  <c r="AE32" i="6"/>
  <c r="AF32" i="6"/>
  <c r="AG32" i="6"/>
  <c r="H33" i="6"/>
  <c r="I33" i="6"/>
  <c r="J33" i="6"/>
  <c r="K33" i="6"/>
  <c r="L33" i="6"/>
  <c r="M33" i="6"/>
  <c r="N33" i="6"/>
  <c r="O33" i="6"/>
  <c r="P33" i="6"/>
  <c r="Q33" i="6"/>
  <c r="R33" i="6"/>
  <c r="S33" i="6"/>
  <c r="V33" i="6"/>
  <c r="W33" i="6"/>
  <c r="X33" i="6"/>
  <c r="Y33" i="6"/>
  <c r="Z33" i="6"/>
  <c r="AA33" i="6"/>
  <c r="AB33" i="6"/>
  <c r="AC33" i="6"/>
  <c r="AD33" i="6"/>
  <c r="AE33" i="6"/>
  <c r="AF33" i="6"/>
  <c r="AG33" i="6"/>
  <c r="H34" i="6"/>
  <c r="I34" i="6"/>
  <c r="J34" i="6"/>
  <c r="K34" i="6"/>
  <c r="L34" i="6"/>
  <c r="M34" i="6"/>
  <c r="N34" i="6"/>
  <c r="O34" i="6"/>
  <c r="P34" i="6"/>
  <c r="Q34" i="6"/>
  <c r="R34" i="6"/>
  <c r="S34" i="6"/>
  <c r="V34" i="6"/>
  <c r="W34" i="6"/>
  <c r="X34" i="6"/>
  <c r="Y34" i="6"/>
  <c r="Z34" i="6"/>
  <c r="AA34" i="6"/>
  <c r="AB34" i="6"/>
  <c r="AC34" i="6"/>
  <c r="AD34" i="6"/>
  <c r="AE34" i="6"/>
  <c r="AF34" i="6"/>
  <c r="AG34" i="6"/>
  <c r="H35" i="6"/>
  <c r="I35" i="6"/>
  <c r="J35" i="6"/>
  <c r="K35" i="6"/>
  <c r="L35" i="6"/>
  <c r="M35" i="6"/>
  <c r="N35" i="6"/>
  <c r="O35" i="6"/>
  <c r="P35" i="6"/>
  <c r="Q35" i="6"/>
  <c r="R35" i="6"/>
  <c r="S35" i="6"/>
  <c r="V35" i="6"/>
  <c r="W35" i="6"/>
  <c r="X35" i="6"/>
  <c r="Y35" i="6"/>
  <c r="Z35" i="6"/>
  <c r="AA35" i="6"/>
  <c r="AB35" i="6"/>
  <c r="AC35" i="6"/>
  <c r="AD35" i="6"/>
  <c r="AE35" i="6"/>
  <c r="AF35" i="6"/>
  <c r="AG35" i="6"/>
  <c r="H36" i="6"/>
  <c r="I36" i="6"/>
  <c r="J36" i="6"/>
  <c r="K36" i="6"/>
  <c r="L36" i="6"/>
  <c r="M36" i="6"/>
  <c r="N36" i="6"/>
  <c r="O36" i="6"/>
  <c r="P36" i="6"/>
  <c r="Q36" i="6"/>
  <c r="R36" i="6"/>
  <c r="S36" i="6"/>
  <c r="V36" i="6"/>
  <c r="W36" i="6"/>
  <c r="X36" i="6"/>
  <c r="Y36" i="6"/>
  <c r="Z36" i="6"/>
  <c r="AA36" i="6"/>
  <c r="AB36" i="6"/>
  <c r="AC36" i="6"/>
  <c r="AD36" i="6"/>
  <c r="AE36" i="6"/>
  <c r="AF36" i="6"/>
  <c r="AG36" i="6"/>
  <c r="H37" i="6"/>
  <c r="I37" i="6"/>
  <c r="J37" i="6"/>
  <c r="K37" i="6"/>
  <c r="L37" i="6"/>
  <c r="M37" i="6"/>
  <c r="N37" i="6"/>
  <c r="O37" i="6"/>
  <c r="P37" i="6"/>
  <c r="Q37" i="6"/>
  <c r="R37" i="6"/>
  <c r="S37" i="6"/>
  <c r="V37" i="6"/>
  <c r="W37" i="6"/>
  <c r="X37" i="6"/>
  <c r="Y37" i="6"/>
  <c r="Z37" i="6"/>
  <c r="AA37" i="6"/>
  <c r="AB37" i="6"/>
  <c r="AC37" i="6"/>
  <c r="AD37" i="6"/>
  <c r="AE37" i="6"/>
  <c r="AF37" i="6"/>
  <c r="AG37" i="6"/>
  <c r="H38" i="6"/>
  <c r="I38" i="6"/>
  <c r="J38" i="6"/>
  <c r="K38" i="6"/>
  <c r="L38" i="6"/>
  <c r="M38" i="6"/>
  <c r="N38" i="6"/>
  <c r="O38" i="6"/>
  <c r="P38" i="6"/>
  <c r="Q38" i="6"/>
  <c r="R38" i="6"/>
  <c r="S38" i="6"/>
  <c r="V38" i="6"/>
  <c r="W38" i="6"/>
  <c r="X38" i="6"/>
  <c r="Y38" i="6"/>
  <c r="Z38" i="6"/>
  <c r="AA38" i="6"/>
  <c r="AB38" i="6"/>
  <c r="AC38" i="6"/>
  <c r="AD38" i="6"/>
  <c r="AE38" i="6"/>
  <c r="AF38" i="6"/>
  <c r="AG38" i="6"/>
  <c r="H39" i="6"/>
  <c r="I39" i="6"/>
  <c r="J39" i="6"/>
  <c r="K39" i="6"/>
  <c r="L39" i="6"/>
  <c r="M39" i="6"/>
  <c r="N39" i="6"/>
  <c r="O39" i="6"/>
  <c r="P39" i="6"/>
  <c r="Q39" i="6"/>
  <c r="R39" i="6"/>
  <c r="S39" i="6"/>
  <c r="V39" i="6"/>
  <c r="W39" i="6"/>
  <c r="X39" i="6"/>
  <c r="Y39" i="6"/>
  <c r="Z39" i="6"/>
  <c r="AA39" i="6"/>
  <c r="AB39" i="6"/>
  <c r="AC39" i="6"/>
  <c r="AD39" i="6"/>
  <c r="AE39" i="6"/>
  <c r="AF39" i="6"/>
  <c r="AG39" i="6"/>
  <c r="H40" i="6"/>
  <c r="I40" i="6"/>
  <c r="J40" i="6"/>
  <c r="K40" i="6"/>
  <c r="L40" i="6"/>
  <c r="M40" i="6"/>
  <c r="N40" i="6"/>
  <c r="O40" i="6"/>
  <c r="P40" i="6"/>
  <c r="Q40" i="6"/>
  <c r="R40" i="6"/>
  <c r="S40" i="6"/>
  <c r="V40" i="6"/>
  <c r="W40" i="6"/>
  <c r="X40" i="6"/>
  <c r="Y40" i="6"/>
  <c r="Z40" i="6"/>
  <c r="AA40" i="6"/>
  <c r="AB40" i="6"/>
  <c r="AC40" i="6"/>
  <c r="AD40" i="6"/>
  <c r="AE40" i="6"/>
  <c r="AF40" i="6"/>
  <c r="AG40" i="6"/>
  <c r="H41" i="6"/>
  <c r="I41" i="6"/>
  <c r="J41" i="6"/>
  <c r="K41" i="6"/>
  <c r="L41" i="6"/>
  <c r="M41" i="6"/>
  <c r="N41" i="6"/>
  <c r="O41" i="6"/>
  <c r="P41" i="6"/>
  <c r="Q41" i="6"/>
  <c r="R41" i="6"/>
  <c r="S41" i="6"/>
  <c r="V41" i="6"/>
  <c r="W41" i="6"/>
  <c r="X41" i="6"/>
  <c r="Y41" i="6"/>
  <c r="Z41" i="6"/>
  <c r="AA41" i="6"/>
  <c r="AB41" i="6"/>
  <c r="AC41" i="6"/>
  <c r="AD41" i="6"/>
  <c r="AE41" i="6"/>
  <c r="AF41" i="6"/>
  <c r="AG41" i="6"/>
  <c r="H42" i="6"/>
  <c r="I42" i="6"/>
  <c r="J42" i="6"/>
  <c r="K42" i="6"/>
  <c r="L42" i="6"/>
  <c r="M42" i="6"/>
  <c r="N42" i="6"/>
  <c r="O42" i="6"/>
  <c r="P42" i="6"/>
  <c r="Q42" i="6"/>
  <c r="R42" i="6"/>
  <c r="S42" i="6"/>
  <c r="V42" i="6"/>
  <c r="W42" i="6"/>
  <c r="X42" i="6"/>
  <c r="Y42" i="6"/>
  <c r="Z42" i="6"/>
  <c r="AA42" i="6"/>
  <c r="AB42" i="6"/>
  <c r="AC42" i="6"/>
  <c r="AD42" i="6"/>
  <c r="AE42" i="6"/>
  <c r="AF42" i="6"/>
  <c r="AG42" i="6"/>
  <c r="H43" i="6"/>
  <c r="I43" i="6"/>
  <c r="J43" i="6"/>
  <c r="K43" i="6"/>
  <c r="L43" i="6"/>
  <c r="M43" i="6"/>
  <c r="N43" i="6"/>
  <c r="O43" i="6"/>
  <c r="P43" i="6"/>
  <c r="Q43" i="6"/>
  <c r="R43" i="6"/>
  <c r="S43" i="6"/>
  <c r="V43" i="6"/>
  <c r="W43" i="6"/>
  <c r="X43" i="6"/>
  <c r="Y43" i="6"/>
  <c r="Z43" i="6"/>
  <c r="AA43" i="6"/>
  <c r="AB43" i="6"/>
  <c r="AC43" i="6"/>
  <c r="AD43" i="6"/>
  <c r="AE43" i="6"/>
  <c r="AF43" i="6"/>
  <c r="AG43" i="6"/>
  <c r="H44" i="6"/>
  <c r="I44" i="6"/>
  <c r="J44" i="6"/>
  <c r="K44" i="6"/>
  <c r="L44" i="6"/>
  <c r="M44" i="6"/>
  <c r="N44" i="6"/>
  <c r="O44" i="6"/>
  <c r="P44" i="6"/>
  <c r="Q44" i="6"/>
  <c r="R44" i="6"/>
  <c r="S44" i="6"/>
  <c r="V44" i="6"/>
  <c r="W44" i="6"/>
  <c r="X44" i="6"/>
  <c r="Y44" i="6"/>
  <c r="Z44" i="6"/>
  <c r="AA44" i="6"/>
  <c r="AB44" i="6"/>
  <c r="AC44" i="6"/>
  <c r="AD44" i="6"/>
  <c r="AE44" i="6"/>
  <c r="AF44" i="6"/>
  <c r="AG44" i="6"/>
  <c r="H45" i="6"/>
  <c r="I45" i="6"/>
  <c r="J45" i="6"/>
  <c r="K45" i="6"/>
  <c r="L45" i="6"/>
  <c r="M45" i="6"/>
  <c r="N45" i="6"/>
  <c r="O45" i="6"/>
  <c r="P45" i="6"/>
  <c r="Q45" i="6"/>
  <c r="R45" i="6"/>
  <c r="S45" i="6"/>
  <c r="V45" i="6"/>
  <c r="W45" i="6"/>
  <c r="X45" i="6"/>
  <c r="Y45" i="6"/>
  <c r="Z45" i="6"/>
  <c r="AA45" i="6"/>
  <c r="AB45" i="6"/>
  <c r="AC45" i="6"/>
  <c r="AD45" i="6"/>
  <c r="AE45" i="6"/>
  <c r="AF45" i="6"/>
  <c r="AG45" i="6"/>
  <c r="H46" i="6"/>
  <c r="I46" i="6"/>
  <c r="J46" i="6"/>
  <c r="K46" i="6"/>
  <c r="L46" i="6"/>
  <c r="M46" i="6"/>
  <c r="N46" i="6"/>
  <c r="O46" i="6"/>
  <c r="P46" i="6"/>
  <c r="Q46" i="6"/>
  <c r="R46" i="6"/>
  <c r="S46" i="6"/>
  <c r="V46" i="6"/>
  <c r="W46" i="6"/>
  <c r="X46" i="6"/>
  <c r="Y46" i="6"/>
  <c r="Z46" i="6"/>
  <c r="AA46" i="6"/>
  <c r="AB46" i="6"/>
  <c r="AC46" i="6"/>
  <c r="AD46" i="6"/>
  <c r="AE46" i="6"/>
  <c r="AF46" i="6"/>
  <c r="AG46" i="6"/>
  <c r="H47" i="6"/>
  <c r="I47" i="6"/>
  <c r="J47" i="6"/>
  <c r="K47" i="6"/>
  <c r="L47" i="6"/>
  <c r="M47" i="6"/>
  <c r="N47" i="6"/>
  <c r="O47" i="6"/>
  <c r="P47" i="6"/>
  <c r="Q47" i="6"/>
  <c r="R47" i="6"/>
  <c r="S47" i="6"/>
  <c r="V47" i="6"/>
  <c r="W47" i="6"/>
  <c r="X47" i="6"/>
  <c r="Y47" i="6"/>
  <c r="Z47" i="6"/>
  <c r="AA47" i="6"/>
  <c r="AB47" i="6"/>
  <c r="AC47" i="6"/>
  <c r="AD47" i="6"/>
  <c r="AE47" i="6"/>
  <c r="AF47" i="6"/>
  <c r="AG47" i="6"/>
  <c r="H48" i="6"/>
  <c r="I48" i="6"/>
  <c r="J48" i="6"/>
  <c r="K48" i="6"/>
  <c r="L48" i="6"/>
  <c r="M48" i="6"/>
  <c r="N48" i="6"/>
  <c r="O48" i="6"/>
  <c r="P48" i="6"/>
  <c r="Q48" i="6"/>
  <c r="R48" i="6"/>
  <c r="S48" i="6"/>
  <c r="V48" i="6"/>
  <c r="W48" i="6"/>
  <c r="X48" i="6"/>
  <c r="Y48" i="6"/>
  <c r="Z48" i="6"/>
  <c r="AA48" i="6"/>
  <c r="AB48" i="6"/>
  <c r="AC48" i="6"/>
  <c r="AD48" i="6"/>
  <c r="AE48" i="6"/>
  <c r="AF48" i="6"/>
  <c r="AG48" i="6"/>
  <c r="H49" i="6"/>
  <c r="I49" i="6"/>
  <c r="J49" i="6"/>
  <c r="K49" i="6"/>
  <c r="L49" i="6"/>
  <c r="M49" i="6"/>
  <c r="N49" i="6"/>
  <c r="O49" i="6"/>
  <c r="P49" i="6"/>
  <c r="Q49" i="6"/>
  <c r="R49" i="6"/>
  <c r="S49" i="6"/>
  <c r="V49" i="6"/>
  <c r="W49" i="6"/>
  <c r="X49" i="6"/>
  <c r="Y49" i="6"/>
  <c r="Z49" i="6"/>
  <c r="AA49" i="6"/>
  <c r="AB49" i="6"/>
  <c r="AC49" i="6"/>
  <c r="AD49" i="6"/>
  <c r="AE49" i="6"/>
  <c r="AF49" i="6"/>
  <c r="AG49" i="6"/>
  <c r="H50" i="6"/>
  <c r="I50" i="6"/>
  <c r="J50" i="6"/>
  <c r="K50" i="6"/>
  <c r="L50" i="6"/>
  <c r="M50" i="6"/>
  <c r="N50" i="6"/>
  <c r="O50" i="6"/>
  <c r="P50" i="6"/>
  <c r="Q50" i="6"/>
  <c r="R50" i="6"/>
  <c r="S50" i="6"/>
  <c r="V50" i="6"/>
  <c r="W50" i="6"/>
  <c r="X50" i="6"/>
  <c r="Y50" i="6"/>
  <c r="Z50" i="6"/>
  <c r="AA50" i="6"/>
  <c r="AB50" i="6"/>
  <c r="AC50" i="6"/>
  <c r="AD50" i="6"/>
  <c r="AE50" i="6"/>
  <c r="AF50" i="6"/>
  <c r="AG50" i="6"/>
  <c r="H51" i="6"/>
  <c r="I51" i="6"/>
  <c r="J51" i="6"/>
  <c r="K51" i="6"/>
  <c r="L51" i="6"/>
  <c r="M51" i="6"/>
  <c r="N51" i="6"/>
  <c r="O51" i="6"/>
  <c r="P51" i="6"/>
  <c r="Q51" i="6"/>
  <c r="R51" i="6"/>
  <c r="S51" i="6"/>
  <c r="V51" i="6"/>
  <c r="W51" i="6"/>
  <c r="X51" i="6"/>
  <c r="Y51" i="6"/>
  <c r="Z51" i="6"/>
  <c r="AA51" i="6"/>
  <c r="AB51" i="6"/>
  <c r="AC51" i="6"/>
  <c r="AD51" i="6"/>
  <c r="AE51" i="6"/>
  <c r="AF51" i="6"/>
  <c r="AG51" i="6"/>
  <c r="H52" i="6"/>
  <c r="I52" i="6"/>
  <c r="J52" i="6"/>
  <c r="K52" i="6"/>
  <c r="L52" i="6"/>
  <c r="M52" i="6"/>
  <c r="N52" i="6"/>
  <c r="O52" i="6"/>
  <c r="P52" i="6"/>
  <c r="Q52" i="6"/>
  <c r="R52" i="6"/>
  <c r="S52" i="6"/>
  <c r="V52" i="6"/>
  <c r="W52" i="6"/>
  <c r="X52" i="6"/>
  <c r="Y52" i="6"/>
  <c r="Z52" i="6"/>
  <c r="AA52" i="6"/>
  <c r="AB52" i="6"/>
  <c r="AC52" i="6"/>
  <c r="AD52" i="6"/>
  <c r="AE52" i="6"/>
  <c r="AF52" i="6"/>
  <c r="AG52" i="6"/>
  <c r="H53" i="6"/>
  <c r="I53" i="6"/>
  <c r="J53" i="6"/>
  <c r="K53" i="6"/>
  <c r="L53" i="6"/>
  <c r="M53" i="6"/>
  <c r="N53" i="6"/>
  <c r="O53" i="6"/>
  <c r="P53" i="6"/>
  <c r="Q53" i="6"/>
  <c r="R53" i="6"/>
  <c r="S53" i="6"/>
  <c r="V53" i="6"/>
  <c r="W53" i="6"/>
  <c r="X53" i="6"/>
  <c r="Y53" i="6"/>
  <c r="Z53" i="6"/>
  <c r="AA53" i="6"/>
  <c r="AB53" i="6"/>
  <c r="AC53" i="6"/>
  <c r="AD53" i="6"/>
  <c r="AE53" i="6"/>
  <c r="AF53" i="6"/>
  <c r="AG53" i="6"/>
  <c r="H54" i="6"/>
  <c r="I54" i="6"/>
  <c r="J54" i="6"/>
  <c r="K54" i="6"/>
  <c r="L54" i="6"/>
  <c r="M54" i="6"/>
  <c r="N54" i="6"/>
  <c r="O54" i="6"/>
  <c r="P54" i="6"/>
  <c r="Q54" i="6"/>
  <c r="R54" i="6"/>
  <c r="S54" i="6"/>
  <c r="V54" i="6"/>
  <c r="W54" i="6"/>
  <c r="X54" i="6"/>
  <c r="Y54" i="6"/>
  <c r="Z54" i="6"/>
  <c r="AA54" i="6"/>
  <c r="AB54" i="6"/>
  <c r="AC54" i="6"/>
  <c r="AD54" i="6"/>
  <c r="AE54" i="6"/>
  <c r="AF54" i="6"/>
  <c r="AG54" i="6"/>
  <c r="H55" i="6"/>
  <c r="I55" i="6"/>
  <c r="J55" i="6"/>
  <c r="K55" i="6"/>
  <c r="L55" i="6"/>
  <c r="M55" i="6"/>
  <c r="N55" i="6"/>
  <c r="O55" i="6"/>
  <c r="P55" i="6"/>
  <c r="Q55" i="6"/>
  <c r="R55" i="6"/>
  <c r="S55" i="6"/>
  <c r="V55" i="6"/>
  <c r="W55" i="6"/>
  <c r="X55" i="6"/>
  <c r="Y55" i="6"/>
  <c r="Z55" i="6"/>
  <c r="AA55" i="6"/>
  <c r="AB55" i="6"/>
  <c r="AC55" i="6"/>
  <c r="AD55" i="6"/>
  <c r="AE55" i="6"/>
  <c r="AF55" i="6"/>
  <c r="AG55" i="6"/>
  <c r="H56" i="6"/>
  <c r="I56" i="6"/>
  <c r="J56" i="6"/>
  <c r="K56" i="6"/>
  <c r="L56" i="6"/>
  <c r="M56" i="6"/>
  <c r="N56" i="6"/>
  <c r="O56" i="6"/>
  <c r="P56" i="6"/>
  <c r="Q56" i="6"/>
  <c r="R56" i="6"/>
  <c r="S56" i="6"/>
  <c r="V56" i="6"/>
  <c r="W56" i="6"/>
  <c r="X56" i="6"/>
  <c r="Y56" i="6"/>
  <c r="Z56" i="6"/>
  <c r="AA56" i="6"/>
  <c r="AB56" i="6"/>
  <c r="AC56" i="6"/>
  <c r="AD56" i="6"/>
  <c r="AE56" i="6"/>
  <c r="AF56" i="6"/>
  <c r="AG56" i="6"/>
  <c r="H57" i="6"/>
  <c r="I57" i="6"/>
  <c r="J57" i="6"/>
  <c r="K57" i="6"/>
  <c r="L57" i="6"/>
  <c r="M57" i="6"/>
  <c r="N57" i="6"/>
  <c r="O57" i="6"/>
  <c r="P57" i="6"/>
  <c r="Q57" i="6"/>
  <c r="R57" i="6"/>
  <c r="S57" i="6"/>
  <c r="V57" i="6"/>
  <c r="W57" i="6"/>
  <c r="X57" i="6"/>
  <c r="Y57" i="6"/>
  <c r="Z57" i="6"/>
  <c r="AA57" i="6"/>
  <c r="AB57" i="6"/>
  <c r="AC57" i="6"/>
  <c r="AD57" i="6"/>
  <c r="AE57" i="6"/>
  <c r="AF57" i="6"/>
  <c r="AG57" i="6"/>
  <c r="H58" i="6"/>
  <c r="I58" i="6"/>
  <c r="J58" i="6"/>
  <c r="K58" i="6"/>
  <c r="L58" i="6"/>
  <c r="M58" i="6"/>
  <c r="N58" i="6"/>
  <c r="O58" i="6"/>
  <c r="P58" i="6"/>
  <c r="Q58" i="6"/>
  <c r="R58" i="6"/>
  <c r="S58" i="6"/>
  <c r="V58" i="6"/>
  <c r="W58" i="6"/>
  <c r="X58" i="6"/>
  <c r="Y58" i="6"/>
  <c r="Z58" i="6"/>
  <c r="AA58" i="6"/>
  <c r="AB58" i="6"/>
  <c r="AC58" i="6"/>
  <c r="AD58" i="6"/>
  <c r="AE58" i="6"/>
  <c r="AF58" i="6"/>
  <c r="AG58" i="6"/>
  <c r="H59" i="6"/>
  <c r="I59" i="6"/>
  <c r="J59" i="6"/>
  <c r="K59" i="6"/>
  <c r="L59" i="6"/>
  <c r="M59" i="6"/>
  <c r="N59" i="6"/>
  <c r="O59" i="6"/>
  <c r="P59" i="6"/>
  <c r="Q59" i="6"/>
  <c r="R59" i="6"/>
  <c r="S59" i="6"/>
  <c r="V59" i="6"/>
  <c r="W59" i="6"/>
  <c r="X59" i="6"/>
  <c r="Y59" i="6"/>
  <c r="Z59" i="6"/>
  <c r="AA59" i="6"/>
  <c r="AB59" i="6"/>
  <c r="AC59" i="6"/>
  <c r="AD59" i="6"/>
  <c r="AE59" i="6"/>
  <c r="AF59" i="6"/>
  <c r="AG59" i="6"/>
  <c r="H60" i="6"/>
  <c r="I60" i="6"/>
  <c r="J60" i="6"/>
  <c r="K60" i="6"/>
  <c r="L60" i="6"/>
  <c r="M60" i="6"/>
  <c r="N60" i="6"/>
  <c r="O60" i="6"/>
  <c r="P60" i="6"/>
  <c r="Q60" i="6"/>
  <c r="R60" i="6"/>
  <c r="S60" i="6"/>
  <c r="V60" i="6"/>
  <c r="W60" i="6"/>
  <c r="X60" i="6"/>
  <c r="Y60" i="6"/>
  <c r="Z60" i="6"/>
  <c r="AA60" i="6"/>
  <c r="AB60" i="6"/>
  <c r="AC60" i="6"/>
  <c r="AD60" i="6"/>
  <c r="AE60" i="6"/>
  <c r="AF60" i="6"/>
  <c r="AG60" i="6"/>
  <c r="H61" i="6"/>
  <c r="I61" i="6"/>
  <c r="J61" i="6"/>
  <c r="K61" i="6"/>
  <c r="L61" i="6"/>
  <c r="M61" i="6"/>
  <c r="N61" i="6"/>
  <c r="O61" i="6"/>
  <c r="P61" i="6"/>
  <c r="Q61" i="6"/>
  <c r="R61" i="6"/>
  <c r="S61" i="6"/>
  <c r="V61" i="6"/>
  <c r="W61" i="6"/>
  <c r="X61" i="6"/>
  <c r="Y61" i="6"/>
  <c r="Z61" i="6"/>
  <c r="AA61" i="6"/>
  <c r="AB61" i="6"/>
  <c r="AC61" i="6"/>
  <c r="AD61" i="6"/>
  <c r="AE61" i="6"/>
  <c r="AF61" i="6"/>
  <c r="AG61" i="6"/>
  <c r="H3" i="5"/>
  <c r="I3" i="5"/>
  <c r="J3" i="5"/>
  <c r="K3" i="5"/>
  <c r="L3" i="5"/>
  <c r="M3" i="5"/>
  <c r="N3" i="5"/>
  <c r="O3" i="5"/>
  <c r="P3" i="5"/>
  <c r="Q3" i="5"/>
  <c r="R3" i="5"/>
  <c r="S3" i="5"/>
  <c r="V3" i="5"/>
  <c r="W3" i="5"/>
  <c r="X3" i="5"/>
  <c r="Y3" i="5"/>
  <c r="Z3" i="5"/>
  <c r="AA3" i="5"/>
  <c r="AB3" i="5"/>
  <c r="AC3" i="5"/>
  <c r="AD3" i="5"/>
  <c r="AE3" i="5"/>
  <c r="AF3" i="5"/>
  <c r="AG3" i="5"/>
  <c r="H4" i="5"/>
  <c r="I4" i="5"/>
  <c r="J4" i="5"/>
  <c r="K4" i="5"/>
  <c r="L4" i="5"/>
  <c r="M4" i="5"/>
  <c r="N4" i="5"/>
  <c r="O4" i="5"/>
  <c r="P4" i="5"/>
  <c r="Q4" i="5"/>
  <c r="R4" i="5"/>
  <c r="S4" i="5"/>
  <c r="V4" i="5"/>
  <c r="W4" i="5"/>
  <c r="X4" i="5"/>
  <c r="Y4" i="5"/>
  <c r="Z4" i="5"/>
  <c r="AA4" i="5"/>
  <c r="AB4" i="5"/>
  <c r="AC4" i="5"/>
  <c r="AD4" i="5"/>
  <c r="AE4" i="5"/>
  <c r="AF4" i="5"/>
  <c r="AG4" i="5"/>
  <c r="H5" i="5"/>
  <c r="I5" i="5"/>
  <c r="J5" i="5"/>
  <c r="K5" i="5"/>
  <c r="L5" i="5"/>
  <c r="M5" i="5"/>
  <c r="N5" i="5"/>
  <c r="O5" i="5"/>
  <c r="P5" i="5"/>
  <c r="Q5" i="5"/>
  <c r="R5" i="5"/>
  <c r="S5" i="5"/>
  <c r="V5" i="5"/>
  <c r="W5" i="5"/>
  <c r="X5" i="5"/>
  <c r="Y5" i="5"/>
  <c r="Z5" i="5"/>
  <c r="AA5" i="5"/>
  <c r="AB5" i="5"/>
  <c r="AC5" i="5"/>
  <c r="AD5" i="5"/>
  <c r="AE5" i="5"/>
  <c r="AF5" i="5"/>
  <c r="AG5" i="5"/>
  <c r="H6" i="5"/>
  <c r="I6" i="5"/>
  <c r="J6" i="5"/>
  <c r="K6" i="5"/>
  <c r="L6" i="5"/>
  <c r="M6" i="5"/>
  <c r="N6" i="5"/>
  <c r="O6" i="5"/>
  <c r="P6" i="5"/>
  <c r="Q6" i="5"/>
  <c r="R6" i="5"/>
  <c r="S6" i="5"/>
  <c r="V6" i="5"/>
  <c r="W6" i="5"/>
  <c r="X6" i="5"/>
  <c r="Y6" i="5"/>
  <c r="Z6" i="5"/>
  <c r="AA6" i="5"/>
  <c r="AB6" i="5"/>
  <c r="AC6" i="5"/>
  <c r="AD6" i="5"/>
  <c r="AE6" i="5"/>
  <c r="AF6" i="5"/>
  <c r="AG6" i="5"/>
  <c r="H7" i="5"/>
  <c r="I7" i="5"/>
  <c r="J7" i="5"/>
  <c r="K7" i="5"/>
  <c r="L7" i="5"/>
  <c r="M7" i="5"/>
  <c r="N7" i="5"/>
  <c r="O7" i="5"/>
  <c r="P7" i="5"/>
  <c r="Q7" i="5"/>
  <c r="R7" i="5"/>
  <c r="S7" i="5"/>
  <c r="V7" i="5"/>
  <c r="W7" i="5"/>
  <c r="X7" i="5"/>
  <c r="Y7" i="5"/>
  <c r="Z7" i="5"/>
  <c r="AA7" i="5"/>
  <c r="AB7" i="5"/>
  <c r="AC7" i="5"/>
  <c r="AD7" i="5"/>
  <c r="AE7" i="5"/>
  <c r="AF7" i="5"/>
  <c r="AG7" i="5"/>
  <c r="H8" i="5"/>
  <c r="I8" i="5"/>
  <c r="J8" i="5"/>
  <c r="K8" i="5"/>
  <c r="L8" i="5"/>
  <c r="M8" i="5"/>
  <c r="N8" i="5"/>
  <c r="O8" i="5"/>
  <c r="P8" i="5"/>
  <c r="Q8" i="5"/>
  <c r="R8" i="5"/>
  <c r="S8" i="5"/>
  <c r="V8" i="5"/>
  <c r="W8" i="5"/>
  <c r="X8" i="5"/>
  <c r="Y8" i="5"/>
  <c r="Z8" i="5"/>
  <c r="AA8" i="5"/>
  <c r="AB8" i="5"/>
  <c r="AC8" i="5"/>
  <c r="AD8" i="5"/>
  <c r="AE8" i="5"/>
  <c r="AF8" i="5"/>
  <c r="AG8" i="5"/>
  <c r="H9" i="5"/>
  <c r="I9" i="5"/>
  <c r="J9" i="5"/>
  <c r="K9" i="5"/>
  <c r="L9" i="5"/>
  <c r="M9" i="5"/>
  <c r="N9" i="5"/>
  <c r="O9" i="5"/>
  <c r="P9" i="5"/>
  <c r="Q9" i="5"/>
  <c r="R9" i="5"/>
  <c r="S9" i="5"/>
  <c r="V9" i="5"/>
  <c r="W9" i="5"/>
  <c r="X9" i="5"/>
  <c r="Y9" i="5"/>
  <c r="Z9" i="5"/>
  <c r="AA9" i="5"/>
  <c r="AB9" i="5"/>
  <c r="AC9" i="5"/>
  <c r="AD9" i="5"/>
  <c r="AE9" i="5"/>
  <c r="AF9" i="5"/>
  <c r="AG9" i="5"/>
  <c r="H10" i="5"/>
  <c r="I10" i="5"/>
  <c r="J10" i="5"/>
  <c r="K10" i="5"/>
  <c r="L10" i="5"/>
  <c r="M10" i="5"/>
  <c r="N10" i="5"/>
  <c r="O10" i="5"/>
  <c r="P10" i="5"/>
  <c r="Q10" i="5"/>
  <c r="R10" i="5"/>
  <c r="S10" i="5"/>
  <c r="V10" i="5"/>
  <c r="W10" i="5"/>
  <c r="X10" i="5"/>
  <c r="Y10" i="5"/>
  <c r="Z10" i="5"/>
  <c r="AA10" i="5"/>
  <c r="AB10" i="5"/>
  <c r="AC10" i="5"/>
  <c r="AD10" i="5"/>
  <c r="AE10" i="5"/>
  <c r="AF10" i="5"/>
  <c r="AG10" i="5"/>
  <c r="H11" i="5"/>
  <c r="I11" i="5"/>
  <c r="J11" i="5"/>
  <c r="K11" i="5"/>
  <c r="L11" i="5"/>
  <c r="M11" i="5"/>
  <c r="N11" i="5"/>
  <c r="O11" i="5"/>
  <c r="P11" i="5"/>
  <c r="Q11" i="5"/>
  <c r="R11" i="5"/>
  <c r="S11" i="5"/>
  <c r="V11" i="5"/>
  <c r="W11" i="5"/>
  <c r="X11" i="5"/>
  <c r="Y11" i="5"/>
  <c r="Z11" i="5"/>
  <c r="AA11" i="5"/>
  <c r="AB11" i="5"/>
  <c r="AC11" i="5"/>
  <c r="AD11" i="5"/>
  <c r="AE11" i="5"/>
  <c r="AF11" i="5"/>
  <c r="AG11" i="5"/>
  <c r="H12" i="5"/>
  <c r="I12" i="5"/>
  <c r="J12" i="5"/>
  <c r="K12" i="5"/>
  <c r="L12" i="5"/>
  <c r="M12" i="5"/>
  <c r="N12" i="5"/>
  <c r="O12" i="5"/>
  <c r="P12" i="5"/>
  <c r="Q12" i="5"/>
  <c r="R12" i="5"/>
  <c r="S12" i="5"/>
  <c r="V12" i="5"/>
  <c r="W12" i="5"/>
  <c r="X12" i="5"/>
  <c r="Y12" i="5"/>
  <c r="Z12" i="5"/>
  <c r="AA12" i="5"/>
  <c r="AB12" i="5"/>
  <c r="AC12" i="5"/>
  <c r="AD12" i="5"/>
  <c r="AE12" i="5"/>
  <c r="AF12" i="5"/>
  <c r="AG12" i="5"/>
  <c r="H13" i="5"/>
  <c r="I13" i="5"/>
  <c r="J13" i="5"/>
  <c r="K13" i="5"/>
  <c r="L13" i="5"/>
  <c r="M13" i="5"/>
  <c r="N13" i="5"/>
  <c r="O13" i="5"/>
  <c r="P13" i="5"/>
  <c r="Q13" i="5"/>
  <c r="R13" i="5"/>
  <c r="S13" i="5"/>
  <c r="V13" i="5"/>
  <c r="W13" i="5"/>
  <c r="X13" i="5"/>
  <c r="Y13" i="5"/>
  <c r="Z13" i="5"/>
  <c r="AA13" i="5"/>
  <c r="AB13" i="5"/>
  <c r="AC13" i="5"/>
  <c r="AD13" i="5"/>
  <c r="AE13" i="5"/>
  <c r="AF13" i="5"/>
  <c r="AG13" i="5"/>
  <c r="H14" i="5"/>
  <c r="I14" i="5"/>
  <c r="J14" i="5"/>
  <c r="K14" i="5"/>
  <c r="L14" i="5"/>
  <c r="M14" i="5"/>
  <c r="N14" i="5"/>
  <c r="O14" i="5"/>
  <c r="P14" i="5"/>
  <c r="Q14" i="5"/>
  <c r="R14" i="5"/>
  <c r="S14" i="5"/>
  <c r="V14" i="5"/>
  <c r="W14" i="5"/>
  <c r="X14" i="5"/>
  <c r="Y14" i="5"/>
  <c r="Z14" i="5"/>
  <c r="AA14" i="5"/>
  <c r="AB14" i="5"/>
  <c r="AC14" i="5"/>
  <c r="AD14" i="5"/>
  <c r="AE14" i="5"/>
  <c r="AF14" i="5"/>
  <c r="AG14" i="5"/>
  <c r="H15" i="5"/>
  <c r="I15" i="5"/>
  <c r="J15" i="5"/>
  <c r="K15" i="5"/>
  <c r="L15" i="5"/>
  <c r="M15" i="5"/>
  <c r="N15" i="5"/>
  <c r="O15" i="5"/>
  <c r="P15" i="5"/>
  <c r="Q15" i="5"/>
  <c r="R15" i="5"/>
  <c r="S15" i="5"/>
  <c r="V15" i="5"/>
  <c r="W15" i="5"/>
  <c r="X15" i="5"/>
  <c r="Y15" i="5"/>
  <c r="Z15" i="5"/>
  <c r="AA15" i="5"/>
  <c r="AB15" i="5"/>
  <c r="AC15" i="5"/>
  <c r="AD15" i="5"/>
  <c r="AE15" i="5"/>
  <c r="AF15" i="5"/>
  <c r="AG15" i="5"/>
  <c r="H16" i="5"/>
  <c r="I16" i="5"/>
  <c r="J16" i="5"/>
  <c r="K16" i="5"/>
  <c r="L16" i="5"/>
  <c r="M16" i="5"/>
  <c r="N16" i="5"/>
  <c r="O16" i="5"/>
  <c r="P16" i="5"/>
  <c r="Q16" i="5"/>
  <c r="R16" i="5"/>
  <c r="S16" i="5"/>
  <c r="V16" i="5"/>
  <c r="W16" i="5"/>
  <c r="X16" i="5"/>
  <c r="Y16" i="5"/>
  <c r="Z16" i="5"/>
  <c r="AA16" i="5"/>
  <c r="AB16" i="5"/>
  <c r="AC16" i="5"/>
  <c r="AD16" i="5"/>
  <c r="AE16" i="5"/>
  <c r="AF16" i="5"/>
  <c r="AG16" i="5"/>
  <c r="H17" i="5"/>
  <c r="I17" i="5"/>
  <c r="J17" i="5"/>
  <c r="K17" i="5"/>
  <c r="L17" i="5"/>
  <c r="M17" i="5"/>
  <c r="N17" i="5"/>
  <c r="O17" i="5"/>
  <c r="P17" i="5"/>
  <c r="Q17" i="5"/>
  <c r="R17" i="5"/>
  <c r="S17" i="5"/>
  <c r="V17" i="5"/>
  <c r="W17" i="5"/>
  <c r="X17" i="5"/>
  <c r="Y17" i="5"/>
  <c r="Z17" i="5"/>
  <c r="AA17" i="5"/>
  <c r="AB17" i="5"/>
  <c r="AC17" i="5"/>
  <c r="AD17" i="5"/>
  <c r="AE17" i="5"/>
  <c r="AF17" i="5"/>
  <c r="AG17" i="5"/>
  <c r="H18" i="5"/>
  <c r="I18" i="5"/>
  <c r="J18" i="5"/>
  <c r="K18" i="5"/>
  <c r="L18" i="5"/>
  <c r="M18" i="5"/>
  <c r="N18" i="5"/>
  <c r="O18" i="5"/>
  <c r="P18" i="5"/>
  <c r="Q18" i="5"/>
  <c r="R18" i="5"/>
  <c r="S18" i="5"/>
  <c r="V18" i="5"/>
  <c r="W18" i="5"/>
  <c r="X18" i="5"/>
  <c r="Y18" i="5"/>
  <c r="Z18" i="5"/>
  <c r="AA18" i="5"/>
  <c r="AB18" i="5"/>
  <c r="AC18" i="5"/>
  <c r="AD18" i="5"/>
  <c r="AE18" i="5"/>
  <c r="AF18" i="5"/>
  <c r="AG18" i="5"/>
  <c r="H19" i="5"/>
  <c r="I19" i="5"/>
  <c r="J19" i="5"/>
  <c r="K19" i="5"/>
  <c r="L19" i="5"/>
  <c r="M19" i="5"/>
  <c r="N19" i="5"/>
  <c r="O19" i="5"/>
  <c r="P19" i="5"/>
  <c r="Q19" i="5"/>
  <c r="R19" i="5"/>
  <c r="S19" i="5"/>
  <c r="V19" i="5"/>
  <c r="W19" i="5"/>
  <c r="X19" i="5"/>
  <c r="Y19" i="5"/>
  <c r="Z19" i="5"/>
  <c r="AA19" i="5"/>
  <c r="AB19" i="5"/>
  <c r="AC19" i="5"/>
  <c r="AD19" i="5"/>
  <c r="AE19" i="5"/>
  <c r="AF19" i="5"/>
  <c r="AG19" i="5"/>
  <c r="H20" i="5"/>
  <c r="I20" i="5"/>
  <c r="J20" i="5"/>
  <c r="K20" i="5"/>
  <c r="L20" i="5"/>
  <c r="M20" i="5"/>
  <c r="N20" i="5"/>
  <c r="O20" i="5"/>
  <c r="P20" i="5"/>
  <c r="Q20" i="5"/>
  <c r="R20" i="5"/>
  <c r="S20" i="5"/>
  <c r="V20" i="5"/>
  <c r="W20" i="5"/>
  <c r="X20" i="5"/>
  <c r="Y20" i="5"/>
  <c r="Z20" i="5"/>
  <c r="AA20" i="5"/>
  <c r="AB20" i="5"/>
  <c r="AC20" i="5"/>
  <c r="AD20" i="5"/>
  <c r="AE20" i="5"/>
  <c r="AF20" i="5"/>
  <c r="AG20" i="5"/>
  <c r="H21" i="5"/>
  <c r="I21" i="5"/>
  <c r="J21" i="5"/>
  <c r="K21" i="5"/>
  <c r="L21" i="5"/>
  <c r="M21" i="5"/>
  <c r="N21" i="5"/>
  <c r="O21" i="5"/>
  <c r="P21" i="5"/>
  <c r="Q21" i="5"/>
  <c r="R21" i="5"/>
  <c r="S21" i="5"/>
  <c r="V21" i="5"/>
  <c r="W21" i="5"/>
  <c r="X21" i="5"/>
  <c r="Y21" i="5"/>
  <c r="Z21" i="5"/>
  <c r="AA21" i="5"/>
  <c r="AB21" i="5"/>
  <c r="AC21" i="5"/>
  <c r="AD21" i="5"/>
  <c r="AE21" i="5"/>
  <c r="AF21" i="5"/>
  <c r="AG21" i="5"/>
  <c r="H22" i="5"/>
  <c r="I22" i="5"/>
  <c r="J22" i="5"/>
  <c r="K22" i="5"/>
  <c r="L22" i="5"/>
  <c r="M22" i="5"/>
  <c r="N22" i="5"/>
  <c r="O22" i="5"/>
  <c r="P22" i="5"/>
  <c r="Q22" i="5"/>
  <c r="R22" i="5"/>
  <c r="S22" i="5"/>
  <c r="V22" i="5"/>
  <c r="W22" i="5"/>
  <c r="X22" i="5"/>
  <c r="Y22" i="5"/>
  <c r="Z22" i="5"/>
  <c r="AA22" i="5"/>
  <c r="AB22" i="5"/>
  <c r="AC22" i="5"/>
  <c r="AD22" i="5"/>
  <c r="AE22" i="5"/>
  <c r="AF22" i="5"/>
  <c r="AG22" i="5"/>
  <c r="H23" i="5"/>
  <c r="I23" i="5"/>
  <c r="J23" i="5"/>
  <c r="K23" i="5"/>
  <c r="L23" i="5"/>
  <c r="M23" i="5"/>
  <c r="N23" i="5"/>
  <c r="O23" i="5"/>
  <c r="P23" i="5"/>
  <c r="Q23" i="5"/>
  <c r="R23" i="5"/>
  <c r="S23" i="5"/>
  <c r="V23" i="5"/>
  <c r="W23" i="5"/>
  <c r="X23" i="5"/>
  <c r="Y23" i="5"/>
  <c r="Z23" i="5"/>
  <c r="AA23" i="5"/>
  <c r="AB23" i="5"/>
  <c r="AC23" i="5"/>
  <c r="AD23" i="5"/>
  <c r="AE23" i="5"/>
  <c r="AF23" i="5"/>
  <c r="AG23" i="5"/>
  <c r="H24" i="5"/>
  <c r="I24" i="5"/>
  <c r="J24" i="5"/>
  <c r="K24" i="5"/>
  <c r="L24" i="5"/>
  <c r="M24" i="5"/>
  <c r="N24" i="5"/>
  <c r="O24" i="5"/>
  <c r="P24" i="5"/>
  <c r="Q24" i="5"/>
  <c r="R24" i="5"/>
  <c r="S24" i="5"/>
  <c r="V24" i="5"/>
  <c r="W24" i="5"/>
  <c r="X24" i="5"/>
  <c r="Y24" i="5"/>
  <c r="Z24" i="5"/>
  <c r="AA24" i="5"/>
  <c r="AB24" i="5"/>
  <c r="AC24" i="5"/>
  <c r="AD24" i="5"/>
  <c r="AE24" i="5"/>
  <c r="AF24" i="5"/>
  <c r="AG24" i="5"/>
  <c r="H25" i="5"/>
  <c r="I25" i="5"/>
  <c r="J25" i="5"/>
  <c r="K25" i="5"/>
  <c r="L25" i="5"/>
  <c r="M25" i="5"/>
  <c r="N25" i="5"/>
  <c r="O25" i="5"/>
  <c r="P25" i="5"/>
  <c r="Q25" i="5"/>
  <c r="R25" i="5"/>
  <c r="S25" i="5"/>
  <c r="V25" i="5"/>
  <c r="W25" i="5"/>
  <c r="X25" i="5"/>
  <c r="Y25" i="5"/>
  <c r="Z25" i="5"/>
  <c r="AA25" i="5"/>
  <c r="AB25" i="5"/>
  <c r="AC25" i="5"/>
  <c r="AD25" i="5"/>
  <c r="AE25" i="5"/>
  <c r="AF25" i="5"/>
  <c r="AG25" i="5"/>
  <c r="H26" i="5"/>
  <c r="I26" i="5"/>
  <c r="J26" i="5"/>
  <c r="K26" i="5"/>
  <c r="L26" i="5"/>
  <c r="M26" i="5"/>
  <c r="N26" i="5"/>
  <c r="O26" i="5"/>
  <c r="P26" i="5"/>
  <c r="Q26" i="5"/>
  <c r="R26" i="5"/>
  <c r="S26" i="5"/>
  <c r="V26" i="5"/>
  <c r="W26" i="5"/>
  <c r="X26" i="5"/>
  <c r="Y26" i="5"/>
  <c r="Z26" i="5"/>
  <c r="AA26" i="5"/>
  <c r="AB26" i="5"/>
  <c r="AC26" i="5"/>
  <c r="AD26" i="5"/>
  <c r="AE26" i="5"/>
  <c r="AF26" i="5"/>
  <c r="AG26" i="5"/>
  <c r="H27" i="5"/>
  <c r="I27" i="5"/>
  <c r="J27" i="5"/>
  <c r="K27" i="5"/>
  <c r="L27" i="5"/>
  <c r="M27" i="5"/>
  <c r="N27" i="5"/>
  <c r="O27" i="5"/>
  <c r="P27" i="5"/>
  <c r="Q27" i="5"/>
  <c r="R27" i="5"/>
  <c r="S27" i="5"/>
  <c r="V27" i="5"/>
  <c r="W27" i="5"/>
  <c r="X27" i="5"/>
  <c r="Y27" i="5"/>
  <c r="Z27" i="5"/>
  <c r="AA27" i="5"/>
  <c r="AB27" i="5"/>
  <c r="AC27" i="5"/>
  <c r="AD27" i="5"/>
  <c r="AE27" i="5"/>
  <c r="AF27" i="5"/>
  <c r="AG27" i="5"/>
  <c r="H28" i="5"/>
  <c r="I28" i="5"/>
  <c r="J28" i="5"/>
  <c r="K28" i="5"/>
  <c r="L28" i="5"/>
  <c r="M28" i="5"/>
  <c r="N28" i="5"/>
  <c r="O28" i="5"/>
  <c r="P28" i="5"/>
  <c r="Q28" i="5"/>
  <c r="R28" i="5"/>
  <c r="S28" i="5"/>
  <c r="V28" i="5"/>
  <c r="W28" i="5"/>
  <c r="X28" i="5"/>
  <c r="Y28" i="5"/>
  <c r="Z28" i="5"/>
  <c r="AA28" i="5"/>
  <c r="AB28" i="5"/>
  <c r="AC28" i="5"/>
  <c r="AD28" i="5"/>
  <c r="AE28" i="5"/>
  <c r="AF28" i="5"/>
  <c r="AG28" i="5"/>
  <c r="H29" i="5"/>
  <c r="I29" i="5"/>
  <c r="J29" i="5"/>
  <c r="K29" i="5"/>
  <c r="L29" i="5"/>
  <c r="M29" i="5"/>
  <c r="N29" i="5"/>
  <c r="O29" i="5"/>
  <c r="P29" i="5"/>
  <c r="Q29" i="5"/>
  <c r="R29" i="5"/>
  <c r="S29" i="5"/>
  <c r="V29" i="5"/>
  <c r="W29" i="5"/>
  <c r="X29" i="5"/>
  <c r="Y29" i="5"/>
  <c r="Z29" i="5"/>
  <c r="AA29" i="5"/>
  <c r="AB29" i="5"/>
  <c r="AC29" i="5"/>
  <c r="AD29" i="5"/>
  <c r="AE29" i="5"/>
  <c r="AF29" i="5"/>
  <c r="AG29" i="5"/>
  <c r="H30" i="5"/>
  <c r="I30" i="5"/>
  <c r="J30" i="5"/>
  <c r="K30" i="5"/>
  <c r="L30" i="5"/>
  <c r="M30" i="5"/>
  <c r="N30" i="5"/>
  <c r="O30" i="5"/>
  <c r="P30" i="5"/>
  <c r="Q30" i="5"/>
  <c r="R30" i="5"/>
  <c r="S30" i="5"/>
  <c r="V30" i="5"/>
  <c r="W30" i="5"/>
  <c r="X30" i="5"/>
  <c r="Y30" i="5"/>
  <c r="Z30" i="5"/>
  <c r="AA30" i="5"/>
  <c r="AB30" i="5"/>
  <c r="AC30" i="5"/>
  <c r="AD30" i="5"/>
  <c r="AE30" i="5"/>
  <c r="AF30" i="5"/>
  <c r="AG30" i="5"/>
  <c r="H31" i="5"/>
  <c r="I31" i="5"/>
  <c r="J31" i="5"/>
  <c r="K31" i="5"/>
  <c r="L31" i="5"/>
  <c r="M31" i="5"/>
  <c r="N31" i="5"/>
  <c r="O31" i="5"/>
  <c r="P31" i="5"/>
  <c r="Q31" i="5"/>
  <c r="R31" i="5"/>
  <c r="S31" i="5"/>
  <c r="V31" i="5"/>
  <c r="W31" i="5"/>
  <c r="X31" i="5"/>
  <c r="Y31" i="5"/>
  <c r="Z31" i="5"/>
  <c r="AA31" i="5"/>
  <c r="AB31" i="5"/>
  <c r="AC31" i="5"/>
  <c r="AD31" i="5"/>
  <c r="AE31" i="5"/>
  <c r="AF31" i="5"/>
  <c r="AG31" i="5"/>
  <c r="H32" i="5"/>
  <c r="I32" i="5"/>
  <c r="J32" i="5"/>
  <c r="K32" i="5"/>
  <c r="L32" i="5"/>
  <c r="M32" i="5"/>
  <c r="N32" i="5"/>
  <c r="O32" i="5"/>
  <c r="P32" i="5"/>
  <c r="Q32" i="5"/>
  <c r="R32" i="5"/>
  <c r="S32" i="5"/>
  <c r="V32" i="5"/>
  <c r="W32" i="5"/>
  <c r="X32" i="5"/>
  <c r="Y32" i="5"/>
  <c r="Z32" i="5"/>
  <c r="AA32" i="5"/>
  <c r="AB32" i="5"/>
  <c r="AC32" i="5"/>
  <c r="AD32" i="5"/>
  <c r="AE32" i="5"/>
  <c r="AF32" i="5"/>
  <c r="AG32" i="5"/>
  <c r="H33" i="5"/>
  <c r="I33" i="5"/>
  <c r="J33" i="5"/>
  <c r="K33" i="5"/>
  <c r="L33" i="5"/>
  <c r="M33" i="5"/>
  <c r="N33" i="5"/>
  <c r="O33" i="5"/>
  <c r="P33" i="5"/>
  <c r="Q33" i="5"/>
  <c r="R33" i="5"/>
  <c r="S33" i="5"/>
  <c r="V33" i="5"/>
  <c r="W33" i="5"/>
  <c r="X33" i="5"/>
  <c r="Y33" i="5"/>
  <c r="Z33" i="5"/>
  <c r="AA33" i="5"/>
  <c r="AB33" i="5"/>
  <c r="AC33" i="5"/>
  <c r="AD33" i="5"/>
  <c r="AE33" i="5"/>
  <c r="AF33" i="5"/>
  <c r="AG33" i="5"/>
  <c r="H34" i="5"/>
  <c r="I34" i="5"/>
  <c r="J34" i="5"/>
  <c r="K34" i="5"/>
  <c r="L34" i="5"/>
  <c r="M34" i="5"/>
  <c r="N34" i="5"/>
  <c r="O34" i="5"/>
  <c r="P34" i="5"/>
  <c r="Q34" i="5"/>
  <c r="R34" i="5"/>
  <c r="S34" i="5"/>
  <c r="V34" i="5"/>
  <c r="W34" i="5"/>
  <c r="X34" i="5"/>
  <c r="Y34" i="5"/>
  <c r="Z34" i="5"/>
  <c r="AA34" i="5"/>
  <c r="AB34" i="5"/>
  <c r="AC34" i="5"/>
  <c r="AD34" i="5"/>
  <c r="AE34" i="5"/>
  <c r="AF34" i="5"/>
  <c r="AG34" i="5"/>
  <c r="H35" i="5"/>
  <c r="I35" i="5"/>
  <c r="J35" i="5"/>
  <c r="K35" i="5"/>
  <c r="L35" i="5"/>
  <c r="M35" i="5"/>
  <c r="N35" i="5"/>
  <c r="O35" i="5"/>
  <c r="P35" i="5"/>
  <c r="Q35" i="5"/>
  <c r="R35" i="5"/>
  <c r="S35" i="5"/>
  <c r="V35" i="5"/>
  <c r="W35" i="5"/>
  <c r="X35" i="5"/>
  <c r="Y35" i="5"/>
  <c r="Z35" i="5"/>
  <c r="AA35" i="5"/>
  <c r="AB35" i="5"/>
  <c r="AC35" i="5"/>
  <c r="AD35" i="5"/>
  <c r="AE35" i="5"/>
  <c r="AF35" i="5"/>
  <c r="AG35" i="5"/>
  <c r="H36" i="5"/>
  <c r="I36" i="5"/>
  <c r="J36" i="5"/>
  <c r="K36" i="5"/>
  <c r="L36" i="5"/>
  <c r="M36" i="5"/>
  <c r="N36" i="5"/>
  <c r="O36" i="5"/>
  <c r="P36" i="5"/>
  <c r="Q36" i="5"/>
  <c r="R36" i="5"/>
  <c r="S36" i="5"/>
  <c r="V36" i="5"/>
  <c r="W36" i="5"/>
  <c r="X36" i="5"/>
  <c r="Y36" i="5"/>
  <c r="Z36" i="5"/>
  <c r="AA36" i="5"/>
  <c r="AB36" i="5"/>
  <c r="AC36" i="5"/>
  <c r="AD36" i="5"/>
  <c r="AE36" i="5"/>
  <c r="AF36" i="5"/>
  <c r="AG36" i="5"/>
  <c r="H37" i="5"/>
  <c r="I37" i="5"/>
  <c r="J37" i="5"/>
  <c r="K37" i="5"/>
  <c r="L37" i="5"/>
  <c r="M37" i="5"/>
  <c r="N37" i="5"/>
  <c r="O37" i="5"/>
  <c r="P37" i="5"/>
  <c r="Q37" i="5"/>
  <c r="R37" i="5"/>
  <c r="S37" i="5"/>
  <c r="V37" i="5"/>
  <c r="W37" i="5"/>
  <c r="X37" i="5"/>
  <c r="Y37" i="5"/>
  <c r="Z37" i="5"/>
  <c r="AA37" i="5"/>
  <c r="AB37" i="5"/>
  <c r="AC37" i="5"/>
  <c r="AD37" i="5"/>
  <c r="AE37" i="5"/>
  <c r="AF37" i="5"/>
  <c r="AG37" i="5"/>
  <c r="H38" i="5"/>
  <c r="I38" i="5"/>
  <c r="J38" i="5"/>
  <c r="K38" i="5"/>
  <c r="L38" i="5"/>
  <c r="M38" i="5"/>
  <c r="N38" i="5"/>
  <c r="O38" i="5"/>
  <c r="P38" i="5"/>
  <c r="Q38" i="5"/>
  <c r="R38" i="5"/>
  <c r="S38" i="5"/>
  <c r="V38" i="5"/>
  <c r="W38" i="5"/>
  <c r="X38" i="5"/>
  <c r="Y38" i="5"/>
  <c r="Z38" i="5"/>
  <c r="AA38" i="5"/>
  <c r="AB38" i="5"/>
  <c r="AC38" i="5"/>
  <c r="AD38" i="5"/>
  <c r="AE38" i="5"/>
  <c r="AF38" i="5"/>
  <c r="AG38" i="5"/>
  <c r="H39" i="5"/>
  <c r="I39" i="5"/>
  <c r="J39" i="5"/>
  <c r="K39" i="5"/>
  <c r="L39" i="5"/>
  <c r="M39" i="5"/>
  <c r="N39" i="5"/>
  <c r="O39" i="5"/>
  <c r="P39" i="5"/>
  <c r="Q39" i="5"/>
  <c r="R39" i="5"/>
  <c r="S39" i="5"/>
  <c r="V39" i="5"/>
  <c r="W39" i="5"/>
  <c r="X39" i="5"/>
  <c r="Y39" i="5"/>
  <c r="Z39" i="5"/>
  <c r="AA39" i="5"/>
  <c r="AB39" i="5"/>
  <c r="AC39" i="5"/>
  <c r="AD39" i="5"/>
  <c r="AE39" i="5"/>
  <c r="AF39" i="5"/>
  <c r="AG39" i="5"/>
  <c r="H40" i="5"/>
  <c r="I40" i="5"/>
  <c r="J40" i="5"/>
  <c r="K40" i="5"/>
  <c r="L40" i="5"/>
  <c r="M40" i="5"/>
  <c r="N40" i="5"/>
  <c r="O40" i="5"/>
  <c r="P40" i="5"/>
  <c r="Q40" i="5"/>
  <c r="R40" i="5"/>
  <c r="S40" i="5"/>
  <c r="V40" i="5"/>
  <c r="W40" i="5"/>
  <c r="X40" i="5"/>
  <c r="Y40" i="5"/>
  <c r="Z40" i="5"/>
  <c r="AA40" i="5"/>
  <c r="AB40" i="5"/>
  <c r="AC40" i="5"/>
  <c r="AD40" i="5"/>
  <c r="AE40" i="5"/>
  <c r="AF40" i="5"/>
  <c r="AG40" i="5"/>
  <c r="H41" i="5"/>
  <c r="I41" i="5"/>
  <c r="J41" i="5"/>
  <c r="K41" i="5"/>
  <c r="L41" i="5"/>
  <c r="M41" i="5"/>
  <c r="N41" i="5"/>
  <c r="O41" i="5"/>
  <c r="P41" i="5"/>
  <c r="Q41" i="5"/>
  <c r="R41" i="5"/>
  <c r="S41" i="5"/>
  <c r="V41" i="5"/>
  <c r="W41" i="5"/>
  <c r="X41" i="5"/>
  <c r="Y41" i="5"/>
  <c r="Z41" i="5"/>
  <c r="AA41" i="5"/>
  <c r="AB41" i="5"/>
  <c r="AC41" i="5"/>
  <c r="AD41" i="5"/>
  <c r="AE41" i="5"/>
  <c r="AF41" i="5"/>
  <c r="AG41" i="5"/>
  <c r="H42" i="5"/>
  <c r="I42" i="5"/>
  <c r="J42" i="5"/>
  <c r="K42" i="5"/>
  <c r="L42" i="5"/>
  <c r="M42" i="5"/>
  <c r="N42" i="5"/>
  <c r="O42" i="5"/>
  <c r="P42" i="5"/>
  <c r="Q42" i="5"/>
  <c r="R42" i="5"/>
  <c r="S42" i="5"/>
  <c r="V42" i="5"/>
  <c r="W42" i="5"/>
  <c r="X42" i="5"/>
  <c r="Y42" i="5"/>
  <c r="Z42" i="5"/>
  <c r="AA42" i="5"/>
  <c r="AB42" i="5"/>
  <c r="AC42" i="5"/>
  <c r="AD42" i="5"/>
  <c r="AE42" i="5"/>
  <c r="AF42" i="5"/>
  <c r="AG42" i="5"/>
  <c r="H43" i="5"/>
  <c r="I43" i="5"/>
  <c r="J43" i="5"/>
  <c r="K43" i="5"/>
  <c r="L43" i="5"/>
  <c r="M43" i="5"/>
  <c r="N43" i="5"/>
  <c r="O43" i="5"/>
  <c r="P43" i="5"/>
  <c r="Q43" i="5"/>
  <c r="R43" i="5"/>
  <c r="S43" i="5"/>
  <c r="V43" i="5"/>
  <c r="W43" i="5"/>
  <c r="X43" i="5"/>
  <c r="Y43" i="5"/>
  <c r="Z43" i="5"/>
  <c r="AA43" i="5"/>
  <c r="AB43" i="5"/>
  <c r="AC43" i="5"/>
  <c r="AD43" i="5"/>
  <c r="AE43" i="5"/>
  <c r="AF43" i="5"/>
  <c r="AG43" i="5"/>
  <c r="H44" i="5"/>
  <c r="I44" i="5"/>
  <c r="J44" i="5"/>
  <c r="K44" i="5"/>
  <c r="L44" i="5"/>
  <c r="M44" i="5"/>
  <c r="N44" i="5"/>
  <c r="O44" i="5"/>
  <c r="P44" i="5"/>
  <c r="Q44" i="5"/>
  <c r="R44" i="5"/>
  <c r="S44" i="5"/>
  <c r="V44" i="5"/>
  <c r="W44" i="5"/>
  <c r="X44" i="5"/>
  <c r="Y44" i="5"/>
  <c r="Z44" i="5"/>
  <c r="AA44" i="5"/>
  <c r="AB44" i="5"/>
  <c r="AC44" i="5"/>
  <c r="AD44" i="5"/>
  <c r="AE44" i="5"/>
  <c r="AF44" i="5"/>
  <c r="AG44" i="5"/>
  <c r="H45" i="5"/>
  <c r="I45" i="5"/>
  <c r="J45" i="5"/>
  <c r="K45" i="5"/>
  <c r="L45" i="5"/>
  <c r="M45" i="5"/>
  <c r="N45" i="5"/>
  <c r="O45" i="5"/>
  <c r="P45" i="5"/>
  <c r="Q45" i="5"/>
  <c r="R45" i="5"/>
  <c r="S45" i="5"/>
  <c r="V45" i="5"/>
  <c r="W45" i="5"/>
  <c r="X45" i="5"/>
  <c r="Y45" i="5"/>
  <c r="Z45" i="5"/>
  <c r="AA45" i="5"/>
  <c r="AB45" i="5"/>
  <c r="AC45" i="5"/>
  <c r="AD45" i="5"/>
  <c r="AE45" i="5"/>
  <c r="AF45" i="5"/>
  <c r="AG45" i="5"/>
  <c r="H46" i="5"/>
  <c r="I46" i="5"/>
  <c r="J46" i="5"/>
  <c r="K46" i="5"/>
  <c r="L46" i="5"/>
  <c r="M46" i="5"/>
  <c r="N46" i="5"/>
  <c r="O46" i="5"/>
  <c r="P46" i="5"/>
  <c r="Q46" i="5"/>
  <c r="R46" i="5"/>
  <c r="S46" i="5"/>
  <c r="V46" i="5"/>
  <c r="W46" i="5"/>
  <c r="X46" i="5"/>
  <c r="Y46" i="5"/>
  <c r="Z46" i="5"/>
  <c r="AA46" i="5"/>
  <c r="AB46" i="5"/>
  <c r="AC46" i="5"/>
  <c r="AD46" i="5"/>
  <c r="AE46" i="5"/>
  <c r="AF46" i="5"/>
  <c r="AG46" i="5"/>
  <c r="H47" i="5"/>
  <c r="I47" i="5"/>
  <c r="J47" i="5"/>
  <c r="K47" i="5"/>
  <c r="L47" i="5"/>
  <c r="M47" i="5"/>
  <c r="N47" i="5"/>
  <c r="O47" i="5"/>
  <c r="P47" i="5"/>
  <c r="Q47" i="5"/>
  <c r="R47" i="5"/>
  <c r="S47" i="5"/>
  <c r="V47" i="5"/>
  <c r="W47" i="5"/>
  <c r="X47" i="5"/>
  <c r="Y47" i="5"/>
  <c r="Z47" i="5"/>
  <c r="AA47" i="5"/>
  <c r="AB47" i="5"/>
  <c r="AC47" i="5"/>
  <c r="AD47" i="5"/>
  <c r="AE47" i="5"/>
  <c r="AF47" i="5"/>
  <c r="AG47" i="5"/>
  <c r="H48" i="5"/>
  <c r="I48" i="5"/>
  <c r="J48" i="5"/>
  <c r="K48" i="5"/>
  <c r="L48" i="5"/>
  <c r="M48" i="5"/>
  <c r="N48" i="5"/>
  <c r="O48" i="5"/>
  <c r="P48" i="5"/>
  <c r="Q48" i="5"/>
  <c r="R48" i="5"/>
  <c r="S48" i="5"/>
  <c r="V48" i="5"/>
  <c r="W48" i="5"/>
  <c r="X48" i="5"/>
  <c r="Y48" i="5"/>
  <c r="Z48" i="5"/>
  <c r="AA48" i="5"/>
  <c r="AB48" i="5"/>
  <c r="AC48" i="5"/>
  <c r="AD48" i="5"/>
  <c r="AE48" i="5"/>
  <c r="AF48" i="5"/>
  <c r="AG48" i="5"/>
  <c r="H49" i="5"/>
  <c r="I49" i="5"/>
  <c r="J49" i="5"/>
  <c r="K49" i="5"/>
  <c r="L49" i="5"/>
  <c r="M49" i="5"/>
  <c r="N49" i="5"/>
  <c r="O49" i="5"/>
  <c r="P49" i="5"/>
  <c r="Q49" i="5"/>
  <c r="R49" i="5"/>
  <c r="S49" i="5"/>
  <c r="V49" i="5"/>
  <c r="W49" i="5"/>
  <c r="X49" i="5"/>
  <c r="Y49" i="5"/>
  <c r="Z49" i="5"/>
  <c r="AA49" i="5"/>
  <c r="AB49" i="5"/>
  <c r="AC49" i="5"/>
  <c r="AD49" i="5"/>
  <c r="AE49" i="5"/>
  <c r="AF49" i="5"/>
  <c r="AG49" i="5"/>
  <c r="H50" i="5"/>
  <c r="I50" i="5"/>
  <c r="J50" i="5"/>
  <c r="K50" i="5"/>
  <c r="L50" i="5"/>
  <c r="M50" i="5"/>
  <c r="N50" i="5"/>
  <c r="O50" i="5"/>
  <c r="P50" i="5"/>
  <c r="Q50" i="5"/>
  <c r="R50" i="5"/>
  <c r="S50" i="5"/>
  <c r="V50" i="5"/>
  <c r="W50" i="5"/>
  <c r="X50" i="5"/>
  <c r="Y50" i="5"/>
  <c r="Z50" i="5"/>
  <c r="AA50" i="5"/>
  <c r="AB50" i="5"/>
  <c r="AC50" i="5"/>
  <c r="AD50" i="5"/>
  <c r="AE50" i="5"/>
  <c r="AF50" i="5"/>
  <c r="AG50" i="5"/>
  <c r="H51" i="5"/>
  <c r="I51" i="5"/>
  <c r="J51" i="5"/>
  <c r="K51" i="5"/>
  <c r="L51" i="5"/>
  <c r="M51" i="5"/>
  <c r="N51" i="5"/>
  <c r="O51" i="5"/>
  <c r="P51" i="5"/>
  <c r="Q51" i="5"/>
  <c r="R51" i="5"/>
  <c r="S51" i="5"/>
  <c r="V51" i="5"/>
  <c r="W51" i="5"/>
  <c r="X51" i="5"/>
  <c r="Y51" i="5"/>
  <c r="Z51" i="5"/>
  <c r="AA51" i="5"/>
  <c r="AB51" i="5"/>
  <c r="AC51" i="5"/>
  <c r="AD51" i="5"/>
  <c r="AE51" i="5"/>
  <c r="AF51" i="5"/>
  <c r="AG51" i="5"/>
  <c r="H52" i="5"/>
  <c r="I52" i="5"/>
  <c r="J52" i="5"/>
  <c r="K52" i="5"/>
  <c r="L52" i="5"/>
  <c r="M52" i="5"/>
  <c r="N52" i="5"/>
  <c r="O52" i="5"/>
  <c r="P52" i="5"/>
  <c r="Q52" i="5"/>
  <c r="R52" i="5"/>
  <c r="S52" i="5"/>
  <c r="V52" i="5"/>
  <c r="W52" i="5"/>
  <c r="X52" i="5"/>
  <c r="Y52" i="5"/>
  <c r="Z52" i="5"/>
  <c r="AA52" i="5"/>
  <c r="AB52" i="5"/>
  <c r="AC52" i="5"/>
  <c r="AD52" i="5"/>
  <c r="AE52" i="5"/>
  <c r="AF52" i="5"/>
  <c r="AG52" i="5"/>
  <c r="H53" i="5"/>
  <c r="I53" i="5"/>
  <c r="J53" i="5"/>
  <c r="K53" i="5"/>
  <c r="L53" i="5"/>
  <c r="M53" i="5"/>
  <c r="N53" i="5"/>
  <c r="O53" i="5"/>
  <c r="P53" i="5"/>
  <c r="Q53" i="5"/>
  <c r="R53" i="5"/>
  <c r="S53" i="5"/>
  <c r="V53" i="5"/>
  <c r="W53" i="5"/>
  <c r="X53" i="5"/>
  <c r="Y53" i="5"/>
  <c r="Z53" i="5"/>
  <c r="AA53" i="5"/>
  <c r="AB53" i="5"/>
  <c r="AC53" i="5"/>
  <c r="AD53" i="5"/>
  <c r="AE53" i="5"/>
  <c r="AF53" i="5"/>
  <c r="AG53" i="5"/>
  <c r="H54" i="5"/>
  <c r="I54" i="5"/>
  <c r="J54" i="5"/>
  <c r="K54" i="5"/>
  <c r="L54" i="5"/>
  <c r="M54" i="5"/>
  <c r="N54" i="5"/>
  <c r="O54" i="5"/>
  <c r="P54" i="5"/>
  <c r="Q54" i="5"/>
  <c r="R54" i="5"/>
  <c r="S54" i="5"/>
  <c r="V54" i="5"/>
  <c r="W54" i="5"/>
  <c r="X54" i="5"/>
  <c r="Y54" i="5"/>
  <c r="Z54" i="5"/>
  <c r="AA54" i="5"/>
  <c r="AB54" i="5"/>
  <c r="AC54" i="5"/>
  <c r="AD54" i="5"/>
  <c r="AE54" i="5"/>
  <c r="AF54" i="5"/>
  <c r="AG54" i="5"/>
  <c r="H55" i="5"/>
  <c r="I55" i="5"/>
  <c r="J55" i="5"/>
  <c r="K55" i="5"/>
  <c r="L55" i="5"/>
  <c r="M55" i="5"/>
  <c r="N55" i="5"/>
  <c r="O55" i="5"/>
  <c r="P55" i="5"/>
  <c r="Q55" i="5"/>
  <c r="R55" i="5"/>
  <c r="S55" i="5"/>
  <c r="V55" i="5"/>
  <c r="W55" i="5"/>
  <c r="X55" i="5"/>
  <c r="Y55" i="5"/>
  <c r="Z55" i="5"/>
  <c r="AA55" i="5"/>
  <c r="AB55" i="5"/>
  <c r="AC55" i="5"/>
  <c r="AD55" i="5"/>
  <c r="AE55" i="5"/>
  <c r="AF55" i="5"/>
  <c r="AG55" i="5"/>
  <c r="H56" i="5"/>
  <c r="I56" i="5"/>
  <c r="J56" i="5"/>
  <c r="K56" i="5"/>
  <c r="L56" i="5"/>
  <c r="M56" i="5"/>
  <c r="N56" i="5"/>
  <c r="O56" i="5"/>
  <c r="P56" i="5"/>
  <c r="Q56" i="5"/>
  <c r="R56" i="5"/>
  <c r="S56" i="5"/>
  <c r="V56" i="5"/>
  <c r="W56" i="5"/>
  <c r="X56" i="5"/>
  <c r="Y56" i="5"/>
  <c r="Z56" i="5"/>
  <c r="AA56" i="5"/>
  <c r="AB56" i="5"/>
  <c r="AC56" i="5"/>
  <c r="AD56" i="5"/>
  <c r="AE56" i="5"/>
  <c r="AF56" i="5"/>
  <c r="AG56" i="5"/>
  <c r="H57" i="5"/>
  <c r="I57" i="5"/>
  <c r="J57" i="5"/>
  <c r="K57" i="5"/>
  <c r="L57" i="5"/>
  <c r="M57" i="5"/>
  <c r="N57" i="5"/>
  <c r="O57" i="5"/>
  <c r="P57" i="5"/>
  <c r="Q57" i="5"/>
  <c r="R57" i="5"/>
  <c r="S57" i="5"/>
  <c r="V57" i="5"/>
  <c r="W57" i="5"/>
  <c r="X57" i="5"/>
  <c r="Y57" i="5"/>
  <c r="Z57" i="5"/>
  <c r="AA57" i="5"/>
  <c r="AB57" i="5"/>
  <c r="AC57" i="5"/>
  <c r="AD57" i="5"/>
  <c r="AE57" i="5"/>
  <c r="AF57" i="5"/>
  <c r="AG57" i="5"/>
  <c r="H58" i="5"/>
  <c r="I58" i="5"/>
  <c r="J58" i="5"/>
  <c r="K58" i="5"/>
  <c r="L58" i="5"/>
  <c r="M58" i="5"/>
  <c r="N58" i="5"/>
  <c r="O58" i="5"/>
  <c r="P58" i="5"/>
  <c r="Q58" i="5"/>
  <c r="R58" i="5"/>
  <c r="S58" i="5"/>
  <c r="V58" i="5"/>
  <c r="W58" i="5"/>
  <c r="X58" i="5"/>
  <c r="Y58" i="5"/>
  <c r="Z58" i="5"/>
  <c r="AA58" i="5"/>
  <c r="AB58" i="5"/>
  <c r="AC58" i="5"/>
  <c r="AD58" i="5"/>
  <c r="AE58" i="5"/>
  <c r="AF58" i="5"/>
  <c r="AG58" i="5"/>
  <c r="H59" i="5"/>
  <c r="I59" i="5"/>
  <c r="J59" i="5"/>
  <c r="K59" i="5"/>
  <c r="L59" i="5"/>
  <c r="M59" i="5"/>
  <c r="N59" i="5"/>
  <c r="O59" i="5"/>
  <c r="P59" i="5"/>
  <c r="Q59" i="5"/>
  <c r="R59" i="5"/>
  <c r="S59" i="5"/>
  <c r="V59" i="5"/>
  <c r="W59" i="5"/>
  <c r="X59" i="5"/>
  <c r="Y59" i="5"/>
  <c r="Z59" i="5"/>
  <c r="AA59" i="5"/>
  <c r="AB59" i="5"/>
  <c r="AC59" i="5"/>
  <c r="AD59" i="5"/>
  <c r="AE59" i="5"/>
  <c r="AF59" i="5"/>
  <c r="AG59" i="5"/>
  <c r="H3" i="4"/>
  <c r="I3" i="4"/>
  <c r="J3" i="4"/>
  <c r="K3" i="4"/>
  <c r="L3" i="4"/>
  <c r="M3" i="4"/>
  <c r="N3" i="4"/>
  <c r="O3" i="4"/>
  <c r="P3" i="4"/>
  <c r="Q3" i="4"/>
  <c r="R3" i="4"/>
  <c r="S3" i="4"/>
  <c r="V3" i="4"/>
  <c r="W3" i="4"/>
  <c r="X3" i="4"/>
  <c r="Y3" i="4"/>
  <c r="Z3" i="4"/>
  <c r="AA3" i="4"/>
  <c r="AB3" i="4"/>
  <c r="AC3" i="4"/>
  <c r="AD3" i="4"/>
  <c r="AE3" i="4"/>
  <c r="AF3" i="4"/>
  <c r="AG3" i="4"/>
  <c r="H4" i="4"/>
  <c r="I4" i="4"/>
  <c r="J4" i="4"/>
  <c r="K4" i="4"/>
  <c r="L4" i="4"/>
  <c r="M4" i="4"/>
  <c r="N4" i="4"/>
  <c r="O4" i="4"/>
  <c r="P4" i="4"/>
  <c r="Q4" i="4"/>
  <c r="R4" i="4"/>
  <c r="S4" i="4"/>
  <c r="V4" i="4"/>
  <c r="W4" i="4"/>
  <c r="X4" i="4"/>
  <c r="Y4" i="4"/>
  <c r="Z4" i="4"/>
  <c r="AA4" i="4"/>
  <c r="AB4" i="4"/>
  <c r="AC4" i="4"/>
  <c r="AD4" i="4"/>
  <c r="AE4" i="4"/>
  <c r="AF4" i="4"/>
  <c r="AG4" i="4"/>
  <c r="H5" i="4"/>
  <c r="I5" i="4"/>
  <c r="J5" i="4"/>
  <c r="K5" i="4"/>
  <c r="L5" i="4"/>
  <c r="M5" i="4"/>
  <c r="N5" i="4"/>
  <c r="O5" i="4"/>
  <c r="P5" i="4"/>
  <c r="Q5" i="4"/>
  <c r="R5" i="4"/>
  <c r="S5" i="4"/>
  <c r="V5" i="4"/>
  <c r="W5" i="4"/>
  <c r="X5" i="4"/>
  <c r="Y5" i="4"/>
  <c r="Z5" i="4"/>
  <c r="AA5" i="4"/>
  <c r="AB5" i="4"/>
  <c r="AC5" i="4"/>
  <c r="AD5" i="4"/>
  <c r="AE5" i="4"/>
  <c r="AF5" i="4"/>
  <c r="AG5" i="4"/>
  <c r="H6" i="4"/>
  <c r="I6" i="4"/>
  <c r="J6" i="4"/>
  <c r="K6" i="4"/>
  <c r="L6" i="4"/>
  <c r="M6" i="4"/>
  <c r="N6" i="4"/>
  <c r="O6" i="4"/>
  <c r="P6" i="4"/>
  <c r="Q6" i="4"/>
  <c r="R6" i="4"/>
  <c r="S6" i="4"/>
  <c r="V6" i="4"/>
  <c r="W6" i="4"/>
  <c r="X6" i="4"/>
  <c r="Y6" i="4"/>
  <c r="Z6" i="4"/>
  <c r="AA6" i="4"/>
  <c r="AB6" i="4"/>
  <c r="AC6" i="4"/>
  <c r="AD6" i="4"/>
  <c r="AE6" i="4"/>
  <c r="AF6" i="4"/>
  <c r="AG6" i="4"/>
  <c r="H7" i="4"/>
  <c r="I7" i="4"/>
  <c r="J7" i="4"/>
  <c r="K7" i="4"/>
  <c r="L7" i="4"/>
  <c r="M7" i="4"/>
  <c r="N7" i="4"/>
  <c r="O7" i="4"/>
  <c r="P7" i="4"/>
  <c r="Q7" i="4"/>
  <c r="R7" i="4"/>
  <c r="S7" i="4"/>
  <c r="V7" i="4"/>
  <c r="W7" i="4"/>
  <c r="X7" i="4"/>
  <c r="Y7" i="4"/>
  <c r="Z7" i="4"/>
  <c r="AA7" i="4"/>
  <c r="AB7" i="4"/>
  <c r="AC7" i="4"/>
  <c r="AD7" i="4"/>
  <c r="AE7" i="4"/>
  <c r="AF7" i="4"/>
  <c r="AG7" i="4"/>
  <c r="H8" i="4"/>
  <c r="I8" i="4"/>
  <c r="J8" i="4"/>
  <c r="K8" i="4"/>
  <c r="L8" i="4"/>
  <c r="M8" i="4"/>
  <c r="N8" i="4"/>
  <c r="O8" i="4"/>
  <c r="P8" i="4"/>
  <c r="Q8" i="4"/>
  <c r="R8" i="4"/>
  <c r="S8" i="4"/>
  <c r="V8" i="4"/>
  <c r="W8" i="4"/>
  <c r="X8" i="4"/>
  <c r="Y8" i="4"/>
  <c r="Z8" i="4"/>
  <c r="AA8" i="4"/>
  <c r="AB8" i="4"/>
  <c r="AC8" i="4"/>
  <c r="AD8" i="4"/>
  <c r="AE8" i="4"/>
  <c r="AF8" i="4"/>
  <c r="AG8" i="4"/>
  <c r="H9" i="4"/>
  <c r="I9" i="4"/>
  <c r="J9" i="4"/>
  <c r="K9" i="4"/>
  <c r="L9" i="4"/>
  <c r="M9" i="4"/>
  <c r="N9" i="4"/>
  <c r="O9" i="4"/>
  <c r="P9" i="4"/>
  <c r="Q9" i="4"/>
  <c r="R9" i="4"/>
  <c r="S9" i="4"/>
  <c r="V9" i="4"/>
  <c r="W9" i="4"/>
  <c r="X9" i="4"/>
  <c r="Y9" i="4"/>
  <c r="Z9" i="4"/>
  <c r="AA9" i="4"/>
  <c r="AB9" i="4"/>
  <c r="AC9" i="4"/>
  <c r="AD9" i="4"/>
  <c r="AE9" i="4"/>
  <c r="AF9" i="4"/>
  <c r="AG9" i="4"/>
  <c r="H10" i="4"/>
  <c r="I10" i="4"/>
  <c r="J10" i="4"/>
  <c r="K10" i="4"/>
  <c r="L10" i="4"/>
  <c r="M10" i="4"/>
  <c r="N10" i="4"/>
  <c r="O10" i="4"/>
  <c r="P10" i="4"/>
  <c r="Q10" i="4"/>
  <c r="R10" i="4"/>
  <c r="S10" i="4"/>
  <c r="V10" i="4"/>
  <c r="W10" i="4"/>
  <c r="X10" i="4"/>
  <c r="Y10" i="4"/>
  <c r="Z10" i="4"/>
  <c r="AA10" i="4"/>
  <c r="AB10" i="4"/>
  <c r="AC10" i="4"/>
  <c r="AD10" i="4"/>
  <c r="AE10" i="4"/>
  <c r="AF10" i="4"/>
  <c r="AG10" i="4"/>
  <c r="H11" i="4"/>
  <c r="I11" i="4"/>
  <c r="J11" i="4"/>
  <c r="K11" i="4"/>
  <c r="L11" i="4"/>
  <c r="M11" i="4"/>
  <c r="N11" i="4"/>
  <c r="O11" i="4"/>
  <c r="P11" i="4"/>
  <c r="Q11" i="4"/>
  <c r="R11" i="4"/>
  <c r="S11" i="4"/>
  <c r="V11" i="4"/>
  <c r="W11" i="4"/>
  <c r="X11" i="4"/>
  <c r="Y11" i="4"/>
  <c r="Z11" i="4"/>
  <c r="AA11" i="4"/>
  <c r="AB11" i="4"/>
  <c r="AC11" i="4"/>
  <c r="AD11" i="4"/>
  <c r="AE11" i="4"/>
  <c r="AF11" i="4"/>
  <c r="AG11" i="4"/>
  <c r="H12" i="4"/>
  <c r="I12" i="4"/>
  <c r="J12" i="4"/>
  <c r="K12" i="4"/>
  <c r="L12" i="4"/>
  <c r="M12" i="4"/>
  <c r="N12" i="4"/>
  <c r="O12" i="4"/>
  <c r="P12" i="4"/>
  <c r="Q12" i="4"/>
  <c r="R12" i="4"/>
  <c r="S12" i="4"/>
  <c r="V12" i="4"/>
  <c r="W12" i="4"/>
  <c r="X12" i="4"/>
  <c r="Y12" i="4"/>
  <c r="Z12" i="4"/>
  <c r="AA12" i="4"/>
  <c r="AB12" i="4"/>
  <c r="AC12" i="4"/>
  <c r="AD12" i="4"/>
  <c r="AE12" i="4"/>
  <c r="AF12" i="4"/>
  <c r="AG12" i="4"/>
  <c r="H13" i="4"/>
  <c r="I13" i="4"/>
  <c r="J13" i="4"/>
  <c r="K13" i="4"/>
  <c r="L13" i="4"/>
  <c r="M13" i="4"/>
  <c r="N13" i="4"/>
  <c r="O13" i="4"/>
  <c r="P13" i="4"/>
  <c r="Q13" i="4"/>
  <c r="R13" i="4"/>
  <c r="S13" i="4"/>
  <c r="V13" i="4"/>
  <c r="W13" i="4"/>
  <c r="X13" i="4"/>
  <c r="Y13" i="4"/>
  <c r="Z13" i="4"/>
  <c r="AA13" i="4"/>
  <c r="AB13" i="4"/>
  <c r="AC13" i="4"/>
  <c r="AD13" i="4"/>
  <c r="AE13" i="4"/>
  <c r="AF13" i="4"/>
  <c r="AG13" i="4"/>
  <c r="H14" i="4"/>
  <c r="I14" i="4"/>
  <c r="J14" i="4"/>
  <c r="K14" i="4"/>
  <c r="L14" i="4"/>
  <c r="M14" i="4"/>
  <c r="N14" i="4"/>
  <c r="O14" i="4"/>
  <c r="P14" i="4"/>
  <c r="Q14" i="4"/>
  <c r="R14" i="4"/>
  <c r="S14" i="4"/>
  <c r="V14" i="4"/>
  <c r="W14" i="4"/>
  <c r="X14" i="4"/>
  <c r="Y14" i="4"/>
  <c r="Z14" i="4"/>
  <c r="AA14" i="4"/>
  <c r="AB14" i="4"/>
  <c r="AC14" i="4"/>
  <c r="AD14" i="4"/>
  <c r="AE14" i="4"/>
  <c r="AF14" i="4"/>
  <c r="AG14" i="4"/>
  <c r="H15" i="4"/>
  <c r="I15" i="4"/>
  <c r="J15" i="4"/>
  <c r="K15" i="4"/>
  <c r="L15" i="4"/>
  <c r="M15" i="4"/>
  <c r="N15" i="4"/>
  <c r="O15" i="4"/>
  <c r="P15" i="4"/>
  <c r="Q15" i="4"/>
  <c r="R15" i="4"/>
  <c r="S15" i="4"/>
  <c r="V15" i="4"/>
  <c r="W15" i="4"/>
  <c r="X15" i="4"/>
  <c r="Y15" i="4"/>
  <c r="Z15" i="4"/>
  <c r="AA15" i="4"/>
  <c r="AB15" i="4"/>
  <c r="AC15" i="4"/>
  <c r="AD15" i="4"/>
  <c r="AE15" i="4"/>
  <c r="AF15" i="4"/>
  <c r="AG15" i="4"/>
  <c r="H16" i="4"/>
  <c r="I16" i="4"/>
  <c r="J16" i="4"/>
  <c r="K16" i="4"/>
  <c r="L16" i="4"/>
  <c r="M16" i="4"/>
  <c r="N16" i="4"/>
  <c r="O16" i="4"/>
  <c r="P16" i="4"/>
  <c r="Q16" i="4"/>
  <c r="R16" i="4"/>
  <c r="S16" i="4"/>
  <c r="V16" i="4"/>
  <c r="W16" i="4"/>
  <c r="X16" i="4"/>
  <c r="Y16" i="4"/>
  <c r="Z16" i="4"/>
  <c r="AA16" i="4"/>
  <c r="AB16" i="4"/>
  <c r="AC16" i="4"/>
  <c r="AD16" i="4"/>
  <c r="AE16" i="4"/>
  <c r="AF16" i="4"/>
  <c r="AG16" i="4"/>
  <c r="H17" i="4"/>
  <c r="I17" i="4"/>
  <c r="J17" i="4"/>
  <c r="K17" i="4"/>
  <c r="L17" i="4"/>
  <c r="M17" i="4"/>
  <c r="N17" i="4"/>
  <c r="O17" i="4"/>
  <c r="P17" i="4"/>
  <c r="Q17" i="4"/>
  <c r="R17" i="4"/>
  <c r="S17" i="4"/>
  <c r="V17" i="4"/>
  <c r="W17" i="4"/>
  <c r="X17" i="4"/>
  <c r="Y17" i="4"/>
  <c r="Z17" i="4"/>
  <c r="AA17" i="4"/>
  <c r="AB17" i="4"/>
  <c r="AC17" i="4"/>
  <c r="AD17" i="4"/>
  <c r="AE17" i="4"/>
  <c r="AF17" i="4"/>
  <c r="AG17" i="4"/>
  <c r="H18" i="4"/>
  <c r="I18" i="4"/>
  <c r="J18" i="4"/>
  <c r="K18" i="4"/>
  <c r="L18" i="4"/>
  <c r="M18" i="4"/>
  <c r="N18" i="4"/>
  <c r="O18" i="4"/>
  <c r="P18" i="4"/>
  <c r="Q18" i="4"/>
  <c r="R18" i="4"/>
  <c r="S18" i="4"/>
  <c r="V18" i="4"/>
  <c r="W18" i="4"/>
  <c r="X18" i="4"/>
  <c r="Y18" i="4"/>
  <c r="Z18" i="4"/>
  <c r="AA18" i="4"/>
  <c r="AB18" i="4"/>
  <c r="AC18" i="4"/>
  <c r="AD18" i="4"/>
  <c r="AE18" i="4"/>
  <c r="AF18" i="4"/>
  <c r="AG18" i="4"/>
  <c r="H19" i="4"/>
  <c r="I19" i="4"/>
  <c r="J19" i="4"/>
  <c r="K19" i="4"/>
  <c r="L19" i="4"/>
  <c r="M19" i="4"/>
  <c r="N19" i="4"/>
  <c r="O19" i="4"/>
  <c r="P19" i="4"/>
  <c r="Q19" i="4"/>
  <c r="R19" i="4"/>
  <c r="S19" i="4"/>
  <c r="V19" i="4"/>
  <c r="W19" i="4"/>
  <c r="X19" i="4"/>
  <c r="Y19" i="4"/>
  <c r="Z19" i="4"/>
  <c r="AA19" i="4"/>
  <c r="AB19" i="4"/>
  <c r="AC19" i="4"/>
  <c r="AD19" i="4"/>
  <c r="AE19" i="4"/>
  <c r="AF19" i="4"/>
  <c r="AG19" i="4"/>
  <c r="H20" i="4"/>
  <c r="I20" i="4"/>
  <c r="J20" i="4"/>
  <c r="K20" i="4"/>
  <c r="L20" i="4"/>
  <c r="M20" i="4"/>
  <c r="N20" i="4"/>
  <c r="O20" i="4"/>
  <c r="P20" i="4"/>
  <c r="Q20" i="4"/>
  <c r="R20" i="4"/>
  <c r="S20" i="4"/>
  <c r="V20" i="4"/>
  <c r="W20" i="4"/>
  <c r="X20" i="4"/>
  <c r="Y20" i="4"/>
  <c r="Z20" i="4"/>
  <c r="AA20" i="4"/>
  <c r="AB20" i="4"/>
  <c r="AC20" i="4"/>
  <c r="AD20" i="4"/>
  <c r="AE20" i="4"/>
  <c r="AF20" i="4"/>
  <c r="AG20" i="4"/>
  <c r="H21" i="4"/>
  <c r="I21" i="4"/>
  <c r="J21" i="4"/>
  <c r="K21" i="4"/>
  <c r="L21" i="4"/>
  <c r="M21" i="4"/>
  <c r="N21" i="4"/>
  <c r="O21" i="4"/>
  <c r="P21" i="4"/>
  <c r="Q21" i="4"/>
  <c r="R21" i="4"/>
  <c r="S21" i="4"/>
  <c r="V21" i="4"/>
  <c r="W21" i="4"/>
  <c r="X21" i="4"/>
  <c r="Y21" i="4"/>
  <c r="Z21" i="4"/>
  <c r="AA21" i="4"/>
  <c r="AB21" i="4"/>
  <c r="AC21" i="4"/>
  <c r="AD21" i="4"/>
  <c r="AE21" i="4"/>
  <c r="AF21" i="4"/>
  <c r="AG21" i="4"/>
  <c r="H22" i="4"/>
  <c r="I22" i="4"/>
  <c r="J22" i="4"/>
  <c r="K22" i="4"/>
  <c r="L22" i="4"/>
  <c r="M22" i="4"/>
  <c r="N22" i="4"/>
  <c r="O22" i="4"/>
  <c r="P22" i="4"/>
  <c r="Q22" i="4"/>
  <c r="R22" i="4"/>
  <c r="S22" i="4"/>
  <c r="V22" i="4"/>
  <c r="W22" i="4"/>
  <c r="X22" i="4"/>
  <c r="Y22" i="4"/>
  <c r="Z22" i="4"/>
  <c r="AA22" i="4"/>
  <c r="AB22" i="4"/>
  <c r="AC22" i="4"/>
  <c r="AD22" i="4"/>
  <c r="AE22" i="4"/>
  <c r="AF22" i="4"/>
  <c r="AG22" i="4"/>
  <c r="H23" i="4"/>
  <c r="I23" i="4"/>
  <c r="J23" i="4"/>
  <c r="K23" i="4"/>
  <c r="L23" i="4"/>
  <c r="M23" i="4"/>
  <c r="N23" i="4"/>
  <c r="O23" i="4"/>
  <c r="P23" i="4"/>
  <c r="Q23" i="4"/>
  <c r="R23" i="4"/>
  <c r="S23" i="4"/>
  <c r="V23" i="4"/>
  <c r="W23" i="4"/>
  <c r="X23" i="4"/>
  <c r="Y23" i="4"/>
  <c r="Z23" i="4"/>
  <c r="AA23" i="4"/>
  <c r="AB23" i="4"/>
  <c r="AC23" i="4"/>
  <c r="AD23" i="4"/>
  <c r="AE23" i="4"/>
  <c r="AF23" i="4"/>
  <c r="AG23" i="4"/>
  <c r="H24" i="4"/>
  <c r="I24" i="4"/>
  <c r="J24" i="4"/>
  <c r="K24" i="4"/>
  <c r="L24" i="4"/>
  <c r="M24" i="4"/>
  <c r="N24" i="4"/>
  <c r="O24" i="4"/>
  <c r="P24" i="4"/>
  <c r="Q24" i="4"/>
  <c r="R24" i="4"/>
  <c r="S24" i="4"/>
  <c r="V24" i="4"/>
  <c r="W24" i="4"/>
  <c r="X24" i="4"/>
  <c r="Y24" i="4"/>
  <c r="Z24" i="4"/>
  <c r="AA24" i="4"/>
  <c r="AB24" i="4"/>
  <c r="AC24" i="4"/>
  <c r="AD24" i="4"/>
  <c r="AE24" i="4"/>
  <c r="AF24" i="4"/>
  <c r="AG24" i="4"/>
  <c r="H25" i="4"/>
  <c r="I25" i="4"/>
  <c r="J25" i="4"/>
  <c r="K25" i="4"/>
  <c r="L25" i="4"/>
  <c r="M25" i="4"/>
  <c r="N25" i="4"/>
  <c r="O25" i="4"/>
  <c r="P25" i="4"/>
  <c r="Q25" i="4"/>
  <c r="R25" i="4"/>
  <c r="S25" i="4"/>
  <c r="V25" i="4"/>
  <c r="W25" i="4"/>
  <c r="X25" i="4"/>
  <c r="Y25" i="4"/>
  <c r="Z25" i="4"/>
  <c r="AA25" i="4"/>
  <c r="AB25" i="4"/>
  <c r="AC25" i="4"/>
  <c r="AD25" i="4"/>
  <c r="AE25" i="4"/>
  <c r="AF25" i="4"/>
  <c r="AG25" i="4"/>
  <c r="H26" i="4"/>
  <c r="I26" i="4"/>
  <c r="J26" i="4"/>
  <c r="K26" i="4"/>
  <c r="L26" i="4"/>
  <c r="M26" i="4"/>
  <c r="N26" i="4"/>
  <c r="O26" i="4"/>
  <c r="P26" i="4"/>
  <c r="Q26" i="4"/>
  <c r="R26" i="4"/>
  <c r="S26" i="4"/>
  <c r="V26" i="4"/>
  <c r="W26" i="4"/>
  <c r="X26" i="4"/>
  <c r="Y26" i="4"/>
  <c r="Z26" i="4"/>
  <c r="AA26" i="4"/>
  <c r="AB26" i="4"/>
  <c r="AC26" i="4"/>
  <c r="AD26" i="4"/>
  <c r="AE26" i="4"/>
  <c r="AF26" i="4"/>
  <c r="AG26" i="4"/>
  <c r="H27" i="4"/>
  <c r="I27" i="4"/>
  <c r="J27" i="4"/>
  <c r="K27" i="4"/>
  <c r="L27" i="4"/>
  <c r="M27" i="4"/>
  <c r="N27" i="4"/>
  <c r="O27" i="4"/>
  <c r="P27" i="4"/>
  <c r="Q27" i="4"/>
  <c r="R27" i="4"/>
  <c r="S27" i="4"/>
  <c r="V27" i="4"/>
  <c r="W27" i="4"/>
  <c r="X27" i="4"/>
  <c r="Y27" i="4"/>
  <c r="Z27" i="4"/>
  <c r="AA27" i="4"/>
  <c r="AB27" i="4"/>
  <c r="AC27" i="4"/>
  <c r="AD27" i="4"/>
  <c r="AE27" i="4"/>
  <c r="AF27" i="4"/>
  <c r="AG27" i="4"/>
  <c r="H28" i="4"/>
  <c r="I28" i="4"/>
  <c r="J28" i="4"/>
  <c r="K28" i="4"/>
  <c r="L28" i="4"/>
  <c r="M28" i="4"/>
  <c r="N28" i="4"/>
  <c r="O28" i="4"/>
  <c r="P28" i="4"/>
  <c r="Q28" i="4"/>
  <c r="R28" i="4"/>
  <c r="S28" i="4"/>
  <c r="V28" i="4"/>
  <c r="W28" i="4"/>
  <c r="X28" i="4"/>
  <c r="Y28" i="4"/>
  <c r="Z28" i="4"/>
  <c r="AA28" i="4"/>
  <c r="AB28" i="4"/>
  <c r="AC28" i="4"/>
  <c r="AD28" i="4"/>
  <c r="AE28" i="4"/>
  <c r="AF28" i="4"/>
  <c r="AG28" i="4"/>
  <c r="H29" i="4"/>
  <c r="I29" i="4"/>
  <c r="J29" i="4"/>
  <c r="K29" i="4"/>
  <c r="L29" i="4"/>
  <c r="M29" i="4"/>
  <c r="N29" i="4"/>
  <c r="O29" i="4"/>
  <c r="P29" i="4"/>
  <c r="Q29" i="4"/>
  <c r="R29" i="4"/>
  <c r="S29" i="4"/>
  <c r="V29" i="4"/>
  <c r="W29" i="4"/>
  <c r="X29" i="4"/>
  <c r="Y29" i="4"/>
  <c r="Z29" i="4"/>
  <c r="AA29" i="4"/>
  <c r="AB29" i="4"/>
  <c r="AC29" i="4"/>
  <c r="AD29" i="4"/>
  <c r="AE29" i="4"/>
  <c r="AF29" i="4"/>
  <c r="AG29" i="4"/>
  <c r="H30" i="4"/>
  <c r="I30" i="4"/>
  <c r="J30" i="4"/>
  <c r="K30" i="4"/>
  <c r="L30" i="4"/>
  <c r="M30" i="4"/>
  <c r="N30" i="4"/>
  <c r="O30" i="4"/>
  <c r="P30" i="4"/>
  <c r="Q30" i="4"/>
  <c r="R30" i="4"/>
  <c r="S30" i="4"/>
  <c r="V30" i="4"/>
  <c r="W30" i="4"/>
  <c r="X30" i="4"/>
  <c r="Y30" i="4"/>
  <c r="Z30" i="4"/>
  <c r="AA30" i="4"/>
  <c r="AB30" i="4"/>
  <c r="AC30" i="4"/>
  <c r="AD30" i="4"/>
  <c r="AE30" i="4"/>
  <c r="AF30" i="4"/>
  <c r="AG30" i="4"/>
  <c r="H31" i="4"/>
  <c r="I31" i="4"/>
  <c r="J31" i="4"/>
  <c r="K31" i="4"/>
  <c r="L31" i="4"/>
  <c r="M31" i="4"/>
  <c r="N31" i="4"/>
  <c r="O31" i="4"/>
  <c r="P31" i="4"/>
  <c r="Q31" i="4"/>
  <c r="R31" i="4"/>
  <c r="S31" i="4"/>
  <c r="V31" i="4"/>
  <c r="W31" i="4"/>
  <c r="X31" i="4"/>
  <c r="Y31" i="4"/>
  <c r="Z31" i="4"/>
  <c r="AA31" i="4"/>
  <c r="AB31" i="4"/>
  <c r="AC31" i="4"/>
  <c r="AD31" i="4"/>
  <c r="AE31" i="4"/>
  <c r="AF31" i="4"/>
  <c r="AG31" i="4"/>
  <c r="H32" i="4"/>
  <c r="I32" i="4"/>
  <c r="J32" i="4"/>
  <c r="K32" i="4"/>
  <c r="L32" i="4"/>
  <c r="M32" i="4"/>
  <c r="N32" i="4"/>
  <c r="O32" i="4"/>
  <c r="P32" i="4"/>
  <c r="Q32" i="4"/>
  <c r="R32" i="4"/>
  <c r="S32" i="4"/>
  <c r="V32" i="4"/>
  <c r="W32" i="4"/>
  <c r="X32" i="4"/>
  <c r="Y32" i="4"/>
  <c r="Z32" i="4"/>
  <c r="AA32" i="4"/>
  <c r="AB32" i="4"/>
  <c r="AC32" i="4"/>
  <c r="AD32" i="4"/>
  <c r="AE32" i="4"/>
  <c r="AF32" i="4"/>
  <c r="AG32" i="4"/>
  <c r="H33" i="4"/>
  <c r="I33" i="4"/>
  <c r="J33" i="4"/>
  <c r="K33" i="4"/>
  <c r="L33" i="4"/>
  <c r="M33" i="4"/>
  <c r="N33" i="4"/>
  <c r="O33" i="4"/>
  <c r="P33" i="4"/>
  <c r="Q33" i="4"/>
  <c r="R33" i="4"/>
  <c r="S33" i="4"/>
  <c r="V33" i="4"/>
  <c r="W33" i="4"/>
  <c r="X33" i="4"/>
  <c r="Y33" i="4"/>
  <c r="Z33" i="4"/>
  <c r="AA33" i="4"/>
  <c r="AB33" i="4"/>
  <c r="AC33" i="4"/>
  <c r="AD33" i="4"/>
  <c r="AE33" i="4"/>
  <c r="AF33" i="4"/>
  <c r="AG33" i="4"/>
  <c r="H34" i="4"/>
  <c r="I34" i="4"/>
  <c r="J34" i="4"/>
  <c r="K34" i="4"/>
  <c r="L34" i="4"/>
  <c r="M34" i="4"/>
  <c r="N34" i="4"/>
  <c r="O34" i="4"/>
  <c r="P34" i="4"/>
  <c r="Q34" i="4"/>
  <c r="R34" i="4"/>
  <c r="S34" i="4"/>
  <c r="V34" i="4"/>
  <c r="W34" i="4"/>
  <c r="X34" i="4"/>
  <c r="Y34" i="4"/>
  <c r="Z34" i="4"/>
  <c r="AA34" i="4"/>
  <c r="AB34" i="4"/>
  <c r="AC34" i="4"/>
  <c r="AD34" i="4"/>
  <c r="AE34" i="4"/>
  <c r="AF34" i="4"/>
  <c r="AG34" i="4"/>
  <c r="H35" i="4"/>
  <c r="I35" i="4"/>
  <c r="J35" i="4"/>
  <c r="K35" i="4"/>
  <c r="L35" i="4"/>
  <c r="M35" i="4"/>
  <c r="N35" i="4"/>
  <c r="O35" i="4"/>
  <c r="P35" i="4"/>
  <c r="Q35" i="4"/>
  <c r="R35" i="4"/>
  <c r="S35" i="4"/>
  <c r="V35" i="4"/>
  <c r="W35" i="4"/>
  <c r="X35" i="4"/>
  <c r="Y35" i="4"/>
  <c r="Z35" i="4"/>
  <c r="AA35" i="4"/>
  <c r="AB35" i="4"/>
  <c r="AC35" i="4"/>
  <c r="AD35" i="4"/>
  <c r="AE35" i="4"/>
  <c r="AF35" i="4"/>
  <c r="AG35" i="4"/>
  <c r="H36" i="4"/>
  <c r="I36" i="4"/>
  <c r="J36" i="4"/>
  <c r="K36" i="4"/>
  <c r="L36" i="4"/>
  <c r="M36" i="4"/>
  <c r="N36" i="4"/>
  <c r="O36" i="4"/>
  <c r="P36" i="4"/>
  <c r="Q36" i="4"/>
  <c r="R36" i="4"/>
  <c r="S36" i="4"/>
  <c r="V36" i="4"/>
  <c r="W36" i="4"/>
  <c r="X36" i="4"/>
  <c r="Y36" i="4"/>
  <c r="Z36" i="4"/>
  <c r="AA36" i="4"/>
  <c r="AB36" i="4"/>
  <c r="AC36" i="4"/>
  <c r="AD36" i="4"/>
  <c r="AE36" i="4"/>
  <c r="AF36" i="4"/>
  <c r="AG36" i="4"/>
  <c r="H37" i="4"/>
  <c r="I37" i="4"/>
  <c r="J37" i="4"/>
  <c r="K37" i="4"/>
  <c r="L37" i="4"/>
  <c r="M37" i="4"/>
  <c r="N37" i="4"/>
  <c r="O37" i="4"/>
  <c r="P37" i="4"/>
  <c r="Q37" i="4"/>
  <c r="R37" i="4"/>
  <c r="S37" i="4"/>
  <c r="V37" i="4"/>
  <c r="W37" i="4"/>
  <c r="X37" i="4"/>
  <c r="Y37" i="4"/>
  <c r="Z37" i="4"/>
  <c r="AA37" i="4"/>
  <c r="AB37" i="4"/>
  <c r="AC37" i="4"/>
  <c r="AD37" i="4"/>
  <c r="AE37" i="4"/>
  <c r="AF37" i="4"/>
  <c r="AG37" i="4"/>
  <c r="H38" i="4"/>
  <c r="I38" i="4"/>
  <c r="J38" i="4"/>
  <c r="K38" i="4"/>
  <c r="L38" i="4"/>
  <c r="M38" i="4"/>
  <c r="N38" i="4"/>
  <c r="O38" i="4"/>
  <c r="P38" i="4"/>
  <c r="Q38" i="4"/>
  <c r="R38" i="4"/>
  <c r="S38" i="4"/>
  <c r="V38" i="4"/>
  <c r="W38" i="4"/>
  <c r="X38" i="4"/>
  <c r="Y38" i="4"/>
  <c r="Z38" i="4"/>
  <c r="AA38" i="4"/>
  <c r="AB38" i="4"/>
  <c r="AC38" i="4"/>
  <c r="AD38" i="4"/>
  <c r="AE38" i="4"/>
  <c r="AF38" i="4"/>
  <c r="AG38" i="4"/>
  <c r="H39" i="4"/>
  <c r="I39" i="4"/>
  <c r="J39" i="4"/>
  <c r="K39" i="4"/>
  <c r="L39" i="4"/>
  <c r="M39" i="4"/>
  <c r="N39" i="4"/>
  <c r="O39" i="4"/>
  <c r="P39" i="4"/>
  <c r="Q39" i="4"/>
  <c r="R39" i="4"/>
  <c r="S39" i="4"/>
  <c r="V39" i="4"/>
  <c r="W39" i="4"/>
  <c r="X39" i="4"/>
  <c r="Y39" i="4"/>
  <c r="Z39" i="4"/>
  <c r="AA39" i="4"/>
  <c r="AB39" i="4"/>
  <c r="AC39" i="4"/>
  <c r="AD39" i="4"/>
  <c r="AE39" i="4"/>
  <c r="AF39" i="4"/>
  <c r="AG39" i="4"/>
  <c r="H40" i="4"/>
  <c r="I40" i="4"/>
  <c r="J40" i="4"/>
  <c r="K40" i="4"/>
  <c r="L40" i="4"/>
  <c r="M40" i="4"/>
  <c r="N40" i="4"/>
  <c r="O40" i="4"/>
  <c r="P40" i="4"/>
  <c r="Q40" i="4"/>
  <c r="R40" i="4"/>
  <c r="S40" i="4"/>
  <c r="V40" i="4"/>
  <c r="W40" i="4"/>
  <c r="X40" i="4"/>
  <c r="Y40" i="4"/>
  <c r="Z40" i="4"/>
  <c r="AA40" i="4"/>
  <c r="AB40" i="4"/>
  <c r="AC40" i="4"/>
  <c r="AD40" i="4"/>
  <c r="AE40" i="4"/>
  <c r="AF40" i="4"/>
  <c r="AG40" i="4"/>
  <c r="H41" i="4"/>
  <c r="I41" i="4"/>
  <c r="J41" i="4"/>
  <c r="K41" i="4"/>
  <c r="L41" i="4"/>
  <c r="M41" i="4"/>
  <c r="N41" i="4"/>
  <c r="O41" i="4"/>
  <c r="P41" i="4"/>
  <c r="Q41" i="4"/>
  <c r="R41" i="4"/>
  <c r="S41" i="4"/>
  <c r="V41" i="4"/>
  <c r="W41" i="4"/>
  <c r="X41" i="4"/>
  <c r="Y41" i="4"/>
  <c r="Z41" i="4"/>
  <c r="AA41" i="4"/>
  <c r="AB41" i="4"/>
  <c r="AC41" i="4"/>
  <c r="AD41" i="4"/>
  <c r="AE41" i="4"/>
  <c r="AF41" i="4"/>
  <c r="AG41" i="4"/>
  <c r="H42" i="4"/>
  <c r="I42" i="4"/>
  <c r="J42" i="4"/>
  <c r="K42" i="4"/>
  <c r="L42" i="4"/>
  <c r="M42" i="4"/>
  <c r="N42" i="4"/>
  <c r="O42" i="4"/>
  <c r="P42" i="4"/>
  <c r="Q42" i="4"/>
  <c r="R42" i="4"/>
  <c r="S42" i="4"/>
  <c r="V42" i="4"/>
  <c r="W42" i="4"/>
  <c r="X42" i="4"/>
  <c r="Y42" i="4"/>
  <c r="Z42" i="4"/>
  <c r="AA42" i="4"/>
  <c r="AB42" i="4"/>
  <c r="AC42" i="4"/>
  <c r="AD42" i="4"/>
  <c r="AE42" i="4"/>
  <c r="AF42" i="4"/>
  <c r="AG42" i="4"/>
  <c r="H43" i="4"/>
  <c r="I43" i="4"/>
  <c r="J43" i="4"/>
  <c r="K43" i="4"/>
  <c r="L43" i="4"/>
  <c r="M43" i="4"/>
  <c r="N43" i="4"/>
  <c r="O43" i="4"/>
  <c r="P43" i="4"/>
  <c r="Q43" i="4"/>
  <c r="R43" i="4"/>
  <c r="S43" i="4"/>
  <c r="V43" i="4"/>
  <c r="W43" i="4"/>
  <c r="X43" i="4"/>
  <c r="Y43" i="4"/>
  <c r="Z43" i="4"/>
  <c r="AA43" i="4"/>
  <c r="AB43" i="4"/>
  <c r="AC43" i="4"/>
  <c r="AD43" i="4"/>
  <c r="AE43" i="4"/>
  <c r="AF43" i="4"/>
  <c r="AG43" i="4"/>
  <c r="H44" i="4"/>
  <c r="I44" i="4"/>
  <c r="J44" i="4"/>
  <c r="K44" i="4"/>
  <c r="L44" i="4"/>
  <c r="M44" i="4"/>
  <c r="N44" i="4"/>
  <c r="O44" i="4"/>
  <c r="P44" i="4"/>
  <c r="Q44" i="4"/>
  <c r="R44" i="4"/>
  <c r="S44" i="4"/>
  <c r="V44" i="4"/>
  <c r="W44" i="4"/>
  <c r="X44" i="4"/>
  <c r="Y44" i="4"/>
  <c r="Z44" i="4"/>
  <c r="AA44" i="4"/>
  <c r="AB44" i="4"/>
  <c r="AC44" i="4"/>
  <c r="AD44" i="4"/>
  <c r="AE44" i="4"/>
  <c r="AF44" i="4"/>
  <c r="AG44" i="4"/>
  <c r="H45" i="4"/>
  <c r="I45" i="4"/>
  <c r="J45" i="4"/>
  <c r="K45" i="4"/>
  <c r="L45" i="4"/>
  <c r="M45" i="4"/>
  <c r="N45" i="4"/>
  <c r="O45" i="4"/>
  <c r="P45" i="4"/>
  <c r="Q45" i="4"/>
  <c r="R45" i="4"/>
  <c r="S45" i="4"/>
  <c r="V45" i="4"/>
  <c r="W45" i="4"/>
  <c r="X45" i="4"/>
  <c r="Y45" i="4"/>
  <c r="Z45" i="4"/>
  <c r="AA45" i="4"/>
  <c r="AB45" i="4"/>
  <c r="AC45" i="4"/>
  <c r="AD45" i="4"/>
  <c r="AE45" i="4"/>
  <c r="AF45" i="4"/>
  <c r="AG45" i="4"/>
  <c r="H46" i="4"/>
  <c r="I46" i="4"/>
  <c r="J46" i="4"/>
  <c r="K46" i="4"/>
  <c r="L46" i="4"/>
  <c r="M46" i="4"/>
  <c r="N46" i="4"/>
  <c r="O46" i="4"/>
  <c r="P46" i="4"/>
  <c r="Q46" i="4"/>
  <c r="R46" i="4"/>
  <c r="S46" i="4"/>
  <c r="V46" i="4"/>
  <c r="W46" i="4"/>
  <c r="X46" i="4"/>
  <c r="Y46" i="4"/>
  <c r="Z46" i="4"/>
  <c r="AA46" i="4"/>
  <c r="AB46" i="4"/>
  <c r="AC46" i="4"/>
  <c r="AD46" i="4"/>
  <c r="AE46" i="4"/>
  <c r="AF46" i="4"/>
  <c r="AG46" i="4"/>
  <c r="H47" i="4"/>
  <c r="I47" i="4"/>
  <c r="J47" i="4"/>
  <c r="K47" i="4"/>
  <c r="L47" i="4"/>
  <c r="M47" i="4"/>
  <c r="N47" i="4"/>
  <c r="O47" i="4"/>
  <c r="P47" i="4"/>
  <c r="Q47" i="4"/>
  <c r="R47" i="4"/>
  <c r="S47" i="4"/>
  <c r="V47" i="4"/>
  <c r="W47" i="4"/>
  <c r="X47" i="4"/>
  <c r="Y47" i="4"/>
  <c r="Z47" i="4"/>
  <c r="AA47" i="4"/>
  <c r="AB47" i="4"/>
  <c r="AC47" i="4"/>
  <c r="AD47" i="4"/>
  <c r="AE47" i="4"/>
  <c r="AF47" i="4"/>
  <c r="AG47" i="4"/>
  <c r="H48" i="4"/>
  <c r="I48" i="4"/>
  <c r="J48" i="4"/>
  <c r="K48" i="4"/>
  <c r="L48" i="4"/>
  <c r="M48" i="4"/>
  <c r="N48" i="4"/>
  <c r="O48" i="4"/>
  <c r="P48" i="4"/>
  <c r="Q48" i="4"/>
  <c r="R48" i="4"/>
  <c r="S48" i="4"/>
  <c r="V48" i="4"/>
  <c r="W48" i="4"/>
  <c r="X48" i="4"/>
  <c r="Y48" i="4"/>
  <c r="Z48" i="4"/>
  <c r="AA48" i="4"/>
  <c r="AB48" i="4"/>
  <c r="AC48" i="4"/>
  <c r="AD48" i="4"/>
  <c r="AE48" i="4"/>
  <c r="AF48" i="4"/>
  <c r="AG48" i="4"/>
  <c r="H49" i="4"/>
  <c r="I49" i="4"/>
  <c r="J49" i="4"/>
  <c r="K49" i="4"/>
  <c r="L49" i="4"/>
  <c r="M49" i="4"/>
  <c r="N49" i="4"/>
  <c r="O49" i="4"/>
  <c r="P49" i="4"/>
  <c r="Q49" i="4"/>
  <c r="R49" i="4"/>
  <c r="S49" i="4"/>
  <c r="V49" i="4"/>
  <c r="W49" i="4"/>
  <c r="X49" i="4"/>
  <c r="Y49" i="4"/>
  <c r="Z49" i="4"/>
  <c r="AA49" i="4"/>
  <c r="AB49" i="4"/>
  <c r="AC49" i="4"/>
  <c r="AD49" i="4"/>
  <c r="AE49" i="4"/>
  <c r="AF49" i="4"/>
  <c r="AG49" i="4"/>
  <c r="H50" i="4"/>
  <c r="I50" i="4"/>
  <c r="J50" i="4"/>
  <c r="K50" i="4"/>
  <c r="L50" i="4"/>
  <c r="M50" i="4"/>
  <c r="N50" i="4"/>
  <c r="O50" i="4"/>
  <c r="P50" i="4"/>
  <c r="Q50" i="4"/>
  <c r="R50" i="4"/>
  <c r="S50" i="4"/>
  <c r="V50" i="4"/>
  <c r="W50" i="4"/>
  <c r="X50" i="4"/>
  <c r="Y50" i="4"/>
  <c r="Z50" i="4"/>
  <c r="AA50" i="4"/>
  <c r="AB50" i="4"/>
  <c r="AC50" i="4"/>
  <c r="AD50" i="4"/>
  <c r="AE50" i="4"/>
  <c r="AF50" i="4"/>
  <c r="AG50" i="4"/>
  <c r="H51" i="4"/>
  <c r="I51" i="4"/>
  <c r="J51" i="4"/>
  <c r="K51" i="4"/>
  <c r="L51" i="4"/>
  <c r="M51" i="4"/>
  <c r="N51" i="4"/>
  <c r="O51" i="4"/>
  <c r="P51" i="4"/>
  <c r="Q51" i="4"/>
  <c r="R51" i="4"/>
  <c r="S51" i="4"/>
  <c r="V51" i="4"/>
  <c r="W51" i="4"/>
  <c r="X51" i="4"/>
  <c r="Y51" i="4"/>
  <c r="Z51" i="4"/>
  <c r="AA51" i="4"/>
  <c r="AB51" i="4"/>
  <c r="AC51" i="4"/>
  <c r="AD51" i="4"/>
  <c r="AE51" i="4"/>
  <c r="AF51" i="4"/>
  <c r="AG51" i="4"/>
  <c r="H52" i="4"/>
  <c r="I52" i="4"/>
  <c r="J52" i="4"/>
  <c r="K52" i="4"/>
  <c r="L52" i="4"/>
  <c r="M52" i="4"/>
  <c r="N52" i="4"/>
  <c r="O52" i="4"/>
  <c r="P52" i="4"/>
  <c r="Q52" i="4"/>
  <c r="R52" i="4"/>
  <c r="S52" i="4"/>
  <c r="V52" i="4"/>
  <c r="W52" i="4"/>
  <c r="X52" i="4"/>
  <c r="Y52" i="4"/>
  <c r="Z52" i="4"/>
  <c r="AA52" i="4"/>
  <c r="AB52" i="4"/>
  <c r="AC52" i="4"/>
  <c r="AD52" i="4"/>
  <c r="AE52" i="4"/>
  <c r="AF52" i="4"/>
  <c r="AG52" i="4"/>
  <c r="H53" i="4"/>
  <c r="I53" i="4"/>
  <c r="J53" i="4"/>
  <c r="K53" i="4"/>
  <c r="L53" i="4"/>
  <c r="M53" i="4"/>
  <c r="N53" i="4"/>
  <c r="O53" i="4"/>
  <c r="P53" i="4"/>
  <c r="Q53" i="4"/>
  <c r="R53" i="4"/>
  <c r="S53" i="4"/>
  <c r="V53" i="4"/>
  <c r="W53" i="4"/>
  <c r="X53" i="4"/>
  <c r="Y53" i="4"/>
  <c r="Z53" i="4"/>
  <c r="AA53" i="4"/>
  <c r="AB53" i="4"/>
  <c r="AC53" i="4"/>
  <c r="AD53" i="4"/>
  <c r="AE53" i="4"/>
  <c r="AF53" i="4"/>
  <c r="AG53" i="4"/>
  <c r="H54" i="4"/>
  <c r="I54" i="4"/>
  <c r="J54" i="4"/>
  <c r="K54" i="4"/>
  <c r="L54" i="4"/>
  <c r="M54" i="4"/>
  <c r="N54" i="4"/>
  <c r="O54" i="4"/>
  <c r="P54" i="4"/>
  <c r="Q54" i="4"/>
  <c r="R54" i="4"/>
  <c r="S54" i="4"/>
  <c r="V54" i="4"/>
  <c r="W54" i="4"/>
  <c r="X54" i="4"/>
  <c r="Y54" i="4"/>
  <c r="Z54" i="4"/>
  <c r="AA54" i="4"/>
  <c r="AB54" i="4"/>
  <c r="AC54" i="4"/>
  <c r="AD54" i="4"/>
  <c r="AE54" i="4"/>
  <c r="AF54" i="4"/>
  <c r="AG54" i="4"/>
  <c r="H55" i="4"/>
  <c r="I55" i="4"/>
  <c r="J55" i="4"/>
  <c r="K55" i="4"/>
  <c r="L55" i="4"/>
  <c r="M55" i="4"/>
  <c r="N55" i="4"/>
  <c r="O55" i="4"/>
  <c r="P55" i="4"/>
  <c r="Q55" i="4"/>
  <c r="R55" i="4"/>
  <c r="S55" i="4"/>
  <c r="V55" i="4"/>
  <c r="W55" i="4"/>
  <c r="X55" i="4"/>
  <c r="Y55" i="4"/>
  <c r="Z55" i="4"/>
  <c r="AA55" i="4"/>
  <c r="AB55" i="4"/>
  <c r="AC55" i="4"/>
  <c r="AD55" i="4"/>
  <c r="AE55" i="4"/>
  <c r="AF55" i="4"/>
  <c r="AG55" i="4"/>
  <c r="H56" i="4"/>
  <c r="I56" i="4"/>
  <c r="J56" i="4"/>
  <c r="K56" i="4"/>
  <c r="L56" i="4"/>
  <c r="M56" i="4"/>
  <c r="N56" i="4"/>
  <c r="O56" i="4"/>
  <c r="P56" i="4"/>
  <c r="Q56" i="4"/>
  <c r="R56" i="4"/>
  <c r="S56" i="4"/>
  <c r="V56" i="4"/>
  <c r="W56" i="4"/>
  <c r="X56" i="4"/>
  <c r="Y56" i="4"/>
  <c r="Z56" i="4"/>
  <c r="AA56" i="4"/>
  <c r="AB56" i="4"/>
  <c r="AC56" i="4"/>
  <c r="AD56" i="4"/>
  <c r="AE56" i="4"/>
  <c r="AF56" i="4"/>
  <c r="AG56" i="4"/>
  <c r="H57" i="4"/>
  <c r="I57" i="4"/>
  <c r="J57" i="4"/>
  <c r="K57" i="4"/>
  <c r="L57" i="4"/>
  <c r="M57" i="4"/>
  <c r="N57" i="4"/>
  <c r="O57" i="4"/>
  <c r="P57" i="4"/>
  <c r="Q57" i="4"/>
  <c r="R57" i="4"/>
  <c r="S57" i="4"/>
  <c r="V57" i="4"/>
  <c r="W57" i="4"/>
  <c r="X57" i="4"/>
  <c r="Y57" i="4"/>
  <c r="Z57" i="4"/>
  <c r="AA57" i="4"/>
  <c r="AB57" i="4"/>
  <c r="AC57" i="4"/>
  <c r="AD57" i="4"/>
  <c r="AE57" i="4"/>
  <c r="AF57" i="4"/>
  <c r="AG57" i="4"/>
  <c r="H58" i="4"/>
  <c r="I58" i="4"/>
  <c r="J58" i="4"/>
  <c r="K58" i="4"/>
  <c r="L58" i="4"/>
  <c r="M58" i="4"/>
  <c r="N58" i="4"/>
  <c r="O58" i="4"/>
  <c r="P58" i="4"/>
  <c r="Q58" i="4"/>
  <c r="R58" i="4"/>
  <c r="S58" i="4"/>
  <c r="V58" i="4"/>
  <c r="W58" i="4"/>
  <c r="X58" i="4"/>
  <c r="Y58" i="4"/>
  <c r="Z58" i="4"/>
  <c r="AA58" i="4"/>
  <c r="AB58" i="4"/>
  <c r="AC58" i="4"/>
  <c r="AD58" i="4"/>
  <c r="AE58" i="4"/>
  <c r="AF58" i="4"/>
  <c r="AG58" i="4"/>
  <c r="H59" i="4"/>
  <c r="I59" i="4"/>
  <c r="J59" i="4"/>
  <c r="K59" i="4"/>
  <c r="L59" i="4"/>
  <c r="M59" i="4"/>
  <c r="N59" i="4"/>
  <c r="O59" i="4"/>
  <c r="P59" i="4"/>
  <c r="Q59" i="4"/>
  <c r="R59" i="4"/>
  <c r="S59" i="4"/>
  <c r="V59" i="4"/>
  <c r="W59" i="4"/>
  <c r="X59" i="4"/>
  <c r="Y59" i="4"/>
  <c r="Z59" i="4"/>
  <c r="AA59" i="4"/>
  <c r="AB59" i="4"/>
  <c r="AC59" i="4"/>
  <c r="AD59" i="4"/>
  <c r="AE59" i="4"/>
  <c r="AF59" i="4"/>
  <c r="AG59" i="4"/>
  <c r="H60" i="4"/>
  <c r="I60" i="4"/>
  <c r="J60" i="4"/>
  <c r="K60" i="4"/>
  <c r="L60" i="4"/>
  <c r="M60" i="4"/>
  <c r="N60" i="4"/>
  <c r="O60" i="4"/>
  <c r="P60" i="4"/>
  <c r="Q60" i="4"/>
  <c r="R60" i="4"/>
  <c r="S60" i="4"/>
  <c r="V60" i="4"/>
  <c r="W60" i="4"/>
  <c r="X60" i="4"/>
  <c r="Y60" i="4"/>
  <c r="Z60" i="4"/>
  <c r="AA60" i="4"/>
  <c r="AB60" i="4"/>
  <c r="AC60" i="4"/>
  <c r="AD60" i="4"/>
  <c r="AE60" i="4"/>
  <c r="AF60" i="4"/>
  <c r="AG60" i="4"/>
  <c r="H61" i="4"/>
  <c r="I61" i="4"/>
  <c r="J61" i="4"/>
  <c r="K61" i="4"/>
  <c r="L61" i="4"/>
  <c r="M61" i="4"/>
  <c r="N61" i="4"/>
  <c r="O61" i="4"/>
  <c r="P61" i="4"/>
  <c r="Q61" i="4"/>
  <c r="R61" i="4"/>
  <c r="S61" i="4"/>
  <c r="V61" i="4"/>
  <c r="W61" i="4"/>
  <c r="X61" i="4"/>
  <c r="Y61" i="4"/>
  <c r="Z61" i="4"/>
  <c r="AA61" i="4"/>
  <c r="AB61" i="4"/>
  <c r="AC61" i="4"/>
  <c r="AD61" i="4"/>
  <c r="AE61" i="4"/>
  <c r="AF61" i="4"/>
  <c r="AG61" i="4"/>
  <c r="H62" i="4"/>
  <c r="I62" i="4"/>
  <c r="J62" i="4"/>
  <c r="K62" i="4"/>
  <c r="L62" i="4"/>
  <c r="M62" i="4"/>
  <c r="N62" i="4"/>
  <c r="O62" i="4"/>
  <c r="P62" i="4"/>
  <c r="Q62" i="4"/>
  <c r="R62" i="4"/>
  <c r="S62" i="4"/>
  <c r="V62" i="4"/>
  <c r="W62" i="4"/>
  <c r="X62" i="4"/>
  <c r="Y62" i="4"/>
  <c r="Z62" i="4"/>
  <c r="AA62" i="4"/>
  <c r="AB62" i="4"/>
  <c r="AC62" i="4"/>
  <c r="AD62" i="4"/>
  <c r="AE62" i="4"/>
  <c r="AF62" i="4"/>
  <c r="AG62" i="4"/>
  <c r="H63" i="4"/>
  <c r="I63" i="4"/>
  <c r="J63" i="4"/>
  <c r="K63" i="4"/>
  <c r="L63" i="4"/>
  <c r="M63" i="4"/>
  <c r="N63" i="4"/>
  <c r="O63" i="4"/>
  <c r="P63" i="4"/>
  <c r="Q63" i="4"/>
  <c r="R63" i="4"/>
  <c r="S63" i="4"/>
  <c r="V63" i="4"/>
  <c r="W63" i="4"/>
  <c r="X63" i="4"/>
  <c r="Y63" i="4"/>
  <c r="Z63" i="4"/>
  <c r="AA63" i="4"/>
  <c r="AB63" i="4"/>
  <c r="AC63" i="4"/>
  <c r="AD63" i="4"/>
  <c r="AE63" i="4"/>
  <c r="AF63" i="4"/>
  <c r="AG63" i="4"/>
  <c r="H64" i="4"/>
  <c r="I64" i="4"/>
  <c r="J64" i="4"/>
  <c r="K64" i="4"/>
  <c r="L64" i="4"/>
  <c r="M64" i="4"/>
  <c r="N64" i="4"/>
  <c r="O64" i="4"/>
  <c r="P64" i="4"/>
  <c r="Q64" i="4"/>
  <c r="R64" i="4"/>
  <c r="S64" i="4"/>
  <c r="V64" i="4"/>
  <c r="W64" i="4"/>
  <c r="X64" i="4"/>
  <c r="Y64" i="4"/>
  <c r="Z64" i="4"/>
  <c r="AA64" i="4"/>
  <c r="AB64" i="4"/>
  <c r="AC64" i="4"/>
  <c r="AD64" i="4"/>
  <c r="AE64" i="4"/>
  <c r="AF64" i="4"/>
  <c r="AG64" i="4"/>
  <c r="H65" i="4"/>
  <c r="I65" i="4"/>
  <c r="J65" i="4"/>
  <c r="K65" i="4"/>
  <c r="L65" i="4"/>
  <c r="M65" i="4"/>
  <c r="N65" i="4"/>
  <c r="O65" i="4"/>
  <c r="P65" i="4"/>
  <c r="Q65" i="4"/>
  <c r="R65" i="4"/>
  <c r="S65" i="4"/>
  <c r="V65" i="4"/>
  <c r="W65" i="4"/>
  <c r="X65" i="4"/>
  <c r="Y65" i="4"/>
  <c r="Z65" i="4"/>
  <c r="AA65" i="4"/>
  <c r="AB65" i="4"/>
  <c r="AC65" i="4"/>
  <c r="AD65" i="4"/>
  <c r="AE65" i="4"/>
  <c r="AF65" i="4"/>
  <c r="AG65" i="4"/>
  <c r="H66" i="4"/>
  <c r="I66" i="4"/>
  <c r="J66" i="4"/>
  <c r="K66" i="4"/>
  <c r="L66" i="4"/>
  <c r="M66" i="4"/>
  <c r="N66" i="4"/>
  <c r="O66" i="4"/>
  <c r="P66" i="4"/>
  <c r="Q66" i="4"/>
  <c r="R66" i="4"/>
  <c r="S66" i="4"/>
  <c r="V66" i="4"/>
  <c r="W66" i="4"/>
  <c r="X66" i="4"/>
  <c r="Y66" i="4"/>
  <c r="Z66" i="4"/>
  <c r="AA66" i="4"/>
  <c r="AB66" i="4"/>
  <c r="AC66" i="4"/>
  <c r="AD66" i="4"/>
  <c r="AE66" i="4"/>
  <c r="AF66" i="4"/>
  <c r="AG66" i="4"/>
  <c r="H67" i="4"/>
  <c r="I67" i="4"/>
  <c r="J67" i="4"/>
  <c r="K67" i="4"/>
  <c r="L67" i="4"/>
  <c r="M67" i="4"/>
  <c r="N67" i="4"/>
  <c r="O67" i="4"/>
  <c r="P67" i="4"/>
  <c r="Q67" i="4"/>
  <c r="R67" i="4"/>
  <c r="S67" i="4"/>
  <c r="V67" i="4"/>
  <c r="W67" i="4"/>
  <c r="X67" i="4"/>
  <c r="Y67" i="4"/>
  <c r="Z67" i="4"/>
  <c r="AA67" i="4"/>
  <c r="AB67" i="4"/>
  <c r="AC67" i="4"/>
  <c r="AD67" i="4"/>
  <c r="AE67" i="4"/>
  <c r="AF67" i="4"/>
  <c r="AG67" i="4"/>
  <c r="BR4" i="10"/>
  <c r="BR5" i="10"/>
  <c r="BR6" i="10"/>
  <c r="BR7" i="10"/>
  <c r="BR8" i="10"/>
  <c r="BR9" i="10"/>
  <c r="BR10" i="10"/>
  <c r="BR11" i="10"/>
  <c r="BR12" i="10"/>
  <c r="BR13" i="10"/>
  <c r="BR14" i="10"/>
  <c r="BR15" i="10"/>
  <c r="BR16" i="10"/>
  <c r="BR17" i="10"/>
  <c r="BR18" i="10"/>
  <c r="BR19" i="10"/>
  <c r="BR20" i="10"/>
  <c r="BR21" i="10"/>
  <c r="BR22" i="10"/>
  <c r="BR23" i="10"/>
  <c r="BR24" i="10"/>
  <c r="BR25" i="10"/>
  <c r="BR26" i="10"/>
  <c r="BR27" i="10"/>
  <c r="BR28" i="10"/>
  <c r="BR29" i="10"/>
  <c r="BR30" i="10"/>
  <c r="BR31" i="10"/>
  <c r="BR32" i="10"/>
  <c r="BR3" i="10"/>
  <c r="BQ3" i="10"/>
  <c r="BN4" i="10"/>
  <c r="BN5" i="10"/>
  <c r="BN6" i="10"/>
  <c r="BN7" i="10"/>
  <c r="BN8" i="10"/>
  <c r="BN9" i="10"/>
  <c r="BN10" i="10"/>
  <c r="BN11" i="10"/>
  <c r="BN12" i="10"/>
  <c r="BN13" i="10"/>
  <c r="BN14" i="10"/>
  <c r="BN15" i="10"/>
  <c r="BN16" i="10"/>
  <c r="BN17" i="10"/>
  <c r="BN18" i="10"/>
  <c r="BN19" i="10"/>
  <c r="BN20" i="10"/>
  <c r="BN21" i="10"/>
  <c r="BN22" i="10"/>
  <c r="BN23" i="10"/>
  <c r="BN24" i="10"/>
  <c r="BN25" i="10"/>
  <c r="BN26" i="10"/>
  <c r="BN27" i="10"/>
  <c r="BN28" i="10"/>
  <c r="BN29" i="10"/>
  <c r="BN30" i="10"/>
  <c r="BN31" i="10"/>
  <c r="BN32" i="10"/>
  <c r="BN3" i="10"/>
  <c r="BL3" i="10"/>
  <c r="BP3" i="10"/>
  <c r="B17" i="2"/>
  <c r="F127" i="17"/>
  <c r="P76" i="2"/>
  <c r="Q76" i="2"/>
  <c r="R76" i="2"/>
  <c r="S76" i="2"/>
  <c r="C76" i="2"/>
  <c r="D76" i="2"/>
  <c r="E76" i="2"/>
  <c r="F76" i="2"/>
  <c r="G76" i="2"/>
  <c r="H76" i="2"/>
  <c r="I76" i="2"/>
  <c r="J76" i="2"/>
  <c r="K76" i="2"/>
  <c r="L76" i="2"/>
  <c r="M76" i="2"/>
  <c r="N76" i="2"/>
  <c r="O76" i="2"/>
  <c r="B76" i="2"/>
  <c r="B75" i="2"/>
  <c r="B71" i="2"/>
  <c r="B73" i="2" s="1"/>
  <c r="F32" i="39"/>
  <c r="Q66" i="2" s="1"/>
  <c r="F33" i="39"/>
  <c r="Q67" i="2" s="1"/>
  <c r="F34" i="39"/>
  <c r="Q68" i="2" s="1"/>
  <c r="F35" i="39"/>
  <c r="Q69" i="2" s="1"/>
  <c r="F31" i="39"/>
  <c r="Q65" i="2" s="1"/>
  <c r="F34" i="38"/>
  <c r="P66" i="2" s="1"/>
  <c r="F35" i="38"/>
  <c r="P67" i="2" s="1"/>
  <c r="F36" i="38"/>
  <c r="P68" i="2" s="1"/>
  <c r="F37" i="38"/>
  <c r="P69" i="2" s="1"/>
  <c r="F33" i="38"/>
  <c r="P65" i="2" s="1"/>
  <c r="F35" i="37"/>
  <c r="F36" i="37"/>
  <c r="F37" i="37"/>
  <c r="F38" i="37"/>
  <c r="F34" i="37"/>
  <c r="F43" i="36"/>
  <c r="F44" i="36"/>
  <c r="F45" i="36"/>
  <c r="F46" i="36"/>
  <c r="F42" i="36"/>
  <c r="F36" i="35"/>
  <c r="F37" i="35"/>
  <c r="F38" i="35"/>
  <c r="F39" i="35"/>
  <c r="F35" i="35"/>
  <c r="F28" i="34"/>
  <c r="O66" i="2" s="1"/>
  <c r="O85" i="2" s="1"/>
  <c r="F29" i="34"/>
  <c r="O67" i="2" s="1"/>
  <c r="O86" i="2" s="1"/>
  <c r="F30" i="34"/>
  <c r="O68" i="2" s="1"/>
  <c r="O87" i="2" s="1"/>
  <c r="F31" i="34"/>
  <c r="O69" i="2" s="1"/>
  <c r="O88" i="2" s="1"/>
  <c r="F27" i="34"/>
  <c r="O65" i="2" s="1"/>
  <c r="O84" i="2" s="1"/>
  <c r="F43" i="33"/>
  <c r="N66" i="2" s="1"/>
  <c r="F44" i="33"/>
  <c r="N67" i="2" s="1"/>
  <c r="F45" i="33"/>
  <c r="N68" i="2" s="1"/>
  <c r="F46" i="33"/>
  <c r="N69" i="2" s="1"/>
  <c r="F42" i="33"/>
  <c r="N65" i="2" s="1"/>
  <c r="F37" i="32"/>
  <c r="M65" i="2" s="1"/>
  <c r="F44" i="31"/>
  <c r="F45" i="31"/>
  <c r="F46" i="31"/>
  <c r="F47" i="31"/>
  <c r="F43" i="31"/>
  <c r="F37" i="30"/>
  <c r="F45" i="29"/>
  <c r="F46" i="29"/>
  <c r="F47" i="29"/>
  <c r="F48" i="29"/>
  <c r="F44" i="29"/>
  <c r="F48" i="28"/>
  <c r="L66" i="2" s="1"/>
  <c r="F49" i="28"/>
  <c r="L67" i="2" s="1"/>
  <c r="F50" i="28"/>
  <c r="L68" i="2" s="1"/>
  <c r="F51" i="28"/>
  <c r="L69" i="2" s="1"/>
  <c r="F47" i="28"/>
  <c r="L65" i="2" s="1"/>
  <c r="L84" i="2" s="1"/>
  <c r="F33" i="27"/>
  <c r="K66" i="2" s="1"/>
  <c r="F34" i="27"/>
  <c r="K67" i="2" s="1"/>
  <c r="F35" i="27"/>
  <c r="K68" i="2" s="1"/>
  <c r="F36" i="27"/>
  <c r="K69" i="2" s="1"/>
  <c r="F32" i="27"/>
  <c r="K65" i="2" s="1"/>
  <c r="F26" i="26"/>
  <c r="J66" i="2" s="1"/>
  <c r="F27" i="26"/>
  <c r="J67" i="2" s="1"/>
  <c r="F28" i="26"/>
  <c r="J68" i="2" s="1"/>
  <c r="F29" i="26"/>
  <c r="J69" i="2" s="1"/>
  <c r="F25" i="26"/>
  <c r="J65" i="2" s="1"/>
  <c r="F30" i="25"/>
  <c r="F31" i="25"/>
  <c r="F32" i="25"/>
  <c r="F33" i="25"/>
  <c r="F29" i="25"/>
  <c r="F39" i="24"/>
  <c r="F40" i="24"/>
  <c r="F41" i="24"/>
  <c r="F42" i="24"/>
  <c r="F38" i="24"/>
  <c r="F31" i="23"/>
  <c r="F32" i="23"/>
  <c r="F33" i="23"/>
  <c r="F34" i="23"/>
  <c r="F30" i="23"/>
  <c r="F44" i="22"/>
  <c r="I66" i="2" s="1"/>
  <c r="I85" i="2" s="1"/>
  <c r="F45" i="22"/>
  <c r="I67" i="2" s="1"/>
  <c r="I86" i="2" s="1"/>
  <c r="F46" i="22"/>
  <c r="I68" i="2" s="1"/>
  <c r="I87" i="2" s="1"/>
  <c r="F47" i="22"/>
  <c r="I69" i="2" s="1"/>
  <c r="I88" i="2" s="1"/>
  <c r="F43" i="22"/>
  <c r="I65" i="2" s="1"/>
  <c r="I84" i="2" s="1"/>
  <c r="F45" i="21"/>
  <c r="H66" i="2" s="1"/>
  <c r="F46" i="21"/>
  <c r="H67" i="2" s="1"/>
  <c r="F47" i="21"/>
  <c r="H68" i="2" s="1"/>
  <c r="F48" i="21"/>
  <c r="H69" i="2" s="1"/>
  <c r="F44" i="21"/>
  <c r="H65" i="2" s="1"/>
  <c r="F49" i="20"/>
  <c r="S66" i="2" s="1"/>
  <c r="F50" i="20"/>
  <c r="S67" i="2" s="1"/>
  <c r="F51" i="20"/>
  <c r="S68" i="2" s="1"/>
  <c r="F52" i="20"/>
  <c r="S69" i="2" s="1"/>
  <c r="F48" i="20"/>
  <c r="S65" i="2" s="1"/>
  <c r="F48" i="19"/>
  <c r="R66" i="2" s="1"/>
  <c r="F49" i="19"/>
  <c r="R67" i="2" s="1"/>
  <c r="F50" i="19"/>
  <c r="R68" i="2" s="1"/>
  <c r="F51" i="19"/>
  <c r="R69" i="2" s="1"/>
  <c r="F47" i="19"/>
  <c r="R65" i="2" s="1"/>
  <c r="F40" i="18"/>
  <c r="G66" i="2" s="1"/>
  <c r="F41" i="18"/>
  <c r="G67" i="2" s="1"/>
  <c r="F42" i="18"/>
  <c r="G68" i="2" s="1"/>
  <c r="F43" i="18"/>
  <c r="G69" i="2" s="1"/>
  <c r="F39" i="18"/>
  <c r="G65" i="2" s="1"/>
  <c r="F130" i="17"/>
  <c r="F66" i="2" s="1"/>
  <c r="F131" i="17"/>
  <c r="F67" i="2" s="1"/>
  <c r="F132" i="17"/>
  <c r="F68" i="2" s="1"/>
  <c r="F133" i="17"/>
  <c r="F69" i="2" s="1"/>
  <c r="F129" i="17"/>
  <c r="F65" i="2" s="1"/>
  <c r="F38" i="16"/>
  <c r="E66" i="2" s="1"/>
  <c r="F39" i="16"/>
  <c r="E67" i="2" s="1"/>
  <c r="F40" i="16"/>
  <c r="E68" i="2" s="1"/>
  <c r="F41" i="16"/>
  <c r="E69" i="2" s="1"/>
  <c r="F37" i="16"/>
  <c r="E65" i="2" s="1"/>
  <c r="F43" i="15"/>
  <c r="D66" i="2" s="1"/>
  <c r="F44" i="15"/>
  <c r="D67" i="2" s="1"/>
  <c r="F45" i="15"/>
  <c r="D68" i="2" s="1"/>
  <c r="F46" i="15"/>
  <c r="D69" i="2" s="1"/>
  <c r="F42" i="15"/>
  <c r="D65" i="2" s="1"/>
  <c r="F38" i="11"/>
  <c r="C66" i="2" s="1"/>
  <c r="C85" i="2" s="1"/>
  <c r="F39" i="11"/>
  <c r="C67" i="2" s="1"/>
  <c r="C86" i="2" s="1"/>
  <c r="F40" i="11"/>
  <c r="C68" i="2" s="1"/>
  <c r="C87" i="2" s="1"/>
  <c r="F41" i="11"/>
  <c r="C69" i="2" s="1"/>
  <c r="C88" i="2" s="1"/>
  <c r="F43" i="12"/>
  <c r="F44" i="12"/>
  <c r="F45" i="12"/>
  <c r="F46" i="12"/>
  <c r="F47" i="13"/>
  <c r="F48" i="13"/>
  <c r="F49" i="13"/>
  <c r="F50" i="13"/>
  <c r="F41" i="14"/>
  <c r="F42" i="14"/>
  <c r="F43" i="14"/>
  <c r="F44" i="14"/>
  <c r="F40" i="14"/>
  <c r="F46" i="13"/>
  <c r="F41" i="32"/>
  <c r="M69" i="2" s="1"/>
  <c r="F40" i="32"/>
  <c r="M68" i="2" s="1"/>
  <c r="F39" i="32"/>
  <c r="M67" i="2" s="1"/>
  <c r="F38" i="32"/>
  <c r="M66" i="2" s="1"/>
  <c r="F41" i="30"/>
  <c r="F40" i="30"/>
  <c r="F39" i="30"/>
  <c r="F38" i="30"/>
  <c r="F42" i="12"/>
  <c r="F37" i="11"/>
  <c r="C65" i="2" s="1"/>
  <c r="C84" i="2" s="1"/>
  <c r="T84" i="2" s="1"/>
  <c r="F35" i="11"/>
  <c r="B72" i="2"/>
  <c r="F37" i="39"/>
  <c r="Q70" i="2" s="1"/>
  <c r="F29" i="39"/>
  <c r="D31" i="39"/>
  <c r="Q63" i="2" s="1"/>
  <c r="D30" i="39"/>
  <c r="Q62" i="2" s="1"/>
  <c r="D29" i="39"/>
  <c r="Q61" i="2" s="1"/>
  <c r="Q71" i="2" s="1"/>
  <c r="F39" i="38"/>
  <c r="P70" i="2" s="1"/>
  <c r="F31" i="38"/>
  <c r="D33" i="38"/>
  <c r="P63" i="2" s="1"/>
  <c r="D32" i="38"/>
  <c r="P62" i="2" s="1"/>
  <c r="D31" i="38"/>
  <c r="P61" i="2" s="1"/>
  <c r="F40" i="37"/>
  <c r="F32" i="37"/>
  <c r="D34" i="37"/>
  <c r="D33" i="37"/>
  <c r="D32" i="37"/>
  <c r="F48" i="36"/>
  <c r="F40" i="36"/>
  <c r="D42" i="36"/>
  <c r="D41" i="36"/>
  <c r="D40" i="36"/>
  <c r="F33" i="35"/>
  <c r="F41" i="35"/>
  <c r="D35" i="35"/>
  <c r="D34" i="35"/>
  <c r="D33" i="35"/>
  <c r="F33" i="34"/>
  <c r="O70" i="2" s="1"/>
  <c r="F25" i="34"/>
  <c r="D27" i="34"/>
  <c r="O63" i="2" s="1"/>
  <c r="D26" i="34"/>
  <c r="O62" i="2" s="1"/>
  <c r="D25" i="34"/>
  <c r="O61" i="2" s="1"/>
  <c r="O71" i="2" s="1"/>
  <c r="F48" i="33"/>
  <c r="N70" i="2" s="1"/>
  <c r="F40" i="33"/>
  <c r="D42" i="33"/>
  <c r="N63" i="2" s="1"/>
  <c r="D41" i="33"/>
  <c r="N62" i="2" s="1"/>
  <c r="D40" i="33"/>
  <c r="N61" i="2" s="1"/>
  <c r="N71" i="2" s="1"/>
  <c r="F43" i="32"/>
  <c r="M70" i="2" s="1"/>
  <c r="F35" i="32"/>
  <c r="D37" i="32"/>
  <c r="M63" i="2" s="1"/>
  <c r="D36" i="32"/>
  <c r="M62" i="2" s="1"/>
  <c r="D35" i="32"/>
  <c r="M61" i="2" s="1"/>
  <c r="F49" i="31"/>
  <c r="F41" i="31"/>
  <c r="D43" i="31"/>
  <c r="D42" i="31"/>
  <c r="D41" i="31"/>
  <c r="F43" i="30"/>
  <c r="F35" i="30"/>
  <c r="D37" i="30"/>
  <c r="D36" i="30"/>
  <c r="D35" i="30"/>
  <c r="F50" i="29"/>
  <c r="F42" i="29"/>
  <c r="D44" i="29"/>
  <c r="D43" i="29"/>
  <c r="D42" i="29"/>
  <c r="F53" i="28"/>
  <c r="L70" i="2" s="1"/>
  <c r="F45" i="28"/>
  <c r="D47" i="28"/>
  <c r="L63" i="2" s="1"/>
  <c r="D46" i="28"/>
  <c r="L62" i="2" s="1"/>
  <c r="D45" i="28"/>
  <c r="L61" i="2" s="1"/>
  <c r="L71" i="2" s="1"/>
  <c r="L73" i="2" s="1"/>
  <c r="F38" i="27"/>
  <c r="K70" i="2" s="1"/>
  <c r="F30" i="27"/>
  <c r="D32" i="27"/>
  <c r="K63" i="2" s="1"/>
  <c r="D31" i="27"/>
  <c r="K62" i="2" s="1"/>
  <c r="D30" i="27"/>
  <c r="K61" i="2" s="1"/>
  <c r="F31" i="26"/>
  <c r="J70" i="2" s="1"/>
  <c r="F23" i="26"/>
  <c r="D25" i="26"/>
  <c r="J63" i="2" s="1"/>
  <c r="D24" i="26"/>
  <c r="J62" i="2" s="1"/>
  <c r="D23" i="26"/>
  <c r="J61" i="2" s="1"/>
  <c r="J71" i="2" s="1"/>
  <c r="J73" i="2" s="1"/>
  <c r="F35" i="25"/>
  <c r="F27" i="25"/>
  <c r="D29" i="25"/>
  <c r="D28" i="25"/>
  <c r="D27" i="25"/>
  <c r="F44" i="24"/>
  <c r="F36" i="24"/>
  <c r="D38" i="24"/>
  <c r="D37" i="24"/>
  <c r="D36" i="24"/>
  <c r="F36" i="23"/>
  <c r="F28" i="23"/>
  <c r="D30" i="23"/>
  <c r="D29" i="23"/>
  <c r="D28" i="23"/>
  <c r="F49" i="22"/>
  <c r="I70" i="2" s="1"/>
  <c r="F41" i="22"/>
  <c r="D43" i="22"/>
  <c r="I63" i="2" s="1"/>
  <c r="D42" i="22"/>
  <c r="I62" i="2" s="1"/>
  <c r="D41" i="22"/>
  <c r="I61" i="2" s="1"/>
  <c r="F50" i="21"/>
  <c r="H70" i="2" s="1"/>
  <c r="F42" i="21"/>
  <c r="D44" i="21"/>
  <c r="H63" i="2" s="1"/>
  <c r="D43" i="21"/>
  <c r="H62" i="2" s="1"/>
  <c r="D42" i="21"/>
  <c r="H61" i="2" s="1"/>
  <c r="F54" i="20"/>
  <c r="S70" i="2" s="1"/>
  <c r="F46" i="20"/>
  <c r="D48" i="20"/>
  <c r="S63" i="2" s="1"/>
  <c r="D47" i="20"/>
  <c r="S62" i="2" s="1"/>
  <c r="D46" i="20"/>
  <c r="S61" i="2" s="1"/>
  <c r="F53" i="19"/>
  <c r="R70" i="2" s="1"/>
  <c r="F45" i="19"/>
  <c r="D47" i="19"/>
  <c r="R63" i="2" s="1"/>
  <c r="D46" i="19"/>
  <c r="R62" i="2" s="1"/>
  <c r="D45" i="19"/>
  <c r="R61" i="2" s="1"/>
  <c r="R71" i="2" s="1"/>
  <c r="F45" i="18"/>
  <c r="G70" i="2" s="1"/>
  <c r="F37" i="18"/>
  <c r="D39" i="18"/>
  <c r="G63" i="2" s="1"/>
  <c r="D38" i="18"/>
  <c r="G62" i="2" s="1"/>
  <c r="D37" i="18"/>
  <c r="G61" i="2" s="1"/>
  <c r="G71" i="2" s="1"/>
  <c r="D129" i="17"/>
  <c r="F63" i="2" s="1"/>
  <c r="F135" i="17"/>
  <c r="F70" i="2" s="1"/>
  <c r="D128" i="17"/>
  <c r="F62" i="2" s="1"/>
  <c r="D127" i="17"/>
  <c r="F61" i="2" s="1"/>
  <c r="F43" i="16"/>
  <c r="E70" i="2" s="1"/>
  <c r="F35" i="16"/>
  <c r="D37" i="16"/>
  <c r="E63" i="2" s="1"/>
  <c r="D36" i="16"/>
  <c r="E62" i="2" s="1"/>
  <c r="D35" i="16"/>
  <c r="E61" i="2" s="1"/>
  <c r="F48" i="15"/>
  <c r="D70" i="2" s="1"/>
  <c r="F40" i="15"/>
  <c r="D42" i="15"/>
  <c r="D63" i="2" s="1"/>
  <c r="D41" i="15"/>
  <c r="D62" i="2" s="1"/>
  <c r="D40" i="15"/>
  <c r="D61" i="2" s="1"/>
  <c r="D71" i="2" s="1"/>
  <c r="D73" i="2" s="1"/>
  <c r="F46" i="14"/>
  <c r="F38" i="14"/>
  <c r="D40" i="14"/>
  <c r="D39" i="14"/>
  <c r="D38" i="14"/>
  <c r="F52" i="13"/>
  <c r="D46" i="13"/>
  <c r="D45" i="13"/>
  <c r="D44" i="13"/>
  <c r="D35" i="11"/>
  <c r="C61" i="2" s="1"/>
  <c r="D40" i="12"/>
  <c r="F48" i="12"/>
  <c r="F40" i="12"/>
  <c r="D42" i="12"/>
  <c r="D41" i="12"/>
  <c r="F43" i="11"/>
  <c r="C70" i="2" s="1"/>
  <c r="D37" i="11"/>
  <c r="C63" i="2" s="1"/>
  <c r="D36" i="11"/>
  <c r="C62" i="2" s="1"/>
  <c r="B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X2" i="41"/>
  <c r="S2" i="41"/>
  <c r="N2" i="41"/>
  <c r="I2" i="41"/>
  <c r="B79" i="9"/>
  <c r="BI35" i="10"/>
  <c r="BG35" i="10"/>
  <c r="BE35" i="10"/>
  <c r="BC35" i="10"/>
  <c r="BA35" i="10"/>
  <c r="AY35" i="10"/>
  <c r="AW35" i="10"/>
  <c r="AU35" i="10"/>
  <c r="AS35" i="10"/>
  <c r="AQ35" i="10"/>
  <c r="AO35" i="10"/>
  <c r="AM35" i="10"/>
  <c r="AK35" i="10"/>
  <c r="AI35" i="10"/>
  <c r="AG35" i="10"/>
  <c r="AE35" i="10"/>
  <c r="AC35" i="10"/>
  <c r="AA35" i="10"/>
  <c r="Y35" i="10"/>
  <c r="W35" i="10"/>
  <c r="U35" i="10"/>
  <c r="S35" i="10"/>
  <c r="P35" i="10"/>
  <c r="N35" i="10"/>
  <c r="L35" i="10"/>
  <c r="J35" i="10"/>
  <c r="H35" i="10"/>
  <c r="F35" i="10"/>
  <c r="D35" i="10"/>
  <c r="BI34" i="10"/>
  <c r="BG34" i="10"/>
  <c r="BE34" i="10"/>
  <c r="BC34" i="10"/>
  <c r="BA34" i="10"/>
  <c r="AY34" i="10"/>
  <c r="AW34" i="10"/>
  <c r="AU34" i="10"/>
  <c r="AS34" i="10"/>
  <c r="AQ34" i="10"/>
  <c r="AO34" i="10"/>
  <c r="AM34" i="10"/>
  <c r="AK34" i="10"/>
  <c r="AI34" i="10"/>
  <c r="AG34" i="10"/>
  <c r="AE34" i="10"/>
  <c r="AC34" i="10"/>
  <c r="AA34" i="10"/>
  <c r="Y34" i="10"/>
  <c r="W34" i="10"/>
  <c r="U34" i="10"/>
  <c r="S34" i="10"/>
  <c r="P34" i="10"/>
  <c r="N34" i="10"/>
  <c r="L34" i="10"/>
  <c r="J34" i="10"/>
  <c r="H34" i="10"/>
  <c r="F34" i="10"/>
  <c r="D34" i="10"/>
  <c r="BI33" i="10"/>
  <c r="BG33" i="10"/>
  <c r="BE33" i="10"/>
  <c r="BC33" i="10"/>
  <c r="BA33" i="10"/>
  <c r="AY33" i="10"/>
  <c r="AW33" i="10"/>
  <c r="AU33" i="10"/>
  <c r="AS33" i="10"/>
  <c r="AQ33" i="10"/>
  <c r="AO33" i="10"/>
  <c r="AM33" i="10"/>
  <c r="AK33" i="10"/>
  <c r="AI33" i="10"/>
  <c r="AG33" i="10"/>
  <c r="AE33" i="10"/>
  <c r="AC33" i="10"/>
  <c r="AA33" i="10"/>
  <c r="Y33" i="10"/>
  <c r="W33" i="10"/>
  <c r="U33" i="10"/>
  <c r="S33" i="10"/>
  <c r="P33" i="10"/>
  <c r="N33" i="10"/>
  <c r="L33" i="10"/>
  <c r="J33" i="10"/>
  <c r="H33" i="10"/>
  <c r="F33" i="10"/>
  <c r="D33" i="10"/>
  <c r="BQ32" i="10"/>
  <c r="BP32" i="10"/>
  <c r="BM32" i="10"/>
  <c r="BL32" i="10"/>
  <c r="BQ31" i="10"/>
  <c r="BP31" i="10"/>
  <c r="BM31" i="10"/>
  <c r="BL31" i="10"/>
  <c r="BQ30" i="10"/>
  <c r="BP30" i="10"/>
  <c r="BM30" i="10"/>
  <c r="BL30" i="10"/>
  <c r="BQ29" i="10"/>
  <c r="BP29" i="10"/>
  <c r="BM29" i="10"/>
  <c r="BL29" i="10"/>
  <c r="BQ28" i="10"/>
  <c r="BP28" i="10"/>
  <c r="BM28" i="10"/>
  <c r="BL28" i="10"/>
  <c r="BQ27" i="10"/>
  <c r="BP27" i="10"/>
  <c r="BM27" i="10"/>
  <c r="BL27" i="10"/>
  <c r="BQ26" i="10"/>
  <c r="BP26" i="10"/>
  <c r="BM26" i="10"/>
  <c r="BL26" i="10"/>
  <c r="BQ25" i="10"/>
  <c r="BP25" i="10"/>
  <c r="BM25" i="10"/>
  <c r="BL25" i="10"/>
  <c r="BQ24" i="10"/>
  <c r="BP24" i="10"/>
  <c r="BM24" i="10"/>
  <c r="BL24" i="10"/>
  <c r="BQ23" i="10"/>
  <c r="BP23" i="10"/>
  <c r="BM23" i="10"/>
  <c r="BL23" i="10"/>
  <c r="BQ22" i="10"/>
  <c r="BP22" i="10"/>
  <c r="BM22" i="10"/>
  <c r="BL22" i="10"/>
  <c r="BQ21" i="10"/>
  <c r="BP21" i="10"/>
  <c r="BM21" i="10"/>
  <c r="BL21" i="10"/>
  <c r="BQ20" i="10"/>
  <c r="BP20" i="10"/>
  <c r="BM20" i="10"/>
  <c r="BL20" i="10"/>
  <c r="BQ19" i="10"/>
  <c r="BP19" i="10"/>
  <c r="BM19" i="10"/>
  <c r="BL19" i="10"/>
  <c r="BQ18" i="10"/>
  <c r="BP18" i="10"/>
  <c r="BM18" i="10"/>
  <c r="BL18" i="10"/>
  <c r="BQ17" i="10"/>
  <c r="BP17" i="10"/>
  <c r="BM17" i="10"/>
  <c r="BL17" i="10"/>
  <c r="BQ16" i="10"/>
  <c r="BP16" i="10"/>
  <c r="BM16" i="10"/>
  <c r="BL16" i="10"/>
  <c r="BQ15" i="10"/>
  <c r="BP15" i="10"/>
  <c r="BM15" i="10"/>
  <c r="BL15" i="10"/>
  <c r="BQ14" i="10"/>
  <c r="BP14" i="10"/>
  <c r="BM14" i="10"/>
  <c r="BL14" i="10"/>
  <c r="BQ13" i="10"/>
  <c r="BP13" i="10"/>
  <c r="BM13" i="10"/>
  <c r="BL13" i="10"/>
  <c r="BQ12" i="10"/>
  <c r="BP12" i="10"/>
  <c r="BM12" i="10"/>
  <c r="BL12" i="10"/>
  <c r="BQ11" i="10"/>
  <c r="BP11" i="10"/>
  <c r="BM11" i="10"/>
  <c r="BL11" i="10"/>
  <c r="BQ10" i="10"/>
  <c r="BP10" i="10"/>
  <c r="BM10" i="10"/>
  <c r="BL10" i="10"/>
  <c r="BQ9" i="10"/>
  <c r="BP9" i="10"/>
  <c r="BM9" i="10"/>
  <c r="BL9" i="10"/>
  <c r="BQ8" i="10"/>
  <c r="BP8" i="10"/>
  <c r="BM8" i="10"/>
  <c r="BL8" i="10"/>
  <c r="BQ7" i="10"/>
  <c r="BP7" i="10"/>
  <c r="BM7" i="10"/>
  <c r="BL7" i="10"/>
  <c r="BQ6" i="10"/>
  <c r="BP6" i="10"/>
  <c r="BM6" i="10"/>
  <c r="BL6" i="10"/>
  <c r="BQ5" i="10"/>
  <c r="BP5" i="10"/>
  <c r="BM5" i="10"/>
  <c r="BL5" i="10"/>
  <c r="BQ4" i="10"/>
  <c r="BP4" i="10"/>
  <c r="BM4" i="10"/>
  <c r="BL4" i="10"/>
  <c r="BM3" i="10"/>
  <c r="AG2" i="8"/>
  <c r="AG43" i="8" s="1"/>
  <c r="AF2" i="8"/>
  <c r="AF43" i="8" s="1"/>
  <c r="AF44" i="8" s="1"/>
  <c r="AE2" i="8"/>
  <c r="AE43" i="8" s="1"/>
  <c r="AD2" i="8"/>
  <c r="AD43" i="8" s="1"/>
  <c r="AD44" i="8" s="1"/>
  <c r="AC2" i="8"/>
  <c r="AC43" i="8" s="1"/>
  <c r="AB2" i="8"/>
  <c r="AB43" i="8" s="1"/>
  <c r="AB44" i="8" s="1"/>
  <c r="AA2" i="8"/>
  <c r="AA43" i="8" s="1"/>
  <c r="Z2" i="8"/>
  <c r="Z43" i="8" s="1"/>
  <c r="Z44" i="8" s="1"/>
  <c r="Y2" i="8"/>
  <c r="Y43" i="8" s="1"/>
  <c r="X2" i="8"/>
  <c r="X43" i="8" s="1"/>
  <c r="X44" i="8" s="1"/>
  <c r="W2" i="8"/>
  <c r="W43" i="8" s="1"/>
  <c r="V2" i="8"/>
  <c r="V43" i="8" s="1"/>
  <c r="V44" i="8" s="1"/>
  <c r="S2" i="8"/>
  <c r="S43" i="8" s="1"/>
  <c r="R2" i="8"/>
  <c r="R43" i="8" s="1"/>
  <c r="R44" i="8" s="1"/>
  <c r="Q2" i="8"/>
  <c r="Q43" i="8" s="1"/>
  <c r="P2" i="8"/>
  <c r="P43" i="8" s="1"/>
  <c r="P44" i="8" s="1"/>
  <c r="O2" i="8"/>
  <c r="O43" i="8" s="1"/>
  <c r="N2" i="8"/>
  <c r="N43" i="8" s="1"/>
  <c r="N44" i="8" s="1"/>
  <c r="M2" i="8"/>
  <c r="M43" i="8" s="1"/>
  <c r="L2" i="8"/>
  <c r="L43" i="8" s="1"/>
  <c r="L44" i="8" s="1"/>
  <c r="K2" i="8"/>
  <c r="K43" i="8" s="1"/>
  <c r="J2" i="8"/>
  <c r="J43" i="8" s="1"/>
  <c r="J44" i="8" s="1"/>
  <c r="I2" i="8"/>
  <c r="I43" i="8" s="1"/>
  <c r="H2" i="8"/>
  <c r="H43" i="8" s="1"/>
  <c r="H44" i="8" s="1"/>
  <c r="AG2" i="7"/>
  <c r="AG57" i="7" s="1"/>
  <c r="AF2" i="7"/>
  <c r="AF57" i="7" s="1"/>
  <c r="AF58" i="7" s="1"/>
  <c r="AE2" i="7"/>
  <c r="AE57" i="7" s="1"/>
  <c r="AD2" i="7"/>
  <c r="AD57" i="7" s="1"/>
  <c r="AD58" i="7" s="1"/>
  <c r="AC2" i="7"/>
  <c r="AC57" i="7" s="1"/>
  <c r="AB2" i="7"/>
  <c r="AB57" i="7" s="1"/>
  <c r="AB58" i="7" s="1"/>
  <c r="AA2" i="7"/>
  <c r="AA57" i="7" s="1"/>
  <c r="Z2" i="7"/>
  <c r="Z57" i="7" s="1"/>
  <c r="Z58" i="7" s="1"/>
  <c r="Y2" i="7"/>
  <c r="Y57" i="7" s="1"/>
  <c r="X2" i="7"/>
  <c r="X57" i="7" s="1"/>
  <c r="X58" i="7" s="1"/>
  <c r="W2" i="7"/>
  <c r="W57" i="7" s="1"/>
  <c r="V2" i="7"/>
  <c r="V57" i="7" s="1"/>
  <c r="V58" i="7" s="1"/>
  <c r="S2" i="7"/>
  <c r="S57" i="7" s="1"/>
  <c r="R2" i="7"/>
  <c r="R57" i="7" s="1"/>
  <c r="R58" i="7" s="1"/>
  <c r="Q2" i="7"/>
  <c r="Q57" i="7" s="1"/>
  <c r="P2" i="7"/>
  <c r="P57" i="7" s="1"/>
  <c r="P58" i="7" s="1"/>
  <c r="O2" i="7"/>
  <c r="O57" i="7" s="1"/>
  <c r="N2" i="7"/>
  <c r="N57" i="7" s="1"/>
  <c r="N58" i="7" s="1"/>
  <c r="M2" i="7"/>
  <c r="M57" i="7" s="1"/>
  <c r="L2" i="7"/>
  <c r="L57" i="7" s="1"/>
  <c r="L58" i="7" s="1"/>
  <c r="K2" i="7"/>
  <c r="K57" i="7" s="1"/>
  <c r="J2" i="7"/>
  <c r="J57" i="7" s="1"/>
  <c r="J58" i="7" s="1"/>
  <c r="I2" i="7"/>
  <c r="I57" i="7" s="1"/>
  <c r="H2" i="7"/>
  <c r="H57" i="7" s="1"/>
  <c r="H58" i="7" s="1"/>
  <c r="AG2" i="6"/>
  <c r="AG63" i="6" s="1"/>
  <c r="AF2" i="6"/>
  <c r="AF63" i="6" s="1"/>
  <c r="AF64" i="6" s="1"/>
  <c r="AE2" i="6"/>
  <c r="AE63" i="6" s="1"/>
  <c r="AD2" i="6"/>
  <c r="AD63" i="6" s="1"/>
  <c r="AD64" i="6" s="1"/>
  <c r="AC2" i="6"/>
  <c r="AC63" i="6" s="1"/>
  <c r="AB2" i="6"/>
  <c r="AB63" i="6" s="1"/>
  <c r="AB64" i="6" s="1"/>
  <c r="AA2" i="6"/>
  <c r="AA63" i="6" s="1"/>
  <c r="Z2" i="6"/>
  <c r="Z63" i="6" s="1"/>
  <c r="Z64" i="6" s="1"/>
  <c r="Y2" i="6"/>
  <c r="Y63" i="6" s="1"/>
  <c r="X2" i="6"/>
  <c r="X63" i="6" s="1"/>
  <c r="X64" i="6" s="1"/>
  <c r="W2" i="6"/>
  <c r="W63" i="6" s="1"/>
  <c r="V2" i="6"/>
  <c r="V63" i="6" s="1"/>
  <c r="V64" i="6" s="1"/>
  <c r="S2" i="6"/>
  <c r="S63" i="6" s="1"/>
  <c r="R2" i="6"/>
  <c r="R63" i="6" s="1"/>
  <c r="R64" i="6" s="1"/>
  <c r="Q2" i="6"/>
  <c r="Q63" i="6" s="1"/>
  <c r="P2" i="6"/>
  <c r="P63" i="6" s="1"/>
  <c r="P64" i="6" s="1"/>
  <c r="O2" i="6"/>
  <c r="O63" i="6" s="1"/>
  <c r="N2" i="6"/>
  <c r="N63" i="6" s="1"/>
  <c r="N64" i="6" s="1"/>
  <c r="M2" i="6"/>
  <c r="M63" i="6" s="1"/>
  <c r="L2" i="6"/>
  <c r="L63" i="6" s="1"/>
  <c r="L64" i="6" s="1"/>
  <c r="K2" i="6"/>
  <c r="K63" i="6" s="1"/>
  <c r="J2" i="6"/>
  <c r="J63" i="6" s="1"/>
  <c r="J64" i="6" s="1"/>
  <c r="I2" i="6"/>
  <c r="I63" i="6" s="1"/>
  <c r="H2" i="6"/>
  <c r="H63" i="6" s="1"/>
  <c r="H64" i="6" s="1"/>
  <c r="AG2" i="5"/>
  <c r="AG61" i="5" s="1"/>
  <c r="AF2" i="5"/>
  <c r="AF61" i="5" s="1"/>
  <c r="AF62" i="5" s="1"/>
  <c r="AE2" i="5"/>
  <c r="AE61" i="5" s="1"/>
  <c r="AD2" i="5"/>
  <c r="AD61" i="5" s="1"/>
  <c r="AD62" i="5" s="1"/>
  <c r="AC2" i="5"/>
  <c r="AC61" i="5" s="1"/>
  <c r="AB2" i="5"/>
  <c r="AB61" i="5" s="1"/>
  <c r="AB62" i="5" s="1"/>
  <c r="AA2" i="5"/>
  <c r="AA61" i="5" s="1"/>
  <c r="Z2" i="5"/>
  <c r="Z61" i="5" s="1"/>
  <c r="Z62" i="5" s="1"/>
  <c r="Y2" i="5"/>
  <c r="Y61" i="5" s="1"/>
  <c r="X2" i="5"/>
  <c r="X61" i="5" s="1"/>
  <c r="X62" i="5" s="1"/>
  <c r="W2" i="5"/>
  <c r="W61" i="5" s="1"/>
  <c r="V2" i="5"/>
  <c r="V61" i="5" s="1"/>
  <c r="V62" i="5" s="1"/>
  <c r="S2" i="5"/>
  <c r="S61" i="5" s="1"/>
  <c r="R2" i="5"/>
  <c r="R61" i="5" s="1"/>
  <c r="R62" i="5" s="1"/>
  <c r="Q2" i="5"/>
  <c r="Q61" i="5" s="1"/>
  <c r="P2" i="5"/>
  <c r="P61" i="5" s="1"/>
  <c r="P62" i="5" s="1"/>
  <c r="O2" i="5"/>
  <c r="O61" i="5" s="1"/>
  <c r="N2" i="5"/>
  <c r="N61" i="5" s="1"/>
  <c r="N62" i="5" s="1"/>
  <c r="M2" i="5"/>
  <c r="M61" i="5" s="1"/>
  <c r="L2" i="5"/>
  <c r="L61" i="5" s="1"/>
  <c r="L62" i="5" s="1"/>
  <c r="K2" i="5"/>
  <c r="K61" i="5" s="1"/>
  <c r="J2" i="5"/>
  <c r="J61" i="5" s="1"/>
  <c r="J62" i="5" s="1"/>
  <c r="I2" i="5"/>
  <c r="I61" i="5" s="1"/>
  <c r="H2" i="5"/>
  <c r="H61" i="5" s="1"/>
  <c r="H62" i="5" s="1"/>
  <c r="AG2" i="4"/>
  <c r="AG69" i="4" s="1"/>
  <c r="AF2" i="4"/>
  <c r="AF69" i="4" s="1"/>
  <c r="AF70" i="4" s="1"/>
  <c r="AE2" i="4"/>
  <c r="AE69" i="4" s="1"/>
  <c r="AD2" i="4"/>
  <c r="AD69" i="4" s="1"/>
  <c r="AD70" i="4" s="1"/>
  <c r="AC2" i="4"/>
  <c r="AC69" i="4" s="1"/>
  <c r="AB2" i="4"/>
  <c r="AB69" i="4" s="1"/>
  <c r="AB70" i="4" s="1"/>
  <c r="AA2" i="4"/>
  <c r="AA69" i="4" s="1"/>
  <c r="Z2" i="4"/>
  <c r="Z69" i="4" s="1"/>
  <c r="Z70" i="4" s="1"/>
  <c r="Y2" i="4"/>
  <c r="Y69" i="4" s="1"/>
  <c r="X2" i="4"/>
  <c r="X69" i="4" s="1"/>
  <c r="X70" i="4" s="1"/>
  <c r="W2" i="4"/>
  <c r="W69" i="4" s="1"/>
  <c r="V2" i="4"/>
  <c r="V69" i="4" s="1"/>
  <c r="V70" i="4" s="1"/>
  <c r="S2" i="4"/>
  <c r="S69" i="4" s="1"/>
  <c r="R2" i="4"/>
  <c r="R69" i="4" s="1"/>
  <c r="R70" i="4" s="1"/>
  <c r="Q2" i="4"/>
  <c r="Q69" i="4" s="1"/>
  <c r="P2" i="4"/>
  <c r="P69" i="4" s="1"/>
  <c r="P70" i="4" s="1"/>
  <c r="O2" i="4"/>
  <c r="O69" i="4" s="1"/>
  <c r="N2" i="4"/>
  <c r="N69" i="4" s="1"/>
  <c r="N70" i="4" s="1"/>
  <c r="M2" i="4"/>
  <c r="M69" i="4" s="1"/>
  <c r="L2" i="4"/>
  <c r="L69" i="4" s="1"/>
  <c r="L70" i="4" s="1"/>
  <c r="K2" i="4"/>
  <c r="K69" i="4" s="1"/>
  <c r="J2" i="4"/>
  <c r="J69" i="4" s="1"/>
  <c r="J70" i="4" s="1"/>
  <c r="I2" i="4"/>
  <c r="I69" i="4" s="1"/>
  <c r="H2" i="4"/>
  <c r="H69" i="4" s="1"/>
  <c r="H70" i="4" s="1"/>
  <c r="F52" i="3"/>
  <c r="E52" i="3"/>
  <c r="G52" i="3" s="1"/>
  <c r="C52" i="3"/>
  <c r="B52" i="3"/>
  <c r="D52" i="3" s="1"/>
  <c r="F51" i="3"/>
  <c r="E51" i="3"/>
  <c r="G51" i="3" s="1"/>
  <c r="C51" i="3"/>
  <c r="B51" i="3"/>
  <c r="D51" i="3" s="1"/>
  <c r="F50" i="3"/>
  <c r="E50" i="3"/>
  <c r="G50" i="3" s="1"/>
  <c r="C50" i="3"/>
  <c r="B50" i="3"/>
  <c r="D50" i="3" s="1"/>
  <c r="F49" i="3"/>
  <c r="E49" i="3"/>
  <c r="G49" i="3" s="1"/>
  <c r="C49" i="3"/>
  <c r="B49" i="3"/>
  <c r="D49" i="3" s="1"/>
  <c r="F48" i="3"/>
  <c r="E48" i="3"/>
  <c r="G48" i="3" s="1"/>
  <c r="C48" i="3"/>
  <c r="B48" i="3"/>
  <c r="D48" i="3" s="1"/>
  <c r="F47" i="3"/>
  <c r="E47" i="3"/>
  <c r="G47" i="3" s="1"/>
  <c r="C47" i="3"/>
  <c r="B47" i="3"/>
  <c r="D47" i="3" s="1"/>
  <c r="F41" i="3"/>
  <c r="E41" i="3"/>
  <c r="G41" i="3" s="1"/>
  <c r="C41" i="3"/>
  <c r="B41" i="3"/>
  <c r="D41" i="3" s="1"/>
  <c r="F40" i="3"/>
  <c r="E40" i="3"/>
  <c r="G40" i="3" s="1"/>
  <c r="C40" i="3"/>
  <c r="B40" i="3"/>
  <c r="D40" i="3" s="1"/>
  <c r="F39" i="3"/>
  <c r="E39" i="3"/>
  <c r="G39" i="3" s="1"/>
  <c r="C39" i="3"/>
  <c r="B39" i="3"/>
  <c r="D39" i="3" s="1"/>
  <c r="F38" i="3"/>
  <c r="E38" i="3"/>
  <c r="G38" i="3" s="1"/>
  <c r="C38" i="3"/>
  <c r="B38" i="3"/>
  <c r="D38" i="3" s="1"/>
  <c r="F37" i="3"/>
  <c r="E37" i="3"/>
  <c r="G37" i="3" s="1"/>
  <c r="C37" i="3"/>
  <c r="B37" i="3"/>
  <c r="D37" i="3" s="1"/>
  <c r="F36" i="3"/>
  <c r="E36" i="3"/>
  <c r="G36" i="3" s="1"/>
  <c r="C36" i="3"/>
  <c r="B36" i="3"/>
  <c r="D36" i="3" s="1"/>
  <c r="F30" i="3"/>
  <c r="E30" i="3"/>
  <c r="G30" i="3" s="1"/>
  <c r="C30" i="3"/>
  <c r="B30" i="3"/>
  <c r="D30" i="3" s="1"/>
  <c r="F29" i="3"/>
  <c r="E29" i="3"/>
  <c r="G29" i="3" s="1"/>
  <c r="C29" i="3"/>
  <c r="B29" i="3"/>
  <c r="D29" i="3" s="1"/>
  <c r="F28" i="3"/>
  <c r="E28" i="3"/>
  <c r="G28" i="3" s="1"/>
  <c r="C28" i="3"/>
  <c r="B28" i="3"/>
  <c r="D28" i="3" s="1"/>
  <c r="F27" i="3"/>
  <c r="E27" i="3"/>
  <c r="G27" i="3" s="1"/>
  <c r="C27" i="3"/>
  <c r="B27" i="3"/>
  <c r="D27" i="3" s="1"/>
  <c r="F26" i="3"/>
  <c r="E26" i="3"/>
  <c r="G26" i="3" s="1"/>
  <c r="C26" i="3"/>
  <c r="B26" i="3"/>
  <c r="D26" i="3" s="1"/>
  <c r="F25" i="3"/>
  <c r="E25" i="3"/>
  <c r="G25" i="3" s="1"/>
  <c r="C25" i="3"/>
  <c r="B25" i="3"/>
  <c r="D25" i="3" s="1"/>
  <c r="F19" i="3"/>
  <c r="E19" i="3"/>
  <c r="G19" i="3" s="1"/>
  <c r="C19" i="3"/>
  <c r="B19" i="3"/>
  <c r="D19" i="3" s="1"/>
  <c r="F18" i="3"/>
  <c r="E18" i="3"/>
  <c r="G18" i="3" s="1"/>
  <c r="C18" i="3"/>
  <c r="B18" i="3"/>
  <c r="D18" i="3" s="1"/>
  <c r="F17" i="3"/>
  <c r="E17" i="3"/>
  <c r="G17" i="3" s="1"/>
  <c r="C17" i="3"/>
  <c r="B17" i="3"/>
  <c r="D17" i="3" s="1"/>
  <c r="F16" i="3"/>
  <c r="E16" i="3"/>
  <c r="G16" i="3" s="1"/>
  <c r="C16" i="3"/>
  <c r="B16" i="3"/>
  <c r="D16" i="3" s="1"/>
  <c r="F15" i="3"/>
  <c r="E15" i="3"/>
  <c r="G15" i="3" s="1"/>
  <c r="C15" i="3"/>
  <c r="B15" i="3"/>
  <c r="D15" i="3" s="1"/>
  <c r="F14" i="3"/>
  <c r="E14" i="3"/>
  <c r="G14" i="3" s="1"/>
  <c r="C14" i="3"/>
  <c r="B14" i="3"/>
  <c r="D14" i="3" s="1"/>
  <c r="F8" i="3"/>
  <c r="E8" i="3"/>
  <c r="G8" i="3" s="1"/>
  <c r="C8" i="3"/>
  <c r="B8" i="3"/>
  <c r="D8" i="3" s="1"/>
  <c r="F7" i="3"/>
  <c r="E7" i="3"/>
  <c r="G7" i="3" s="1"/>
  <c r="C7" i="3"/>
  <c r="B7" i="3"/>
  <c r="D7" i="3" s="1"/>
  <c r="F6" i="3"/>
  <c r="E6" i="3"/>
  <c r="G6" i="3" s="1"/>
  <c r="C6" i="3"/>
  <c r="B6" i="3"/>
  <c r="D6" i="3" s="1"/>
  <c r="F5" i="3"/>
  <c r="E5" i="3"/>
  <c r="G5" i="3" s="1"/>
  <c r="C5" i="3"/>
  <c r="B5" i="3"/>
  <c r="D5" i="3" s="1"/>
  <c r="F4" i="3"/>
  <c r="E4" i="3"/>
  <c r="G4" i="3" s="1"/>
  <c r="C4" i="3"/>
  <c r="B4" i="3"/>
  <c r="D4" i="3" s="1"/>
  <c r="F3" i="3"/>
  <c r="E3" i="3"/>
  <c r="G3" i="3" s="1"/>
  <c r="C3" i="3"/>
  <c r="B3" i="3"/>
  <c r="D3" i="3" s="1"/>
  <c r="B42" i="2"/>
  <c r="B23" i="2"/>
  <c r="B19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1" i="2"/>
  <c r="B13" i="2" s="1"/>
  <c r="B10" i="2"/>
  <c r="B12" i="2" s="1"/>
  <c r="B5" i="2"/>
  <c r="S4" i="2"/>
  <c r="S75" i="2" s="1"/>
  <c r="R4" i="2"/>
  <c r="R75" i="2" s="1"/>
  <c r="Q4" i="2"/>
  <c r="Q75" i="2" s="1"/>
  <c r="P4" i="2"/>
  <c r="P75" i="2" s="1"/>
  <c r="O4" i="2"/>
  <c r="O75" i="2" s="1"/>
  <c r="O77" i="2" s="1"/>
  <c r="N4" i="2"/>
  <c r="N75" i="2" s="1"/>
  <c r="N77" i="2" s="1"/>
  <c r="M4" i="2"/>
  <c r="M75" i="2" s="1"/>
  <c r="L4" i="2"/>
  <c r="L75" i="2" s="1"/>
  <c r="K4" i="2"/>
  <c r="K75" i="2" s="1"/>
  <c r="K77" i="2" s="1"/>
  <c r="J4" i="2"/>
  <c r="J75" i="2" s="1"/>
  <c r="J77" i="2" s="1"/>
  <c r="I4" i="2"/>
  <c r="I75" i="2" s="1"/>
  <c r="I77" i="2" s="1"/>
  <c r="H4" i="2"/>
  <c r="H75" i="2" s="1"/>
  <c r="H77" i="2" s="1"/>
  <c r="G4" i="2"/>
  <c r="G75" i="2" s="1"/>
  <c r="G77" i="2" s="1"/>
  <c r="F4" i="2"/>
  <c r="F75" i="2" s="1"/>
  <c r="F77" i="2" s="1"/>
  <c r="E4" i="2"/>
  <c r="E75" i="2" s="1"/>
  <c r="D4" i="2"/>
  <c r="D75" i="2" s="1"/>
  <c r="C4" i="2"/>
  <c r="C75" i="2" s="1"/>
  <c r="C77" i="2" s="1"/>
  <c r="S3" i="2"/>
  <c r="R3" i="2"/>
  <c r="Q3" i="2"/>
  <c r="Q11" i="2" s="1"/>
  <c r="P3" i="2"/>
  <c r="O3" i="2"/>
  <c r="O11" i="2" s="1"/>
  <c r="N3" i="2"/>
  <c r="M3" i="2"/>
  <c r="M11" i="2" s="1"/>
  <c r="L3" i="2"/>
  <c r="L11" i="2" s="1"/>
  <c r="K3" i="2"/>
  <c r="J3" i="2"/>
  <c r="I3" i="2"/>
  <c r="I11" i="2" s="1"/>
  <c r="H3" i="2"/>
  <c r="G3" i="2"/>
  <c r="G11" i="2" s="1"/>
  <c r="F3" i="2"/>
  <c r="E3" i="2"/>
  <c r="E11" i="2" s="1"/>
  <c r="D3" i="2"/>
  <c r="D11" i="2" s="1"/>
  <c r="C3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L88" i="2" l="1"/>
  <c r="T88" i="2" s="1"/>
  <c r="L87" i="2"/>
  <c r="T87" i="2" s="1"/>
  <c r="L86" i="2"/>
  <c r="T86" i="2" s="1"/>
  <c r="L85" i="2"/>
  <c r="T85" i="2" s="1"/>
  <c r="F71" i="2"/>
  <c r="S72" i="2"/>
  <c r="T75" i="2"/>
  <c r="B77" i="2"/>
  <c r="M77" i="2"/>
  <c r="L77" i="2"/>
  <c r="E77" i="2"/>
  <c r="S77" i="2"/>
  <c r="R77" i="2"/>
  <c r="Q77" i="2"/>
  <c r="P77" i="2"/>
  <c r="T76" i="2"/>
  <c r="D77" i="2"/>
  <c r="T77" i="2"/>
  <c r="G73" i="2"/>
  <c r="O73" i="2"/>
  <c r="Q73" i="2"/>
  <c r="S71" i="2"/>
  <c r="S73" i="2" s="1"/>
  <c r="I71" i="2"/>
  <c r="I73" i="2" s="1"/>
  <c r="N73" i="2"/>
  <c r="C71" i="2"/>
  <c r="C73" i="2" s="1"/>
  <c r="E71" i="2"/>
  <c r="E73" i="2" s="1"/>
  <c r="K71" i="2"/>
  <c r="K73" i="2" s="1"/>
  <c r="M71" i="2"/>
  <c r="M73" i="2" s="1"/>
  <c r="P71" i="2"/>
  <c r="H11" i="2"/>
  <c r="P11" i="2"/>
  <c r="P13" i="2" s="1"/>
  <c r="H71" i="2"/>
  <c r="H73" i="2" s="1"/>
  <c r="R73" i="2"/>
  <c r="T69" i="2"/>
  <c r="J11" i="2"/>
  <c r="R11" i="2"/>
  <c r="P73" i="2"/>
  <c r="F73" i="2"/>
  <c r="C11" i="2"/>
  <c r="C13" i="2" s="1"/>
  <c r="K11" i="2"/>
  <c r="S11" i="2"/>
  <c r="T67" i="2"/>
  <c r="T66" i="2"/>
  <c r="F11" i="2"/>
  <c r="F13" i="2" s="1"/>
  <c r="N11" i="2"/>
  <c r="N13" i="2" s="1"/>
  <c r="T61" i="2"/>
  <c r="B20" i="2"/>
  <c r="B22" i="2" s="1"/>
  <c r="T68" i="2"/>
  <c r="R72" i="2"/>
  <c r="R64" i="2"/>
  <c r="S64" i="2"/>
  <c r="T65" i="2"/>
  <c r="Q64" i="2"/>
  <c r="Q23" i="2"/>
  <c r="P64" i="2"/>
  <c r="O64" i="2"/>
  <c r="O83" i="2" s="1"/>
  <c r="O23" i="2"/>
  <c r="N64" i="2"/>
  <c r="N23" i="2"/>
  <c r="M64" i="2"/>
  <c r="M23" i="2"/>
  <c r="L64" i="2"/>
  <c r="L83" i="2" s="1"/>
  <c r="L23" i="2"/>
  <c r="K64" i="2"/>
  <c r="K23" i="2"/>
  <c r="J64" i="2"/>
  <c r="J23" i="2"/>
  <c r="I64" i="2"/>
  <c r="I83" i="2" s="1"/>
  <c r="H64" i="2"/>
  <c r="H23" i="2"/>
  <c r="G64" i="2"/>
  <c r="G23" i="2"/>
  <c r="F64" i="2"/>
  <c r="F23" i="2"/>
  <c r="E64" i="2"/>
  <c r="E23" i="2"/>
  <c r="D64" i="2"/>
  <c r="D23" i="2"/>
  <c r="C64" i="2"/>
  <c r="C83" i="2" s="1"/>
  <c r="T83" i="2" s="1"/>
  <c r="C23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T63" i="2"/>
  <c r="T62" i="2"/>
  <c r="T70" i="2"/>
  <c r="P23" i="2"/>
  <c r="AR2" i="41"/>
  <c r="AQ2" i="41"/>
  <c r="AP2" i="41"/>
  <c r="AO2" i="41"/>
  <c r="AN2" i="41"/>
  <c r="AM2" i="41"/>
  <c r="AV2" i="41"/>
  <c r="AU2" i="41"/>
  <c r="AT2" i="41"/>
  <c r="AS2" i="41"/>
  <c r="AX2" i="41"/>
  <c r="AW2" i="41"/>
  <c r="I23" i="2"/>
  <c r="AC2" i="41"/>
  <c r="AB2" i="41"/>
  <c r="AA2" i="41"/>
  <c r="Z2" i="41"/>
  <c r="AI2" i="41"/>
  <c r="AH2" i="41"/>
  <c r="AG2" i="41"/>
  <c r="AF2" i="41"/>
  <c r="AK2" i="41"/>
  <c r="AJ2" i="41"/>
  <c r="AE2" i="41"/>
  <c r="AE157" i="41" s="1"/>
  <c r="C60" i="3" s="1"/>
  <c r="AD2" i="41"/>
  <c r="AD157" i="41" s="1"/>
  <c r="AX157" i="41"/>
  <c r="F63" i="3" s="1"/>
  <c r="AV157" i="41"/>
  <c r="F62" i="3" s="1"/>
  <c r="AT157" i="41"/>
  <c r="F61" i="3" s="1"/>
  <c r="AR157" i="41"/>
  <c r="F60" i="3" s="1"/>
  <c r="AP157" i="41"/>
  <c r="F59" i="3" s="1"/>
  <c r="AN157" i="41"/>
  <c r="F58" i="3" s="1"/>
  <c r="C19" i="2"/>
  <c r="C20" i="2" s="1"/>
  <c r="C22" i="2" s="1"/>
  <c r="C10" i="2"/>
  <c r="C5" i="2"/>
  <c r="D19" i="2"/>
  <c r="D20" i="2" s="1"/>
  <c r="D22" i="2" s="1"/>
  <c r="D13" i="2"/>
  <c r="D10" i="2"/>
  <c r="D12" i="2" s="1"/>
  <c r="D5" i="2"/>
  <c r="E19" i="2"/>
  <c r="E20" i="2" s="1"/>
  <c r="E22" i="2" s="1"/>
  <c r="E13" i="2"/>
  <c r="E10" i="2"/>
  <c r="E12" i="2" s="1"/>
  <c r="E5" i="2"/>
  <c r="F19" i="2"/>
  <c r="F20" i="2" s="1"/>
  <c r="F22" i="2" s="1"/>
  <c r="F10" i="2"/>
  <c r="F5" i="2"/>
  <c r="G19" i="2"/>
  <c r="G20" i="2" s="1"/>
  <c r="G22" i="2" s="1"/>
  <c r="G13" i="2"/>
  <c r="G10" i="2"/>
  <c r="G5" i="2"/>
  <c r="H19" i="2"/>
  <c r="H20" i="2" s="1"/>
  <c r="H22" i="2" s="1"/>
  <c r="H13" i="2"/>
  <c r="H10" i="2"/>
  <c r="H12" i="2" s="1"/>
  <c r="H5" i="2"/>
  <c r="I19" i="2"/>
  <c r="I13" i="2"/>
  <c r="I10" i="2"/>
  <c r="I12" i="2" s="1"/>
  <c r="I5" i="2"/>
  <c r="J19" i="2"/>
  <c r="J13" i="2"/>
  <c r="J10" i="2"/>
  <c r="J5" i="2"/>
  <c r="K19" i="2"/>
  <c r="K20" i="2" s="1"/>
  <c r="K22" i="2" s="1"/>
  <c r="K13" i="2"/>
  <c r="K10" i="2"/>
  <c r="K5" i="2"/>
  <c r="L19" i="2"/>
  <c r="L13" i="2"/>
  <c r="L10" i="2"/>
  <c r="L12" i="2" s="1"/>
  <c r="L5" i="2"/>
  <c r="M19" i="2"/>
  <c r="M20" i="2" s="1"/>
  <c r="M22" i="2" s="1"/>
  <c r="M13" i="2"/>
  <c r="M10" i="2"/>
  <c r="M12" i="2" s="1"/>
  <c r="M5" i="2"/>
  <c r="N19" i="2"/>
  <c r="N20" i="2" s="1"/>
  <c r="N22" i="2" s="1"/>
  <c r="N10" i="2"/>
  <c r="N12" i="2" s="1"/>
  <c r="N5" i="2"/>
  <c r="O19" i="2"/>
  <c r="O20" i="2" s="1"/>
  <c r="O22" i="2" s="1"/>
  <c r="O13" i="2"/>
  <c r="O10" i="2"/>
  <c r="O5" i="2"/>
  <c r="P19" i="2"/>
  <c r="P20" i="2" s="1"/>
  <c r="P22" i="2" s="1"/>
  <c r="P10" i="2"/>
  <c r="P12" i="2" s="1"/>
  <c r="P5" i="2"/>
  <c r="Q19" i="2"/>
  <c r="Q13" i="2"/>
  <c r="Q10" i="2"/>
  <c r="Q12" i="2" s="1"/>
  <c r="Q5" i="2"/>
  <c r="R13" i="2"/>
  <c r="R10" i="2"/>
  <c r="R12" i="2" s="1"/>
  <c r="R5" i="2"/>
  <c r="S13" i="2"/>
  <c r="S10" i="2"/>
  <c r="S12" i="2" s="1"/>
  <c r="S5" i="2"/>
  <c r="B14" i="2"/>
  <c r="I20" i="2"/>
  <c r="I22" i="2" s="1"/>
  <c r="J20" i="2"/>
  <c r="J22" i="2" s="1"/>
  <c r="L20" i="2"/>
  <c r="L22" i="2" s="1"/>
  <c r="Q20" i="2"/>
  <c r="Q22" i="2" s="1"/>
  <c r="B26" i="2"/>
  <c r="B21" i="2"/>
  <c r="B28" i="2" s="1"/>
  <c r="D10" i="3"/>
  <c r="D9" i="3"/>
  <c r="B71" i="3" s="1"/>
  <c r="G10" i="3"/>
  <c r="G9" i="3"/>
  <c r="B78" i="3" s="1"/>
  <c r="D21" i="3"/>
  <c r="D20" i="3"/>
  <c r="C72" i="3" s="1"/>
  <c r="G21" i="3"/>
  <c r="G20" i="3"/>
  <c r="C79" i="3" s="1"/>
  <c r="D32" i="3"/>
  <c r="D31" i="3"/>
  <c r="D73" i="3" s="1"/>
  <c r="G32" i="3"/>
  <c r="G31" i="3"/>
  <c r="D80" i="3" s="1"/>
  <c r="D43" i="3"/>
  <c r="D42" i="3"/>
  <c r="E74" i="3" s="1"/>
  <c r="G43" i="3"/>
  <c r="G42" i="3"/>
  <c r="E81" i="3" s="1"/>
  <c r="D54" i="3"/>
  <c r="D53" i="3"/>
  <c r="F75" i="3" s="1"/>
  <c r="G54" i="3"/>
  <c r="G53" i="3"/>
  <c r="F82" i="3" s="1"/>
  <c r="T71" i="4"/>
  <c r="T70" i="4"/>
  <c r="AH71" i="4"/>
  <c r="AH70" i="4"/>
  <c r="T63" i="5"/>
  <c r="T62" i="5"/>
  <c r="AH63" i="5"/>
  <c r="AH62" i="5"/>
  <c r="T65" i="6"/>
  <c r="T64" i="6"/>
  <c r="AH65" i="6"/>
  <c r="AH64" i="6"/>
  <c r="T59" i="7"/>
  <c r="T58" i="7"/>
  <c r="AH59" i="7"/>
  <c r="AH58" i="7"/>
  <c r="T45" i="8"/>
  <c r="T44" i="8"/>
  <c r="AH45" i="8"/>
  <c r="AH44" i="8"/>
  <c r="D80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W80" i="9"/>
  <c r="X80" i="9"/>
  <c r="Y80" i="9"/>
  <c r="Z80" i="9"/>
  <c r="AA80" i="9"/>
  <c r="AB80" i="9"/>
  <c r="AC80" i="9"/>
  <c r="AD80" i="9"/>
  <c r="AE80" i="9"/>
  <c r="AD158" i="41" l="1"/>
  <c r="D60" i="3" s="1"/>
  <c r="C71" i="3" s="1"/>
  <c r="B60" i="3"/>
  <c r="J12" i="2"/>
  <c r="F12" i="2"/>
  <c r="T71" i="2"/>
  <c r="T73" i="2" s="1"/>
  <c r="T72" i="2"/>
  <c r="T64" i="2"/>
  <c r="U69" i="2" s="1"/>
  <c r="O12" i="2"/>
  <c r="K12" i="2"/>
  <c r="G12" i="2"/>
  <c r="AM157" i="41"/>
  <c r="AO157" i="41"/>
  <c r="AQ157" i="41"/>
  <c r="AS157" i="41"/>
  <c r="AU157" i="41"/>
  <c r="AW157" i="41"/>
  <c r="AJ157" i="41"/>
  <c r="B63" i="3" s="1"/>
  <c r="AK157" i="41"/>
  <c r="C63" i="3" s="1"/>
  <c r="AF157" i="41"/>
  <c r="B61" i="3" s="1"/>
  <c r="AG157" i="41"/>
  <c r="C61" i="3" s="1"/>
  <c r="AH157" i="41"/>
  <c r="B62" i="3" s="1"/>
  <c r="AI157" i="41"/>
  <c r="C62" i="3" s="1"/>
  <c r="Z157" i="41"/>
  <c r="B58" i="3" s="1"/>
  <c r="AA157" i="41"/>
  <c r="C58" i="3" s="1"/>
  <c r="AB157" i="41"/>
  <c r="B59" i="3" s="1"/>
  <c r="AC157" i="41"/>
  <c r="C59" i="3" s="1"/>
  <c r="B27" i="2"/>
  <c r="B32" i="2"/>
  <c r="B29" i="2"/>
  <c r="S14" i="2"/>
  <c r="R14" i="2"/>
  <c r="Q14" i="2"/>
  <c r="Q26" i="2"/>
  <c r="Q21" i="2"/>
  <c r="Q28" i="2" s="1"/>
  <c r="P14" i="2"/>
  <c r="P26" i="2"/>
  <c r="P21" i="2"/>
  <c r="P28" i="2" s="1"/>
  <c r="O14" i="2"/>
  <c r="O26" i="2"/>
  <c r="O21" i="2"/>
  <c r="O28" i="2" s="1"/>
  <c r="N14" i="2"/>
  <c r="N26" i="2"/>
  <c r="N21" i="2"/>
  <c r="N28" i="2" s="1"/>
  <c r="M14" i="2"/>
  <c r="M26" i="2"/>
  <c r="M21" i="2"/>
  <c r="M28" i="2" s="1"/>
  <c r="L14" i="2"/>
  <c r="L26" i="2"/>
  <c r="L21" i="2"/>
  <c r="L28" i="2" s="1"/>
  <c r="K14" i="2"/>
  <c r="K26" i="2"/>
  <c r="K21" i="2"/>
  <c r="K28" i="2" s="1"/>
  <c r="J14" i="2"/>
  <c r="J26" i="2"/>
  <c r="J21" i="2"/>
  <c r="J28" i="2" s="1"/>
  <c r="I14" i="2"/>
  <c r="I26" i="2"/>
  <c r="I21" i="2"/>
  <c r="I28" i="2" s="1"/>
  <c r="H14" i="2"/>
  <c r="H26" i="2"/>
  <c r="H21" i="2"/>
  <c r="H28" i="2" s="1"/>
  <c r="G14" i="2"/>
  <c r="G26" i="2"/>
  <c r="G21" i="2"/>
  <c r="G28" i="2" s="1"/>
  <c r="F14" i="2"/>
  <c r="F26" i="2"/>
  <c r="F21" i="2"/>
  <c r="F28" i="2" s="1"/>
  <c r="E14" i="2"/>
  <c r="E26" i="2"/>
  <c r="E21" i="2"/>
  <c r="E28" i="2" s="1"/>
  <c r="D14" i="2"/>
  <c r="D26" i="2"/>
  <c r="D21" i="2"/>
  <c r="D28" i="2" s="1"/>
  <c r="C14" i="2"/>
  <c r="C26" i="2"/>
  <c r="C21" i="2"/>
  <c r="AU158" i="41" l="1"/>
  <c r="G62" i="3" s="1"/>
  <c r="E79" i="3" s="1"/>
  <c r="E62" i="3"/>
  <c r="AQ158" i="41"/>
  <c r="G60" i="3" s="1"/>
  <c r="C78" i="3" s="1"/>
  <c r="E60" i="3"/>
  <c r="AM158" i="41"/>
  <c r="G58" i="3" s="1"/>
  <c r="E78" i="3" s="1"/>
  <c r="E58" i="3"/>
  <c r="AW158" i="41"/>
  <c r="G63" i="3" s="1"/>
  <c r="D79" i="3" s="1"/>
  <c r="E63" i="3"/>
  <c r="AS158" i="41"/>
  <c r="G61" i="3" s="1"/>
  <c r="E80" i="3" s="1"/>
  <c r="E61" i="3"/>
  <c r="AO158" i="41"/>
  <c r="G59" i="3" s="1"/>
  <c r="E59" i="3"/>
  <c r="U68" i="2"/>
  <c r="U67" i="2"/>
  <c r="U66" i="2"/>
  <c r="U65" i="2"/>
  <c r="F27" i="2"/>
  <c r="AY159" i="41"/>
  <c r="AY158" i="41"/>
  <c r="AB158" i="41"/>
  <c r="D59" i="3" s="1"/>
  <c r="Z158" i="41"/>
  <c r="D58" i="3" s="1"/>
  <c r="E71" i="3" s="1"/>
  <c r="AH158" i="41"/>
  <c r="AF158" i="41"/>
  <c r="D61" i="3" s="1"/>
  <c r="E73" i="3" s="1"/>
  <c r="AJ158" i="41"/>
  <c r="C27" i="2"/>
  <c r="C44" i="2"/>
  <c r="C29" i="2"/>
  <c r="C45" i="2"/>
  <c r="D27" i="2"/>
  <c r="D44" i="2"/>
  <c r="D32" i="2"/>
  <c r="D29" i="2"/>
  <c r="D45" i="2"/>
  <c r="E27" i="2"/>
  <c r="E44" i="2"/>
  <c r="E32" i="2"/>
  <c r="E29" i="2"/>
  <c r="E45" i="2"/>
  <c r="F44" i="2"/>
  <c r="F32" i="2"/>
  <c r="F29" i="2"/>
  <c r="F45" i="2"/>
  <c r="G27" i="2"/>
  <c r="G44" i="2"/>
  <c r="G32" i="2"/>
  <c r="G29" i="2"/>
  <c r="G45" i="2"/>
  <c r="H27" i="2"/>
  <c r="H44" i="2"/>
  <c r="H32" i="2"/>
  <c r="H29" i="2"/>
  <c r="H45" i="2"/>
  <c r="I27" i="2"/>
  <c r="I44" i="2"/>
  <c r="I32" i="2"/>
  <c r="I29" i="2"/>
  <c r="I45" i="2"/>
  <c r="J27" i="2"/>
  <c r="J44" i="2"/>
  <c r="J32" i="2"/>
  <c r="J29" i="2"/>
  <c r="J45" i="2"/>
  <c r="K27" i="2"/>
  <c r="K44" i="2"/>
  <c r="K32" i="2"/>
  <c r="K29" i="2"/>
  <c r="K45" i="2"/>
  <c r="L27" i="2"/>
  <c r="L44" i="2"/>
  <c r="L32" i="2"/>
  <c r="L29" i="2"/>
  <c r="L45" i="2"/>
  <c r="M27" i="2"/>
  <c r="M44" i="2"/>
  <c r="M32" i="2"/>
  <c r="M29" i="2"/>
  <c r="M45" i="2"/>
  <c r="N27" i="2"/>
  <c r="N44" i="2"/>
  <c r="N32" i="2"/>
  <c r="N29" i="2"/>
  <c r="N45" i="2"/>
  <c r="O27" i="2"/>
  <c r="O44" i="2"/>
  <c r="O32" i="2"/>
  <c r="O29" i="2"/>
  <c r="O45" i="2"/>
  <c r="P27" i="2"/>
  <c r="P44" i="2"/>
  <c r="P32" i="2"/>
  <c r="P29" i="2"/>
  <c r="P45" i="2"/>
  <c r="Q27" i="2"/>
  <c r="Q44" i="2"/>
  <c r="Q32" i="2"/>
  <c r="Q29" i="2"/>
  <c r="Q45" i="2"/>
  <c r="B33" i="2"/>
  <c r="B30" i="2"/>
  <c r="B39" i="2"/>
  <c r="B38" i="2"/>
  <c r="B37" i="2"/>
  <c r="B36" i="2"/>
  <c r="B35" i="2"/>
  <c r="B34" i="2"/>
  <c r="D63" i="3" l="1"/>
  <c r="D72" i="3" s="1"/>
  <c r="D62" i="3"/>
  <c r="E72" i="3" s="1"/>
  <c r="D71" i="3"/>
  <c r="D65" i="3"/>
  <c r="D64" i="3"/>
  <c r="D78" i="3"/>
  <c r="G65" i="3"/>
  <c r="G64" i="3"/>
  <c r="AL159" i="41"/>
  <c r="AL158" i="41"/>
  <c r="Q47" i="2"/>
  <c r="Q46" i="2"/>
  <c r="Q49" i="2"/>
  <c r="Q33" i="2"/>
  <c r="Q30" i="2"/>
  <c r="Q39" i="2" s="1"/>
  <c r="Q50" i="2"/>
  <c r="Q54" i="2"/>
  <c r="Q38" i="2"/>
  <c r="Q37" i="2"/>
  <c r="Q36" i="2"/>
  <c r="Q35" i="2"/>
  <c r="Q34" i="2"/>
  <c r="Q55" i="2"/>
  <c r="P47" i="2"/>
  <c r="P46" i="2"/>
  <c r="P49" i="2"/>
  <c r="P33" i="2"/>
  <c r="P30" i="2"/>
  <c r="P50" i="2"/>
  <c r="P54" i="2"/>
  <c r="P39" i="2"/>
  <c r="P38" i="2"/>
  <c r="P37" i="2"/>
  <c r="P36" i="2"/>
  <c r="P35" i="2"/>
  <c r="P34" i="2"/>
  <c r="P55" i="2"/>
  <c r="O47" i="2"/>
  <c r="O46" i="2"/>
  <c r="O49" i="2"/>
  <c r="O33" i="2"/>
  <c r="O30" i="2"/>
  <c r="O50" i="2"/>
  <c r="O54" i="2"/>
  <c r="O39" i="2"/>
  <c r="O38" i="2"/>
  <c r="O37" i="2"/>
  <c r="O36" i="2"/>
  <c r="O35" i="2"/>
  <c r="O34" i="2"/>
  <c r="O55" i="2"/>
  <c r="N47" i="2"/>
  <c r="N46" i="2"/>
  <c r="N49" i="2"/>
  <c r="N33" i="2"/>
  <c r="N30" i="2"/>
  <c r="N39" i="2" s="1"/>
  <c r="N50" i="2"/>
  <c r="N54" i="2"/>
  <c r="N38" i="2"/>
  <c r="N37" i="2"/>
  <c r="N36" i="2"/>
  <c r="N35" i="2"/>
  <c r="N34" i="2"/>
  <c r="N55" i="2"/>
  <c r="M47" i="2"/>
  <c r="M46" i="2"/>
  <c r="M49" i="2"/>
  <c r="M33" i="2"/>
  <c r="M30" i="2"/>
  <c r="M39" i="2" s="1"/>
  <c r="M50" i="2"/>
  <c r="M54" i="2"/>
  <c r="M38" i="2"/>
  <c r="M37" i="2"/>
  <c r="M36" i="2"/>
  <c r="M35" i="2"/>
  <c r="M34" i="2"/>
  <c r="M55" i="2"/>
  <c r="L47" i="2"/>
  <c r="L46" i="2"/>
  <c r="L49" i="2"/>
  <c r="L33" i="2"/>
  <c r="L30" i="2"/>
  <c r="L39" i="2" s="1"/>
  <c r="L50" i="2"/>
  <c r="L54" i="2"/>
  <c r="L38" i="2"/>
  <c r="L37" i="2"/>
  <c r="L36" i="2"/>
  <c r="L35" i="2"/>
  <c r="L34" i="2"/>
  <c r="L55" i="2"/>
  <c r="K47" i="2"/>
  <c r="K46" i="2"/>
  <c r="K49" i="2"/>
  <c r="K33" i="2"/>
  <c r="K30" i="2"/>
  <c r="K39" i="2" s="1"/>
  <c r="K50" i="2"/>
  <c r="K54" i="2"/>
  <c r="K38" i="2"/>
  <c r="K37" i="2"/>
  <c r="K36" i="2"/>
  <c r="K35" i="2"/>
  <c r="K34" i="2"/>
  <c r="K55" i="2"/>
  <c r="J47" i="2"/>
  <c r="J46" i="2"/>
  <c r="J49" i="2"/>
  <c r="J33" i="2"/>
  <c r="J30" i="2"/>
  <c r="J39" i="2" s="1"/>
  <c r="J50" i="2"/>
  <c r="J54" i="2"/>
  <c r="J38" i="2"/>
  <c r="J37" i="2"/>
  <c r="J36" i="2"/>
  <c r="J35" i="2"/>
  <c r="J34" i="2"/>
  <c r="J55" i="2"/>
  <c r="I47" i="2"/>
  <c r="I46" i="2"/>
  <c r="I49" i="2"/>
  <c r="I33" i="2"/>
  <c r="I30" i="2"/>
  <c r="I39" i="2" s="1"/>
  <c r="I50" i="2"/>
  <c r="I54" i="2"/>
  <c r="I38" i="2"/>
  <c r="I37" i="2"/>
  <c r="I36" i="2"/>
  <c r="I35" i="2"/>
  <c r="I34" i="2"/>
  <c r="I55" i="2"/>
  <c r="H47" i="2"/>
  <c r="H46" i="2"/>
  <c r="H49" i="2"/>
  <c r="H33" i="2"/>
  <c r="H30" i="2"/>
  <c r="H50" i="2"/>
  <c r="H54" i="2"/>
  <c r="H39" i="2"/>
  <c r="H38" i="2"/>
  <c r="H37" i="2"/>
  <c r="H36" i="2"/>
  <c r="H35" i="2"/>
  <c r="H34" i="2"/>
  <c r="H55" i="2"/>
  <c r="G47" i="2"/>
  <c r="G46" i="2"/>
  <c r="G49" i="2"/>
  <c r="G33" i="2"/>
  <c r="G30" i="2"/>
  <c r="G39" i="2" s="1"/>
  <c r="G50" i="2"/>
  <c r="G54" i="2"/>
  <c r="G38" i="2"/>
  <c r="G37" i="2"/>
  <c r="G36" i="2"/>
  <c r="G35" i="2"/>
  <c r="G34" i="2"/>
  <c r="G55" i="2"/>
  <c r="F47" i="2"/>
  <c r="F46" i="2"/>
  <c r="F49" i="2"/>
  <c r="F33" i="2"/>
  <c r="F30" i="2"/>
  <c r="F39" i="2" s="1"/>
  <c r="F50" i="2"/>
  <c r="F54" i="2"/>
  <c r="F38" i="2"/>
  <c r="F37" i="2"/>
  <c r="F36" i="2"/>
  <c r="F35" i="2"/>
  <c r="F34" i="2"/>
  <c r="F55" i="2"/>
  <c r="E47" i="2"/>
  <c r="E46" i="2"/>
  <c r="E49" i="2"/>
  <c r="E33" i="2"/>
  <c r="E30" i="2"/>
  <c r="E39" i="2" s="1"/>
  <c r="E50" i="2"/>
  <c r="E54" i="2"/>
  <c r="E38" i="2"/>
  <c r="E37" i="2"/>
  <c r="E36" i="2"/>
  <c r="E35" i="2"/>
  <c r="E34" i="2"/>
  <c r="E55" i="2"/>
  <c r="D47" i="2"/>
  <c r="D46" i="2"/>
  <c r="D49" i="2"/>
  <c r="D33" i="2"/>
  <c r="D30" i="2"/>
  <c r="D39" i="2" s="1"/>
  <c r="D50" i="2"/>
  <c r="D54" i="2"/>
  <c r="D38" i="2"/>
  <c r="D37" i="2"/>
  <c r="D36" i="2"/>
  <c r="D35" i="2"/>
  <c r="D34" i="2"/>
  <c r="D55" i="2"/>
  <c r="C47" i="2"/>
  <c r="C46" i="2"/>
  <c r="C49" i="2"/>
  <c r="C30" i="2"/>
  <c r="C50" i="2"/>
  <c r="C52" i="2" l="1"/>
  <c r="C51" i="2"/>
  <c r="D57" i="2"/>
  <c r="D56" i="2"/>
  <c r="D52" i="2"/>
  <c r="D51" i="2"/>
  <c r="E57" i="2"/>
  <c r="E56" i="2"/>
  <c r="E52" i="2"/>
  <c r="E51" i="2"/>
  <c r="F57" i="2"/>
  <c r="F56" i="2"/>
  <c r="F52" i="2"/>
  <c r="F51" i="2"/>
  <c r="G57" i="2"/>
  <c r="G56" i="2"/>
  <c r="G52" i="2"/>
  <c r="G51" i="2"/>
  <c r="H57" i="2"/>
  <c r="H56" i="2"/>
  <c r="H52" i="2"/>
  <c r="H51" i="2"/>
  <c r="I57" i="2"/>
  <c r="I56" i="2"/>
  <c r="I52" i="2"/>
  <c r="I51" i="2"/>
  <c r="J57" i="2"/>
  <c r="J56" i="2"/>
  <c r="J52" i="2"/>
  <c r="J51" i="2"/>
  <c r="K57" i="2"/>
  <c r="K56" i="2"/>
  <c r="K52" i="2"/>
  <c r="K51" i="2"/>
  <c r="L57" i="2"/>
  <c r="L56" i="2"/>
  <c r="L52" i="2"/>
  <c r="L51" i="2"/>
  <c r="M57" i="2"/>
  <c r="M56" i="2"/>
  <c r="M52" i="2"/>
  <c r="M51" i="2"/>
  <c r="N57" i="2"/>
  <c r="N56" i="2"/>
  <c r="N52" i="2"/>
  <c r="N51" i="2"/>
  <c r="O57" i="2"/>
  <c r="O56" i="2"/>
  <c r="O52" i="2"/>
  <c r="O51" i="2"/>
  <c r="P57" i="2"/>
  <c r="P56" i="2"/>
  <c r="P52" i="2"/>
  <c r="P51" i="2"/>
  <c r="Q57" i="2"/>
  <c r="Q56" i="2"/>
  <c r="Q52" i="2"/>
  <c r="Q51" i="2"/>
  <c r="C24" i="2"/>
  <c r="C28" i="2" s="1"/>
  <c r="C12" i="2" l="1"/>
  <c r="C54" i="2"/>
  <c r="C32" i="2"/>
  <c r="C33" i="2"/>
  <c r="C39" i="2"/>
  <c r="C38" i="2"/>
  <c r="C37" i="2"/>
  <c r="C36" i="2"/>
  <c r="C35" i="2"/>
  <c r="C34" i="2"/>
  <c r="C55" i="2"/>
  <c r="C57" i="2" l="1"/>
  <c r="C56" i="2"/>
</calcChain>
</file>

<file path=xl/sharedStrings.xml><?xml version="1.0" encoding="utf-8"?>
<sst xmlns="http://schemas.openxmlformats.org/spreadsheetml/2006/main" count="10137" uniqueCount="2790">
  <si>
    <t>Identifier</t>
  </si>
  <si>
    <t>Model</t>
  </si>
  <si>
    <t>Pipeline/Prompt</t>
  </si>
  <si>
    <t>Hyperparameter tuning</t>
  </si>
  <si>
    <t>Hyperparameter config</t>
  </si>
  <si>
    <t>H.#</t>
  </si>
  <si>
    <t>Manual</t>
  </si>
  <si>
    <t>N/A</t>
  </si>
  <si>
    <t>L0.# | L0_ii.# | L0_iii.# | L0_iv.#</t>
  </si>
  <si>
    <t>Meta/LLaMa-3.1</t>
  </si>
  <si>
    <t>Base</t>
  </si>
  <si>
    <t>Optimal</t>
  </si>
  <si>
    <t>CHECK_APPLICABILITY_CHAIN: {top_p: 0.95; temperature: 0.6}
SEARCH_DOMAIN_ELEMENTS_CHAIN: {top_p: 0.95; temperature: 0.65}
GENERATE_CHAIN: {top_p: 0.95; temperature: 0.7}
FORMAT_CHAIN: {top_p: 0.95; temperature: 0.5}</t>
  </si>
  <si>
    <t>L1.#</t>
  </si>
  <si>
    <t>Low temperature</t>
  </si>
  <si>
    <t>CHECK_APPLICABILITY_CHAIN: {top_p: 0.95; temperature: 0.6}
SEARCH_DOMAIN_ELEMENTS_CHAIN: {top_p: 0.85; temperature: 0.55}
GENERATE_CHAIN: {top_p: 0.85; temperature: 0.6}
FORMAT_CHAIN: {top_p: 0.95; temperature: 0.5}</t>
  </si>
  <si>
    <t>L2.#</t>
  </si>
  <si>
    <t>High temperature</t>
  </si>
  <si>
    <t>CHECK_APPLICABILITY_CHAIN: {top_p: 0.95; temperature: 0.6}
SEARCH_DOMAIN_ELEMENTS_CHAIN: {top_p: 0.95; temperature: 0.75}
GENERATE_CHAIN: {top_p: 0.95; temperature: 0.8}
FORMAT_CHAIN: {top_p: 0.95; temperature: 0.5}</t>
  </si>
  <si>
    <t>L3.#</t>
  </si>
  <si>
    <t>Branched (high sigma)</t>
  </si>
  <si>
    <t>CHECK_APPLICABILITY_CHAIN (x1): {top_p: 0.95; temperature: 0.6}
SEARCH_DOMAIN_ELEMENTS_CHAIN (x4): {top_p: 0.95; temperature: 0.65}
GENERATE_CHAIN (x4): {top_p: 0.95; temperature: 0.7}
COALESCE_CHAIN (x1): {top_p: 0.95; temperature: 0.6}
FORMAT_CHAIN: {top_p: 0.95; temperature: 0.6}</t>
  </si>
  <si>
    <t>L4.#</t>
  </si>
  <si>
    <t>AiO</t>
  </si>
  <si>
    <t>GENERATE_CHAIN (x1): {top_p: 0.95; temperature: 0.7}
FORMAT_CHAIN: {top_p: 0.95; temperature: 0.5}</t>
  </si>
  <si>
    <t>L5.#</t>
  </si>
  <si>
    <t>Few shot</t>
  </si>
  <si>
    <t>CHECK_APPLICABILITY_CHAIN: {top_p: 0.95; temperature: 0.6}
SEARCH_DOMAIN_ELEMENTS_CHAIN: {top_p: 0.95; temperature: 0.75}
GENERATE_CHAIN: {top_p: 0.95; temperature: 0.8}
FORMAT_CHAIN: {top_p: 0.95; temperature: 0.6}</t>
  </si>
  <si>
    <t>L0a.#</t>
  </si>
  <si>
    <t>No repetitions</t>
  </si>
  <si>
    <t>L0b.#</t>
  </si>
  <si>
    <t>Simplified</t>
  </si>
  <si>
    <t>Q0.# | Q0_ii.# | Q0_iii.# | Q0_iv.#</t>
  </si>
  <si>
    <t>Qwen/Qwen2-72B</t>
  </si>
  <si>
    <t>Q1.#</t>
  </si>
  <si>
    <t>Q2.#</t>
  </si>
  <si>
    <t>M0.# | M0_ii.# | M0_iii.# | M0_iv.#</t>
  </si>
  <si>
    <t>mistralai/Mixtral-8x22B</t>
  </si>
  <si>
    <t>M1.#</t>
  </si>
  <si>
    <t>M2.#</t>
  </si>
  <si>
    <t>G0.# | G0_ii.# | G0_iii.# | G0_iv.#</t>
  </si>
  <si>
    <t>GPT-4-Turbo</t>
  </si>
  <si>
    <t>CHECK_APPLICABILITY_CHAIN: {temperature: 0.6}
SEARCH_DOMAIN_ELEMENTS_CHAIN: {temperature: 0.65}
GENERATE_CHAIN: {temperature: 0.7}
FORMAT_CHAIN: {temperature: 0.5}</t>
  </si>
  <si>
    <t>G1.#</t>
  </si>
  <si>
    <t>CHECK_APPLICABILITY_CHAIN: {temperature: 0.6}
SEARCH_DOMAIN_ELEMENTS_CHAIN: { temperature: 0.55}
GENERATE_CHAIN: {temperature: 0.6}
FORMAT_CHAIN: {temperature: 0.5}</t>
  </si>
  <si>
    <t>G2.#</t>
  </si>
  <si>
    <t>CHECK_APPLICABILITY_CHAIN: {temperature: 0.6}
SEARCH_DOMAIN_ELEMENTS_CHAIN: {temperature: 0.75}
GENERATE_CHAIN: {temperature: 0.8}
FORMAT_CHAIN: {temperature: 0.5}</t>
  </si>
  <si>
    <t>H</t>
  </si>
  <si>
    <t>L0</t>
  </si>
  <si>
    <t>L1</t>
  </si>
  <si>
    <t>L2</t>
  </si>
  <si>
    <t>L3</t>
  </si>
  <si>
    <t>L4</t>
  </si>
  <si>
    <t>L5</t>
  </si>
  <si>
    <t>Q0</t>
  </si>
  <si>
    <t>Q1</t>
  </si>
  <si>
    <t>Q2</t>
  </si>
  <si>
    <t>M0</t>
  </si>
  <si>
    <t>M1</t>
  </si>
  <si>
    <t>M2</t>
  </si>
  <si>
    <t>G0</t>
  </si>
  <si>
    <t>G1</t>
  </si>
  <si>
    <t>G2</t>
  </si>
  <si>
    <t>L0a</t>
  </si>
  <si>
    <t>L0b</t>
  </si>
  <si>
    <t>Covered (H)</t>
  </si>
  <si>
    <t>Uncovered (H)</t>
  </si>
  <si>
    <t>Partial (H)</t>
  </si>
  <si>
    <t>Total (H)</t>
  </si>
  <si>
    <t>Hallucinations</t>
  </si>
  <si>
    <t>Partial hallucinations</t>
  </si>
  <si>
    <t>GT = H</t>
  </si>
  <si>
    <t>Covered + Partial (H)</t>
  </si>
  <si>
    <t>Uncovered + Partial (H)</t>
  </si>
  <si>
    <t>Precision</t>
  </si>
  <si>
    <t>Recall worst</t>
  </si>
  <si>
    <t>Recall best</t>
  </si>
  <si>
    <t>GT = GS</t>
  </si>
  <si>
    <t>Total (GS)</t>
  </si>
  <si>
    <t>Discovered (GS)</t>
  </si>
  <si>
    <t>Covered (GS)</t>
  </si>
  <si>
    <t>Uncovered (GS)</t>
  </si>
  <si>
    <t>Covered + Partial (GS)</t>
  </si>
  <si>
    <t>Uncovered + Partial (GS)</t>
  </si>
  <si>
    <t>Recall gain worst</t>
  </si>
  <si>
    <t>Recall gain best</t>
  </si>
  <si>
    <t>F1 worst</t>
  </si>
  <si>
    <t>F1 best</t>
  </si>
  <si>
    <t>F2 worst</t>
  </si>
  <si>
    <t>F2 best</t>
  </si>
  <si>
    <t>F0.5 worst</t>
  </si>
  <si>
    <t>F0.5 best</t>
  </si>
  <si>
    <t>Relative F2 worst</t>
  </si>
  <si>
    <t>Relative F2 best</t>
  </si>
  <si>
    <t>P-value</t>
  </si>
  <si>
    <t>(90%)</t>
  </si>
  <si>
    <t>Z</t>
  </si>
  <si>
    <t>Recall worst [CI center]</t>
  </si>
  <si>
    <t>± Margin of error</t>
  </si>
  <si>
    <t>±</t>
  </si>
  <si>
    <t>CI lower bound</t>
  </si>
  <si>
    <t>CI upper bound</t>
  </si>
  <si>
    <t>Recall best [CI center]</t>
  </si>
  <si>
    <t>Precision [CI center]</t>
  </si>
  <si>
    <t>Other counts</t>
  </si>
  <si>
    <t>TOTAL (exc. L0a, L0b)</t>
  </si>
  <si>
    <t>Covered (*)</t>
  </si>
  <si>
    <t>Uncovered (*)</t>
  </si>
  <si>
    <t>Partial (*)</t>
  </si>
  <si>
    <t>Hallucinations (*)</t>
  </si>
  <si>
    <t>Template drift</t>
  </si>
  <si>
    <t>Contextual misfit</t>
  </si>
  <si>
    <t>Scope misalignment</t>
  </si>
  <si>
    <t>Responsiibility leakage</t>
  </si>
  <si>
    <t>Architectural infeasibility</t>
  </si>
  <si>
    <t>Discoveries (*)</t>
  </si>
  <si>
    <t>Total judgments (forward) (*)</t>
  </si>
  <si>
    <t>Partial (*)/Covered (*)</t>
  </si>
  <si>
    <t>Partial(*)/Any(*)</t>
  </si>
  <si>
    <t>Partial (backward)</t>
  </si>
  <si>
    <t>Total judgments (backward)</t>
  </si>
  <si>
    <t>Partial/Any (backward)</t>
  </si>
  <si>
    <t>Hallucinations per model and category</t>
  </si>
  <si>
    <t>LLaMa</t>
  </si>
  <si>
    <t>Qwen</t>
  </si>
  <si>
    <t>Mixtral</t>
  </si>
  <si>
    <t>GPT</t>
  </si>
  <si>
    <t>Total</t>
  </si>
  <si>
    <t>Including hallucinations</t>
  </si>
  <si>
    <t>Excluding hallucinations</t>
  </si>
  <si>
    <t>Intersec.</t>
  </si>
  <si>
    <t>Union</t>
  </si>
  <si>
    <t>J-index</t>
  </si>
  <si>
    <t>L0_i vs L0_ii</t>
  </si>
  <si>
    <t>L0_i vs L0_iii</t>
  </si>
  <si>
    <t>L0_i vs L0_iv</t>
  </si>
  <si>
    <t>L0_ii vs L0_iii</t>
  </si>
  <si>
    <t>L0_ii vs L0_iv</t>
  </si>
  <si>
    <t>L0_iii vs L0_iv</t>
  </si>
  <si>
    <t>Mean (a)</t>
  </si>
  <si>
    <t>Mean (g)</t>
  </si>
  <si>
    <t>G0_i vs G0_ii</t>
  </si>
  <si>
    <t>G0_i vs G0_iii</t>
  </si>
  <si>
    <t>G0_i vs G0_iv</t>
  </si>
  <si>
    <t>G0_ii vs G0_iii</t>
  </si>
  <si>
    <t>G0_ii vs G0_iv</t>
  </si>
  <si>
    <t>G0_iii vs G0_iv</t>
  </si>
  <si>
    <t>M0_i vs M0_ii</t>
  </si>
  <si>
    <t>M0_i vs M0_iii</t>
  </si>
  <si>
    <t>M0_i vs M0_iv</t>
  </si>
  <si>
    <t>M0_ii vs M0_iii</t>
  </si>
  <si>
    <t>M0_ii vs M0_iv</t>
  </si>
  <si>
    <t>M0_iii vs M0_iv</t>
  </si>
  <si>
    <t>Q0_i vs Q0_ii</t>
  </si>
  <si>
    <t>Q0_i vs Q0_iii</t>
  </si>
  <si>
    <t>Q0_i vs Q0_iv</t>
  </si>
  <si>
    <t>Q0_ii vs Q0_iii</t>
  </si>
  <si>
    <t>Q0_ii vs Q0_iv</t>
  </si>
  <si>
    <t>Q0_iii vs Q0_iv</t>
  </si>
  <si>
    <t>L3_i vs L3_ii</t>
  </si>
  <si>
    <t>L3_i vs L3_iii</t>
  </si>
  <si>
    <t>L3_i vs L3_iv</t>
  </si>
  <si>
    <t>L3_ii vs L3_iii</t>
  </si>
  <si>
    <t>L3_ii vs L3_iv</t>
  </si>
  <si>
    <t>L3_iii vs L3_iv</t>
  </si>
  <si>
    <t>Inter-model</t>
  </si>
  <si>
    <t>L0_* vs Q0_*</t>
  </si>
  <si>
    <t>L0_* vs M0_*</t>
  </si>
  <si>
    <t>L0_* vs G0_*</t>
  </si>
  <si>
    <t>Q0_* vs M0_*</t>
  </si>
  <si>
    <t>Q0_* vs G0_*</t>
  </si>
  <si>
    <t>M0_* vs G0_*</t>
  </si>
  <si>
    <t>Model 
configuration</t>
  </si>
  <si>
    <t>#</t>
  </si>
  <si>
    <t>L3_i</t>
  </si>
  <si>
    <t>L3_ii</t>
  </si>
  <si>
    <t>L3_iii</t>
  </si>
  <si>
    <t>L3_iv</t>
  </si>
  <si>
    <t>Hall.</t>
  </si>
  <si>
    <t>L3_i &amp;&amp; L3_ii</t>
  </si>
  <si>
    <t>L3_i || L3_ii</t>
  </si>
  <si>
    <t>L3_i &amp;&amp; L3_iii</t>
  </si>
  <si>
    <t>L3_i || L3_iii</t>
  </si>
  <si>
    <t>L3_i &amp;&amp; L3_iv</t>
  </si>
  <si>
    <t>L3_i || L3_iv</t>
  </si>
  <si>
    <t>L3_ii &amp;&amp; L3_iii</t>
  </si>
  <si>
    <t>L3_ii || L3_iii</t>
  </si>
  <si>
    <t>L3_ii &amp;&amp; L3_iv</t>
  </si>
  <si>
    <t>L3_ii || L3_iv</t>
  </si>
  <si>
    <t>L3_iii &amp;&amp; L3_iv</t>
  </si>
  <si>
    <t>L3_iii || L3_iv</t>
  </si>
  <si>
    <t>H.1.1</t>
  </si>
  <si>
    <t>X</t>
  </si>
  <si>
    <t>No</t>
  </si>
  <si>
    <t>GS.1.3</t>
  </si>
  <si>
    <t>L3.1.2</t>
  </si>
  <si>
    <t>Yes</t>
  </si>
  <si>
    <t>L3.1.5</t>
  </si>
  <si>
    <t>L3.1.6</t>
  </si>
  <si>
    <t>H.2.1</t>
  </si>
  <si>
    <t>L3.2.4</t>
  </si>
  <si>
    <t>L3.3.1</t>
  </si>
  <si>
    <t>H.3.1</t>
  </si>
  <si>
    <t>H.3.2</t>
  </si>
  <si>
    <t>H.3.4</t>
  </si>
  <si>
    <t>H.3.5</t>
  </si>
  <si>
    <t>L3.3.3</t>
  </si>
  <si>
    <t>L3.3.4</t>
  </si>
  <si>
    <t>L3.3.8</t>
  </si>
  <si>
    <t>L3.3.9</t>
  </si>
  <si>
    <t>L3.3.10</t>
  </si>
  <si>
    <t>L3.3.11</t>
  </si>
  <si>
    <t>L3.3.12</t>
  </si>
  <si>
    <t>L3.3.13</t>
  </si>
  <si>
    <t>H.4.1</t>
  </si>
  <si>
    <t>H.4.2</t>
  </si>
  <si>
    <t>H.4.3</t>
  </si>
  <si>
    <t>H.4.4</t>
  </si>
  <si>
    <t>H.4.5</t>
  </si>
  <si>
    <t>H.4.7</t>
  </si>
  <si>
    <t>P</t>
  </si>
  <si>
    <t>H.4.8</t>
  </si>
  <si>
    <t>GS.4.10</t>
  </si>
  <si>
    <t>GS.4.14</t>
  </si>
  <si>
    <t>GS.4.20</t>
  </si>
  <si>
    <t>GS.4.21</t>
  </si>
  <si>
    <t>H.5.1</t>
  </si>
  <si>
    <t>GS.5.3</t>
  </si>
  <si>
    <t>GS.5.5</t>
  </si>
  <si>
    <t>L3.5.6</t>
  </si>
  <si>
    <t>L3.5.7</t>
  </si>
  <si>
    <t>H.6.1</t>
  </si>
  <si>
    <t>GS.6.4</t>
  </si>
  <si>
    <t>H.7.1</t>
  </si>
  <si>
    <t>H.7.2</t>
  </si>
  <si>
    <t>H.7.3</t>
  </si>
  <si>
    <t>GS.7.5</t>
  </si>
  <si>
    <t>GS.7.6</t>
  </si>
  <si>
    <t>GS.7.9</t>
  </si>
  <si>
    <t>GS.7.10</t>
  </si>
  <si>
    <t>H.8.1</t>
  </si>
  <si>
    <t>GS.8.2</t>
  </si>
  <si>
    <t>GS.8.3</t>
  </si>
  <si>
    <t>L3.8.3</t>
  </si>
  <si>
    <t>L3.8.5</t>
  </si>
  <si>
    <t>L3.8.6</t>
  </si>
  <si>
    <t>H.9.1</t>
  </si>
  <si>
    <t>H.9.2</t>
  </si>
  <si>
    <t>H.9.3</t>
  </si>
  <si>
    <t>GS.9.4</t>
  </si>
  <si>
    <t>GS.9.6</t>
  </si>
  <si>
    <t>GS.9.7</t>
  </si>
  <si>
    <t>L3.9.3</t>
  </si>
  <si>
    <t>H.10.2</t>
  </si>
  <si>
    <t>H.10.3</t>
  </si>
  <si>
    <t>GS.10.5</t>
  </si>
  <si>
    <t>L3.10.5</t>
  </si>
  <si>
    <t>L3.10.6</t>
  </si>
  <si>
    <t>L3.10.7</t>
  </si>
  <si>
    <t>L3.10.8</t>
  </si>
  <si>
    <t>L3.10.11</t>
  </si>
  <si>
    <t>Count</t>
  </si>
  <si>
    <t>Avg.</t>
  </si>
  <si>
    <t>L0_i</t>
  </si>
  <si>
    <t>L0_ii</t>
  </si>
  <si>
    <t>L0_iii</t>
  </si>
  <si>
    <t>L0_iv</t>
  </si>
  <si>
    <t>L0_i &amp;&amp; L0_ii</t>
  </si>
  <si>
    <t>L0_i || L0_ii</t>
  </si>
  <si>
    <t>L0_i &amp;&amp; L0_iii</t>
  </si>
  <si>
    <t>L0_i || L0_iii</t>
  </si>
  <si>
    <t>L0_i &amp;&amp; L0_iv</t>
  </si>
  <si>
    <t>L0_i || L0_iv</t>
  </si>
  <si>
    <t>L0_ii &amp;&amp; L0_iii</t>
  </si>
  <si>
    <t>L0_ii || L0_iii</t>
  </si>
  <si>
    <t>L0_ii &amp;&amp; L0_iv</t>
  </si>
  <si>
    <t>L0_ii || L0_iv</t>
  </si>
  <si>
    <t>L0_iii &amp;&amp; L0_iv</t>
  </si>
  <si>
    <t>L0_iii || L0_iv</t>
  </si>
  <si>
    <t>H.2.2</t>
  </si>
  <si>
    <t>GS.2.3</t>
  </si>
  <si>
    <t>L0_ii.2.1; L0_iii.2.2</t>
  </si>
  <si>
    <t>L0_ii.2.3</t>
  </si>
  <si>
    <t>L0_iii.2.5</t>
  </si>
  <si>
    <t>L0.3.3; L0_ii.3.2</t>
  </si>
  <si>
    <t>GS.4.9</t>
  </si>
  <si>
    <t>GS.4.11</t>
  </si>
  <si>
    <t>GS.4.12</t>
  </si>
  <si>
    <t>H.5.2</t>
  </si>
  <si>
    <t>L0.5.4; L0_iv.5.3</t>
  </si>
  <si>
    <t>GS.6.2</t>
  </si>
  <si>
    <t>L0_ii.6.2</t>
  </si>
  <si>
    <t>GS.7.4</t>
  </si>
  <si>
    <t>L0_ii.7.2</t>
  </si>
  <si>
    <t>L0_iii.7.2</t>
  </si>
  <si>
    <t>L0_iii.7.5</t>
  </si>
  <si>
    <t>L0_iii.7.8</t>
  </si>
  <si>
    <t>L0_iii.8.5</t>
  </si>
  <si>
    <t>GS.9.8</t>
  </si>
  <si>
    <t>GS.10.4</t>
  </si>
  <si>
    <t>GS.10.6</t>
  </si>
  <si>
    <t>GS.10.11</t>
  </si>
  <si>
    <t>GS*.10.12</t>
  </si>
  <si>
    <t>L0_iv.10.4</t>
  </si>
  <si>
    <t>L0_iv.10.5</t>
  </si>
  <si>
    <t>Q0_i</t>
  </si>
  <si>
    <t>Q0_ii</t>
  </si>
  <si>
    <t>Q0_iii</t>
  </si>
  <si>
    <t>Q0_iv</t>
  </si>
  <si>
    <t>Q0_i &amp;&amp; Q0_ii</t>
  </si>
  <si>
    <t>Q0_i || Q0_ii</t>
  </si>
  <si>
    <t>Q0_i &amp;&amp; Q0_iii</t>
  </si>
  <si>
    <t>Q0_i || Q0_iii</t>
  </si>
  <si>
    <t>Q0_i &amp;&amp; Q0_iv</t>
  </si>
  <si>
    <t>Q0_i || Q0_iv</t>
  </si>
  <si>
    <t>Q0_ii &amp;&amp; Q0_iii</t>
  </si>
  <si>
    <t>Q0_ii || Q0_iii</t>
  </si>
  <si>
    <t>Q0_ii &amp;&amp; Q0_iv</t>
  </si>
  <si>
    <t>Q0_ii || Q0_iv</t>
  </si>
  <si>
    <t>Q0_iii &amp;&amp; Q0_iv</t>
  </si>
  <si>
    <t>Q0_iii || Q0_iv</t>
  </si>
  <si>
    <t>H.1.2</t>
  </si>
  <si>
    <t>Q0_iii.2.4</t>
  </si>
  <si>
    <t>GS.3.6</t>
  </si>
  <si>
    <t>Q0.3.2</t>
  </si>
  <si>
    <t>Q0.3.7</t>
  </si>
  <si>
    <t>Q0.3.8</t>
  </si>
  <si>
    <t>Q0.3.9</t>
  </si>
  <si>
    <t>Q0_ii.3.2; Q0_iii.3.3; Q0_iv.3.1</t>
  </si>
  <si>
    <t>Q0_ii.3.3</t>
  </si>
  <si>
    <t>Q0_iii.3.4</t>
  </si>
  <si>
    <t>Q0_iii.3.5</t>
  </si>
  <si>
    <t>Q0_iii.3.6</t>
  </si>
  <si>
    <t>H.4.6</t>
  </si>
  <si>
    <t>GS.4.15</t>
  </si>
  <si>
    <t>GS.4.16</t>
  </si>
  <si>
    <t>GS.4.17</t>
  </si>
  <si>
    <t>GS.4.18</t>
  </si>
  <si>
    <t>Q0.4.2</t>
  </si>
  <si>
    <t>Q0.4.7</t>
  </si>
  <si>
    <t>Q0.4.11</t>
  </si>
  <si>
    <t>Q0.4.12</t>
  </si>
  <si>
    <t>Q0_ii.4.2</t>
  </si>
  <si>
    <t>Q0_iii.4.3</t>
  </si>
  <si>
    <t>Q0_iii.4.4</t>
  </si>
  <si>
    <t>Q0_iv.4.4</t>
  </si>
  <si>
    <t>GS.5.6</t>
  </si>
  <si>
    <t>Q0_iii.7.2</t>
  </si>
  <si>
    <t>Q0_iii.7.4</t>
  </si>
  <si>
    <t>Q0.9.4</t>
  </si>
  <si>
    <t>Q0_ii.9.4</t>
  </si>
  <si>
    <t>H.10.1</t>
  </si>
  <si>
    <t>Q0.10.2</t>
  </si>
  <si>
    <t>Q0.10.3</t>
  </si>
  <si>
    <t>Q0.10.4</t>
  </si>
  <si>
    <t>Q0.10.5</t>
  </si>
  <si>
    <t>Q0.10.6</t>
  </si>
  <si>
    <t>Q0.10.7</t>
  </si>
  <si>
    <r>
      <rPr>
        <sz val="11"/>
        <color rgb="FF000000"/>
        <rFont val="Aptos Narrow"/>
        <family val="2"/>
        <charset val="1"/>
      </rPr>
      <t xml:space="preserve">Q0_ii.10.4; </t>
    </r>
    <r>
      <rPr>
        <sz val="11"/>
        <color rgb="FF000000"/>
        <rFont val="Aptos Narrow"/>
        <family val="2"/>
      </rPr>
      <t>Q0_iii.10.3</t>
    </r>
  </si>
  <si>
    <t>Q0_iii.10.2</t>
  </si>
  <si>
    <t>M0_i</t>
  </si>
  <si>
    <t>M0_ii</t>
  </si>
  <si>
    <t>M0_iii</t>
  </si>
  <si>
    <t>M0_iv</t>
  </si>
  <si>
    <t>M0_i &amp;&amp; M0_ii</t>
  </si>
  <si>
    <t>M0_i || M0_ii</t>
  </si>
  <si>
    <t>M0_i &amp;&amp; M0_iii</t>
  </si>
  <si>
    <t>M0_i || M0_iii</t>
  </si>
  <si>
    <t>M0_i &amp;&amp; M0_iv</t>
  </si>
  <si>
    <t>M0_i || M0_iv</t>
  </si>
  <si>
    <t>M0_ii &amp;&amp; M0_iii</t>
  </si>
  <si>
    <t>M0_ii || M0_iii</t>
  </si>
  <si>
    <t>M0_ii &amp;&amp; M0_iv</t>
  </si>
  <si>
    <t>M0_ii || M0_iv</t>
  </si>
  <si>
    <t>M0_iii &amp;&amp; M0_iv</t>
  </si>
  <si>
    <t>M0_iii || M0_iv</t>
  </si>
  <si>
    <t>M0.2.1; M0_ii.2.1; M0_iii.2.1</t>
  </si>
  <si>
    <t>M0.2.2; M0_ii.2.3</t>
  </si>
  <si>
    <t>M0.2.3</t>
  </si>
  <si>
    <t>M0.2.4; M0_iii.2.5</t>
  </si>
  <si>
    <t>M0_ii.2.2</t>
  </si>
  <si>
    <t>M0_ii.2.4</t>
  </si>
  <si>
    <t>M0_ii.2.5</t>
  </si>
  <si>
    <t>M0_iii.2.2</t>
  </si>
  <si>
    <t>M0_iii.2.3</t>
  </si>
  <si>
    <t>M0_iii.2.4</t>
  </si>
  <si>
    <t>M0.3.4</t>
  </si>
  <si>
    <t>M0_ii.3.1; M0_iii.3.1</t>
  </si>
  <si>
    <t>M0_ii.3.2; M0_iv.3.2</t>
  </si>
  <si>
    <t>M0_ii.3.3; M0_iv.3.3</t>
  </si>
  <si>
    <t>M0_iii.4.2</t>
  </si>
  <si>
    <t>M0.5.3; M0_iii.5.3</t>
  </si>
  <si>
    <t>GS.6.3</t>
  </si>
  <si>
    <t>M0_ii.7.1</t>
  </si>
  <si>
    <t>M0_ii.7.4</t>
  </si>
  <si>
    <t>M0_ii.7.5</t>
  </si>
  <si>
    <t>M0_iv.7.3</t>
  </si>
  <si>
    <t>M0_iv.7.5</t>
  </si>
  <si>
    <r>
      <rPr>
        <sz val="11"/>
        <color rgb="FF000000"/>
        <rFont val="Aptos Narrow"/>
        <family val="2"/>
        <charset val="1"/>
      </rPr>
      <t xml:space="preserve">M0_ii.8.2; </t>
    </r>
    <r>
      <rPr>
        <sz val="11"/>
        <color rgb="FF000000"/>
        <rFont val="Aptos Narrow"/>
        <family val="2"/>
      </rPr>
      <t>M0_iii.8.1</t>
    </r>
  </si>
  <si>
    <t>M0_ii.8.3</t>
  </si>
  <si>
    <t>M0_ii.8.4</t>
  </si>
  <si>
    <t>M0_ii.8.5</t>
  </si>
  <si>
    <t>M0_iii.8.3</t>
  </si>
  <si>
    <t>M0_iv.8.1</t>
  </si>
  <si>
    <t>M0_iv.8.2</t>
  </si>
  <si>
    <t>GS.10.9</t>
  </si>
  <si>
    <t>GS.10.10</t>
  </si>
  <si>
    <t>G0_i</t>
  </si>
  <si>
    <t>G0_ii</t>
  </si>
  <si>
    <t>G0_iii</t>
  </si>
  <si>
    <t>G0_iv</t>
  </si>
  <si>
    <t>G0_i &amp;&amp; G0_ii</t>
  </si>
  <si>
    <t>G0_i || G0_ii</t>
  </si>
  <si>
    <t>G0_i &amp;&amp; G0_iii</t>
  </si>
  <si>
    <t>G0_i || G0_iii</t>
  </si>
  <si>
    <t>G0_i &amp;&amp; G0_iv</t>
  </si>
  <si>
    <t>G0_i || G0_iv</t>
  </si>
  <si>
    <t>G0_ii &amp;&amp; G0_iii</t>
  </si>
  <si>
    <t>G0_ii || G0_iii</t>
  </si>
  <si>
    <t>G0_ii &amp;&amp; G0_iv</t>
  </si>
  <si>
    <t>G0_ii || G0_iv</t>
  </si>
  <si>
    <t>G0_iii &amp;&amp; G0_iv</t>
  </si>
  <si>
    <t>G0_iii || G0_iv</t>
  </si>
  <si>
    <t>G0.2.2</t>
  </si>
  <si>
    <t>G0_iii.2.3</t>
  </si>
  <si>
    <t>G0_iii.3.2</t>
  </si>
  <si>
    <t>G0_iv.3.3</t>
  </si>
  <si>
    <t>GS.4.19</t>
  </si>
  <si>
    <t>G0.4.1</t>
  </si>
  <si>
    <t>G0.4.2</t>
  </si>
  <si>
    <t>G0_iv.4.2</t>
  </si>
  <si>
    <t>GS*.5.7</t>
  </si>
  <si>
    <t>G0_iv.5.2</t>
  </si>
  <si>
    <t>G0_iv.5.3</t>
  </si>
  <si>
    <t>G0.6.3</t>
  </si>
  <si>
    <t>G0.10.1; G0_iii.10.3; G0_iv.10.2</t>
  </si>
  <si>
    <t>G0_iii.10.1</t>
  </si>
  <si>
    <t>G0_iv.10.4</t>
  </si>
  <si>
    <t>H. Type</t>
  </si>
  <si>
    <t>L*</t>
  </si>
  <si>
    <t>Q*</t>
  </si>
  <si>
    <t>M*</t>
  </si>
  <si>
    <t>G*</t>
  </si>
  <si>
    <t>L* &amp;&amp; Q*</t>
  </si>
  <si>
    <t>L* || Q*</t>
  </si>
  <si>
    <t>L* &amp;&amp; M*</t>
  </si>
  <si>
    <t>L* || M*</t>
  </si>
  <si>
    <t>L* &amp;&amp; G*</t>
  </si>
  <si>
    <t>L* || G*</t>
  </si>
  <si>
    <t>Q* &amp;&amp; M*</t>
  </si>
  <si>
    <t>Q* || M*</t>
  </si>
  <si>
    <t>Q* &amp;&amp; G*</t>
  </si>
  <si>
    <t>Q* || G*</t>
  </si>
  <si>
    <t>M* &amp;&amp; G*</t>
  </si>
  <si>
    <t>M* || G*</t>
  </si>
  <si>
    <t>GS.1.1</t>
  </si>
  <si>
    <t>GS.1.2</t>
  </si>
  <si>
    <t>GS.2.1</t>
  </si>
  <si>
    <t>GS.2.2</t>
  </si>
  <si>
    <t>L0_iii.2.5; M0_ii.2.2; M0_iii.2.3</t>
  </si>
  <si>
    <t>Q0_iii.2.4; M0_ii.2.4</t>
  </si>
  <si>
    <t>GS.3.1</t>
  </si>
  <si>
    <t>GS.3.2</t>
  </si>
  <si>
    <t>GS.3.3</t>
  </si>
  <si>
    <t>H.3.3</t>
  </si>
  <si>
    <t>GS.3.4</t>
  </si>
  <si>
    <t>GS.3.5</t>
  </si>
  <si>
    <t>GS.3.8</t>
  </si>
  <si>
    <t>L0.3.3; L0_ii.3.2; Q0_ii.3.2; Q0_iii.3.3; Q0_iv.3.1; M0_ii.3.1; M0_iii.3.1</t>
  </si>
  <si>
    <t>GS.4.1</t>
  </si>
  <si>
    <t>GS.4.2</t>
  </si>
  <si>
    <t>GS.4.3</t>
  </si>
  <si>
    <t>GS.4.4</t>
  </si>
  <si>
    <t>GS.4.5</t>
  </si>
  <si>
    <t>GS.4.6</t>
  </si>
  <si>
    <t>GS.4.7</t>
  </si>
  <si>
    <t>GS.4.8</t>
  </si>
  <si>
    <t>GS.5.1</t>
  </si>
  <si>
    <t>GS.5.2</t>
  </si>
  <si>
    <t>GS.5.4</t>
  </si>
  <si>
    <t>Responsibility leakage</t>
  </si>
  <si>
    <r>
      <rPr>
        <sz val="11"/>
        <color rgb="FF000000"/>
        <rFont val="Aptos Narrow"/>
        <family val="2"/>
        <charset val="1"/>
      </rPr>
      <t xml:space="preserve">M0.5.3; </t>
    </r>
    <r>
      <rPr>
        <sz val="11"/>
        <color rgb="FF000000"/>
        <rFont val="Aptos Narrow"/>
        <family val="2"/>
      </rPr>
      <t>M0_iii.5.3</t>
    </r>
  </si>
  <si>
    <t>G0_iv.5.1</t>
  </si>
  <si>
    <t>GS.6.1</t>
  </si>
  <si>
    <t>GS.7.1</t>
  </si>
  <si>
    <t>GS.7.2</t>
  </si>
  <si>
    <t>GS.7.3</t>
  </si>
  <si>
    <t>GS.7.7</t>
  </si>
  <si>
    <t>GS.7.8</t>
  </si>
  <si>
    <t>GS.7.11</t>
  </si>
  <si>
    <t>L0_iii.7.5; M0_ii.7.4</t>
  </si>
  <si>
    <t>L0_iii.7.8; Q0_iii.7.4</t>
  </si>
  <si>
    <t>GS.8.1</t>
  </si>
  <si>
    <t>GS.9.1</t>
  </si>
  <si>
    <t>GS.9.2</t>
  </si>
  <si>
    <t>GS.9.3</t>
  </si>
  <si>
    <t>GS.9.5</t>
  </si>
  <si>
    <t>GS.10.1</t>
  </si>
  <si>
    <t>GS.10.2</t>
  </si>
  <si>
    <t>GS.10.3</t>
  </si>
  <si>
    <t>GS.10.7</t>
  </si>
  <si>
    <t>GS.10.8</t>
  </si>
  <si>
    <t>L0_iv.10.4; G0.10.1; G0_iii.10.3; G0_iv.10.2</t>
  </si>
  <si>
    <t>Avg</t>
  </si>
  <si>
    <t>Norm</t>
  </si>
  <si>
    <t>GS.#</t>
  </si>
  <si>
    <t>Human requirement name</t>
  </si>
  <si>
    <t>Relates</t>
  </si>
  <si>
    <t>Help messages during the {log-on procedure} must not aid an unauthorized user, e.g., by indicating which {parts of the data} are correct or incorrect</t>
  </si>
  <si>
    <t>Employee Auth Info Masking</t>
  </si>
  <si>
    <t>Dealer Auth Info Masking</t>
  </si>
  <si>
    <t>Secure User Management Feedback</t>
  </si>
  <si>
    <t>L3.1.4</t>
  </si>
  <si>
    <t>A security incident must be raised if a potential attempted or successful breach of {log-on controls} is detected, and, when the risk of the incident warrants it, the account shall be temporarily restricted, plus an alert shall be sent to the {account owner}, and to the {organization's system administrators}.</t>
  </si>
  <si>
    <t>Employee Abnormal Behavior Response</t>
  </si>
  <si>
    <t>Dealer Abnormal Behavior Response</t>
  </si>
  <si>
    <t>Security Event Logging</t>
  </si>
  <si>
    <t>L0.2.3</t>
  </si>
  <si>
    <t>M0_iv.2.3</t>
  </si>
  <si>
    <t>Physical or logical access controls must be implemented to isolate {sensitive applications, data, or systems}.</t>
  </si>
  <si>
    <t>Logical Access Control - Data Isolation</t>
  </si>
  <si>
    <t>Physical Access Control</t>
  </si>
  <si>
    <t>Local Access Control</t>
  </si>
  <si>
    <t>Frontend Access Control</t>
  </si>
  <si>
    <t>Actuator Access Control</t>
  </si>
  <si>
    <t>IoT Middleware Platform Isolation</t>
  </si>
  <si>
    <t>L1.3.3</t>
  </si>
  <si>
    <t>Q0.3.6</t>
  </si>
  <si>
    <t>Q1.3.8</t>
  </si>
  <si>
    <t>Q2.3.4</t>
  </si>
  <si>
    <t>M1.3.5</t>
  </si>
  <si>
    <t>G0_iii.3.3</t>
  </si>
  <si>
    <t>G1.3.3</t>
  </si>
  <si>
    <t>G2.3.6</t>
  </si>
  <si>
    <t>Access Control for System Administration</t>
  </si>
  <si>
    <t>M1.3.4</t>
  </si>
  <si>
    <t>{Access to data} must be controlled based on {user identity, group membership, and assigned roles}</t>
  </si>
  <si>
    <t>Access Control for Vehicle &amp; Material Data</t>
  </si>
  <si>
    <t>Access Control for Requisitions Data</t>
  </si>
  <si>
    <t>Vehicle Registry Access</t>
  </si>
  <si>
    <t>Dock Manager Role for Dock Data</t>
  </si>
  <si>
    <t>Dock Manager Role for Warehouse Inventory</t>
  </si>
  <si>
    <t>Role-based Access to AIDC Carriers</t>
  </si>
  <si>
    <t>Role-based Data Access Control</t>
  </si>
  <si>
    <t>Employee User Management Function</t>
  </si>
  <si>
    <t>Role-Based Access Control for External Entities</t>
  </si>
  <si>
    <t>L0.4.3</t>
  </si>
  <si>
    <t>System Admin Access Control</t>
  </si>
  <si>
    <t>L0.4.4</t>
  </si>
  <si>
    <t>L1.4.2</t>
  </si>
  <si>
    <t>L3.4.7</t>
  </si>
  <si>
    <t>L4.4.2</t>
  </si>
  <si>
    <t>M0.4.3p</t>
  </si>
  <si>
    <t>M0_ii.4.1p</t>
  </si>
  <si>
    <t>M0_iii.4.3p</t>
  </si>
  <si>
    <t>M0_iv.4.4</t>
  </si>
  <si>
    <t>Operations Manager Access Control</t>
  </si>
  <si>
    <t>L0.4.5</t>
  </si>
  <si>
    <t>M0_iv.4.5</t>
  </si>
  <si>
    <t>Security Manager Access Control</t>
  </si>
  <si>
    <t>L0.4.6</t>
  </si>
  <si>
    <t>L1.4.3</t>
  </si>
  <si>
    <t>M0_iv.4.6</t>
  </si>
  <si>
    <t>Logistics Terminal Car Registry Access Control</t>
  </si>
  <si>
    <t>L2.4.4</t>
  </si>
  <si>
    <t>L3.4.8</t>
  </si>
  <si>
    <t>L5.4.6</t>
  </si>
  <si>
    <t>Plant_Manager_Permissions</t>
  </si>
  <si>
    <t>Q0.4.6</t>
  </si>
  <si>
    <t>Q0_ii.4.1p</t>
  </si>
  <si>
    <t>Q0_iii.4.1p</t>
  </si>
  <si>
    <t>Q0_iv.4.1p</t>
  </si>
  <si>
    <t>Finished_Car_Yard_Manager_Permissions</t>
  </si>
  <si>
    <t>Q0.4.8</t>
  </si>
  <si>
    <t>Shipping_Manager_Permissions</t>
  </si>
  <si>
    <t>Q0.4.9</t>
  </si>
  <si>
    <t>IoT Middleware Platform Access Control</t>
  </si>
  <si>
    <t>Q0_iv.4.3</t>
  </si>
  <si>
    <t>Q2.4.4</t>
  </si>
  <si>
    <t>M0_iii.4.4</t>
  </si>
  <si>
    <t>Role-Based Access Control Security</t>
  </si>
  <si>
    <t>G0.4.3</t>
  </si>
  <si>
    <t>G0_iii.4.1</t>
  </si>
  <si>
    <t>G0_iv.4.1</t>
  </si>
  <si>
    <t>Production Plan Data Store Access Control</t>
  </si>
  <si>
    <t>L3.4.4</t>
  </si>
  <si>
    <t>L5.4.3</t>
  </si>
  <si>
    <t>Factory Employee Data Access Control</t>
  </si>
  <si>
    <t>L3.4.10</t>
  </si>
  <si>
    <t>The {organization} shall maintain a record of {all privileges allocated}</t>
  </si>
  <si>
    <t>Employee Privileges Record</t>
  </si>
  <si>
    <t>Employee Privileges Record Maintenance</t>
  </si>
  <si>
    <t>Record of Privileges for Factory System Admins</t>
  </si>
  <si>
    <t>L0.5.2</t>
  </si>
  <si>
    <t>L0_ii.5.1</t>
  </si>
  <si>
    <t>L0_iii.5.1</t>
  </si>
  <si>
    <t>L0_iv.5.1</t>
  </si>
  <si>
    <t>L1.5.3</t>
  </si>
  <si>
    <t>L2.5.3</t>
  </si>
  <si>
    <t>L3.5.3</t>
  </si>
  <si>
    <t>Car Manufacturer Access Control Record [external entities]</t>
  </si>
  <si>
    <t>L2.5.2</t>
  </si>
  <si>
    <t>Record of AGV Access Privileges</t>
  </si>
  <si>
    <t>L3.5.2</t>
  </si>
  <si>
    <t>M0.5.2</t>
  </si>
  <si>
    <t>M0_iv.5.2</t>
  </si>
  <si>
    <t>Audit Trail for Access and Privilege Changes</t>
  </si>
  <si>
    <t>L4.5.1</t>
  </si>
  <si>
    <t>L5.5.2</t>
  </si>
  <si>
    <t>Q0_ii.5.2</t>
  </si>
  <si>
    <t>Q0_iii.5.2</t>
  </si>
  <si>
    <t>G0_iii.5.3</t>
  </si>
  <si>
    <t>G1.5.3</t>
  </si>
  <si>
    <t>The {organization} shall regularly review {users} with privileged access rights to ensure that their {duties}, {roles}, {responsibilities}, and {competence} still justify such access</t>
  </si>
  <si>
    <t>Privileged Access Review</t>
  </si>
  <si>
    <t>Justification of Privileged Access Rights</t>
  </si>
  <si>
    <t>L0.6.2</t>
  </si>
  <si>
    <t>L0_iii.6.1; L0_iii.6.2; L0_iii.6.3</t>
  </si>
  <si>
    <t>L0_iv.6.1; L0_iv.6.2; L0_iv.6.3</t>
  </si>
  <si>
    <t>Regular Review of Privileged Access for Logistics Terminal Employees</t>
  </si>
  <si>
    <t>M0.6.2</t>
  </si>
  <si>
    <t>Competency Validation for Cybersecurity Roles</t>
  </si>
  <si>
    <t>L3.6.8</t>
  </si>
  <si>
    <t>G0.6.2</t>
  </si>
  <si>
    <t>G0_iii.6.2</t>
  </si>
  <si>
    <t>{Connection} of {systems} to the {network} must be restricted and filtered, e.g., using firewalls.</t>
  </si>
  <si>
    <t>Internal Network Trust</t>
  </si>
  <si>
    <t>Firewall for Perimeter Network Access</t>
  </si>
  <si>
    <t>Limited Access from Perimeter Networks</t>
  </si>
  <si>
    <t>Secure IT Infrastructure Configuration</t>
  </si>
  <si>
    <t>L0.7.2</t>
  </si>
  <si>
    <t>L0_iv.7.5</t>
  </si>
  <si>
    <t>Filtered Network Access for IoT Middleware Platforms</t>
  </si>
  <si>
    <t>L0.7.3</t>
  </si>
  <si>
    <t>L2.7.3</t>
  </si>
  <si>
    <t>L3.7.8</t>
  </si>
  <si>
    <t>L5.7.2</t>
  </si>
  <si>
    <t>M0.7.1</t>
  </si>
  <si>
    <t>M0_ii.7.2</t>
  </si>
  <si>
    <t>M1.7.1</t>
  </si>
  <si>
    <t>M2.7.2</t>
  </si>
  <si>
    <t>Secure Network Access for AGVs and Robots</t>
  </si>
  <si>
    <t>L0.7.4</t>
  </si>
  <si>
    <t>L0_iii.7.6</t>
  </si>
  <si>
    <t>L0_iv.7.2</t>
  </si>
  <si>
    <t>L3.7.4</t>
  </si>
  <si>
    <t>Secure Logistics Terminal Connections</t>
  </si>
  <si>
    <t>L1.7.2</t>
  </si>
  <si>
    <t>Security Manager Oversight</t>
  </si>
  <si>
    <t>L1.7.5</t>
  </si>
  <si>
    <t>Restricted IoT Device Connections</t>
  </si>
  <si>
    <t>L3.7.5</t>
  </si>
  <si>
    <t>Secured Administration System Network Access</t>
  </si>
  <si>
    <t>L3.7.6</t>
  </si>
  <si>
    <t>Factory Network Access Restriction</t>
  </si>
  <si>
    <t>L4.7.1</t>
  </si>
  <si>
    <t>L5.7.1</t>
  </si>
  <si>
    <t>{Network administration channels} must be segregated from {other network traffic}</t>
  </si>
  <si>
    <t>Maintenance Network Segregation</t>
  </si>
  <si>
    <t>Isolation of Network Administration from Logistics Network Traffic</t>
  </si>
  <si>
    <t>L0.8.2</t>
  </si>
  <si>
    <t>L0_ii_8.1</t>
  </si>
  <si>
    <t>L0_iii.8.3</t>
  </si>
  <si>
    <t>L0_iv.8.2</t>
  </si>
  <si>
    <t>L3.8.2</t>
  </si>
  <si>
    <t>Protection of Administration Channels</t>
  </si>
  <si>
    <t>L3.8.4</t>
  </si>
  <si>
    <t>Implement cryptographic measures to safeguard {information stored} on {mobile user} {endpoint devices} or {storage media} and transmitted over {networks}</t>
  </si>
  <si>
    <t>Cryptographic Safeguarding of Data Stores</t>
  </si>
  <si>
    <t>Cryptographic Safeguarding of RFID Data</t>
  </si>
  <si>
    <t>Network Data Encryption</t>
  </si>
  <si>
    <t>Secure Transmission and Storage of Production Plans</t>
  </si>
  <si>
    <t>L0.9.4</t>
  </si>
  <si>
    <t>L0_ii.9.1</t>
  </si>
  <si>
    <t>L0_iii.9.2</t>
  </si>
  <si>
    <t>L0_iv.9.1</t>
  </si>
  <si>
    <t>L3.9.12</t>
  </si>
  <si>
    <t>Supply Chain Interaction Security</t>
  </si>
  <si>
    <t>L2.9.3</t>
  </si>
  <si>
    <t>EndpointDeviceDataProtection</t>
  </si>
  <si>
    <t>L3.9.11</t>
  </si>
  <si>
    <t>L5.9.5</t>
  </si>
  <si>
    <t>Q2.9.1</t>
  </si>
  <si>
    <t>M2.9.2</t>
  </si>
  <si>
    <t>G0.9.2</t>
  </si>
  <si>
    <t>G0_ii.9.1</t>
  </si>
  <si>
    <t>G0_iii.9.3</t>
  </si>
  <si>
    <t>G0_iv.9.3</t>
  </si>
  <si>
    <t>IoTMiddlewareSecurity</t>
  </si>
  <si>
    <t>L3.9.7</t>
  </si>
  <si>
    <t>Q2.9.5</t>
  </si>
  <si>
    <t>External Network Communication Security</t>
  </si>
  <si>
    <t>L0_ii.9.3</t>
  </si>
  <si>
    <t>L0_iii.9.3</t>
  </si>
  <si>
    <t>G0.9.3</t>
  </si>
  <si>
    <t>Establish a comprehensive key management system, including procedures for generating and protecting {cryptographic keys} and recovering {encrypted data} in case of lost, compromised, or damaged {keys}</t>
  </si>
  <si>
    <t>Key Management for AIDC Carriers</t>
  </si>
  <si>
    <t>Key Management for Employee Access</t>
  </si>
  <si>
    <t>Security Manager for Key Management</t>
  </si>
  <si>
    <t>Secure Key Management for Automated Systems</t>
  </si>
  <si>
    <t>L0.10.2</t>
  </si>
  <si>
    <t>Key Recovery</t>
  </si>
  <si>
    <t>L0_ii.10.3</t>
  </si>
  <si>
    <t>L0_iii.10.5</t>
  </si>
  <si>
    <t>L0_iv.10.2</t>
  </si>
  <si>
    <t>L2.10.3p</t>
  </si>
  <si>
    <t>L3.10.4</t>
  </si>
  <si>
    <t>Q1.10.2</t>
  </si>
  <si>
    <t>G0.10.2</t>
  </si>
  <si>
    <t>G0_ii.10.2</t>
  </si>
  <si>
    <t>G0_iii.10.4</t>
  </si>
  <si>
    <t>Key Revocation</t>
  </si>
  <si>
    <t>M0.10.3p</t>
  </si>
  <si>
    <t>Access-Controlled Key Management</t>
  </si>
  <si>
    <t>L2.10.4</t>
  </si>
  <si>
    <t>Key-Driven Data Recovery Protocol</t>
  </si>
  <si>
    <t>L5.10.3</t>
  </si>
  <si>
    <t>Q2.10.3</t>
  </si>
  <si>
    <t>Automatic Key Rotation</t>
  </si>
  <si>
    <t>Key Usage Monitoring and Reporting</t>
  </si>
  <si>
    <t>M0.10.5</t>
  </si>
  <si>
    <t>Key Management for Data Encryption</t>
  </si>
  <si>
    <t>L0.10.1</t>
  </si>
  <si>
    <t>L0_ii.10.2; L0_ii.10.3; L0_ii.10.4; L0_ii.10.5; L0_ii.10.6</t>
  </si>
  <si>
    <t>L0_iii.10.1</t>
  </si>
  <si>
    <t>L0_iv.10.1</t>
  </si>
  <si>
    <t>Total GS requirements</t>
  </si>
  <si>
    <t>Total discoveries</t>
  </si>
  <si>
    <t>Discoveries over total (%)</t>
  </si>
  <si>
    <t>TOTAL</t>
  </si>
  <si>
    <t>Exc. L3-L5, L0a, L0b</t>
  </si>
  <si>
    <t>Present</t>
  </si>
  <si>
    <t>Support</t>
  </si>
  <si>
    <t>Partial</t>
  </si>
  <si>
    <t>L0.1.1; L0.1.2</t>
  </si>
  <si>
    <t>L0_ii.1.1; L0_ii.1.2</t>
  </si>
  <si>
    <t>L0_iii.1.1; L0_iii.1.2</t>
  </si>
  <si>
    <t>L0_iv.1.1; L0_iv.1.2; L0_iv.1.3</t>
  </si>
  <si>
    <t>L1.1.1; L1.1.2</t>
  </si>
  <si>
    <t>L2.1.1</t>
  </si>
  <si>
    <t>L3.1.1; L3.1.3</t>
  </si>
  <si>
    <t>L4.1.2</t>
  </si>
  <si>
    <t>L.5.1.1; L.5.1.2; L.5.1.3</t>
  </si>
  <si>
    <t>Q0.1.1; Q0.1.2</t>
  </si>
  <si>
    <t>Q0_ii.1.1</t>
  </si>
  <si>
    <t>Q0_iii.1.1</t>
  </si>
  <si>
    <t>Q0_iv.1.1</t>
  </si>
  <si>
    <t>Q1.1.1</t>
  </si>
  <si>
    <t>Q2.1.1</t>
  </si>
  <si>
    <t>M0.1.1; M0.1.2; M0.1.3; M0.1.4; M0.1.5; M0.1.6; M0.1.7; M0.1.8; M0.1.9; M0.1.10</t>
  </si>
  <si>
    <t>M0_ii.1.1</t>
  </si>
  <si>
    <t>M0_iii.1.1; M0_iii.1.2</t>
  </si>
  <si>
    <t>M0_iv.1.1</t>
  </si>
  <si>
    <t>M1.1.1</t>
  </si>
  <si>
    <t>M2.1.1; M2.1.2; M2.1.3</t>
  </si>
  <si>
    <t>G0.1.1</t>
  </si>
  <si>
    <t>G0_ii.1.1; G0_ii.1.2; G0_ii.1.3</t>
  </si>
  <si>
    <t>G0_iii.1.1; G0_iii.1.2; G0_iii.1.3</t>
  </si>
  <si>
    <t>G0_iv.1.1</t>
  </si>
  <si>
    <t>G1.1.1</t>
  </si>
  <si>
    <t>G2.1.1</t>
  </si>
  <si>
    <t>L0a.1.1; L0a.1.2; L0a.1.3</t>
  </si>
  <si>
    <t>L0b.1.1</t>
  </si>
  <si>
    <t>Q0_iv.1.2</t>
  </si>
  <si>
    <t>L0.2.1; L0.2.2</t>
  </si>
  <si>
    <t>L0_ii.2.2</t>
  </si>
  <si>
    <t>L0_iii.2.4; L0_iii.2.6; L0_iii.2.7; L0_iii.2.8</t>
  </si>
  <si>
    <t>L0_iv.2.1; L0_iv.2.2; L0_iv.2.3</t>
  </si>
  <si>
    <t>L1.2.2</t>
  </si>
  <si>
    <t>L2.2.1; L2.2.2; L2.2.3; L2.2.4</t>
  </si>
  <si>
    <t>L3.2.1; L3.2.2; L3.2.3; L3.2.5; L3.2.6; L3.2.7</t>
  </si>
  <si>
    <t>L4.2.2; L4.2.3</t>
  </si>
  <si>
    <t>L5.2.1; L5.2.2</t>
  </si>
  <si>
    <t>Q0.2.1</t>
  </si>
  <si>
    <t>Q0_ii.2.1; Q0_ii.2.2</t>
  </si>
  <si>
    <t>Q0_iii.2.1; Q0_iii.2.2</t>
  </si>
  <si>
    <t>Q0_iv.2.1</t>
  </si>
  <si>
    <t>Q1.2.1</t>
  </si>
  <si>
    <t>Q2.2.1; Q2.2.2</t>
  </si>
  <si>
    <t>M0_iv.1.1; M0_iv.1.2</t>
  </si>
  <si>
    <t>M1.2.1; M1.2.2; M1.2.3; M1.2.4</t>
  </si>
  <si>
    <t>G0.2.1; G0.2.3</t>
  </si>
  <si>
    <t>G0_ii.2.1; G0_ii.2.2; G0_ii.2.3</t>
  </si>
  <si>
    <t>G0_iii.2.1; G0_iii.2.2; G0_iii.2.3</t>
  </si>
  <si>
    <t>G0_iv.2.1; G0_iv.2.2</t>
  </si>
  <si>
    <t>G1.2.1; G1.2.2</t>
  </si>
  <si>
    <t>L0a.2.1; L0a.2.3</t>
  </si>
  <si>
    <t>L0b.2.2; L0b.2.3</t>
  </si>
  <si>
    <t>L0_iii.2.3</t>
  </si>
  <si>
    <t>L0.3.1</t>
  </si>
  <si>
    <t>L0_ii.3.1</t>
  </si>
  <si>
    <t>L0_iii.3.1; L0_iii.3.2</t>
  </si>
  <si>
    <t>L0_iv.3.1; L0_iv.3.2; L0_iv.3.3; L0_iv.3.4</t>
  </si>
  <si>
    <t>L1.3.1</t>
  </si>
  <si>
    <t>L2.3.1</t>
  </si>
  <si>
    <t>L3.3.5; L3.3.6; L3.3.7</t>
  </si>
  <si>
    <t>L5.1.1; L5.1.2; L5.1.3; L5.1.4</t>
  </si>
  <si>
    <t>Q0.3.3; Q0.3.4; Q0.3.5</t>
  </si>
  <si>
    <t>Q0_ii.3.1</t>
  </si>
  <si>
    <t>Q0_iii.3.1; Q0_iii.3.2</t>
  </si>
  <si>
    <t>Q0_iv.3.2</t>
  </si>
  <si>
    <t>Q1.3.2; Q1.3.3; Q1.3.4; Q1.3.5</t>
  </si>
  <si>
    <t>Q2.3.3</t>
  </si>
  <si>
    <t>M0.3.1; M0.3.2; M0.3.3</t>
  </si>
  <si>
    <t>M0_iii.3.2; M0_iii.3.3; M0_iii.3.4; M0_iii.3.5; M0_iii.3.6</t>
  </si>
  <si>
    <t>M0_iv.3.1</t>
  </si>
  <si>
    <t>M1.3.1; M1.3.2; M1.3.3</t>
  </si>
  <si>
    <t>M2.3.1; M2.3.2; M2.3.3</t>
  </si>
  <si>
    <t>G0.3.1</t>
  </si>
  <si>
    <t xml:space="preserve">G0_ii.3.2; G0_ii.3.4; G0_ii.3.5 </t>
  </si>
  <si>
    <t xml:space="preserve">G0_iii.3.1; G0_iii.3.4; G0_iii.3.5 </t>
  </si>
  <si>
    <t xml:space="preserve">G0_iv.3.1; G0_iv.3.2; G0_iv.3.4; G0_iv.3.5 </t>
  </si>
  <si>
    <t>G1.3.1</t>
  </si>
  <si>
    <t>G2.3.1; G2.3.2; G2.3.3; G2.3.4</t>
  </si>
  <si>
    <t>L0a.3.1; L0a.3.3; L0a.3.4</t>
  </si>
  <si>
    <t>L0.3.2</t>
  </si>
  <si>
    <t>L0_ii.3.5</t>
  </si>
  <si>
    <t>L0_iii.3.3</t>
  </si>
  <si>
    <t>L0_iv.3.5</t>
  </si>
  <si>
    <t>L1.3.2</t>
  </si>
  <si>
    <t>L3.3.2</t>
  </si>
  <si>
    <t>Q1.3.1</t>
  </si>
  <si>
    <t>Q2.3.2</t>
  </si>
  <si>
    <t>G1.3.2</t>
  </si>
  <si>
    <t>L0_ii.3.3</t>
  </si>
  <si>
    <t>L3.3.14; L3.3.15; L3.3.16; L3.3.17</t>
  </si>
  <si>
    <t>Q0.3.1</t>
  </si>
  <si>
    <t>Q0_iii.3.1</t>
  </si>
  <si>
    <t xml:space="preserve">G0_ii.3.1; G0_ii.3.3; G0_ii.3.6 </t>
  </si>
  <si>
    <t>G0_iv.3.1</t>
  </si>
  <si>
    <t>L0_ii.3.4</t>
  </si>
  <si>
    <t>L1.3.5</t>
  </si>
  <si>
    <t>L5.1.1</t>
  </si>
  <si>
    <t>L0.4.1; L0.4.2</t>
  </si>
  <si>
    <t>L0_ii.4.1; L0_ii.4.2; L0_ii.4.3; L0_ii.4.4</t>
  </si>
  <si>
    <t>L0_iii.4.1; L0_iii.4.2</t>
  </si>
  <si>
    <t>L0_iv.4.1; L0_iv.4.2; L0_iv.4.3</t>
  </si>
  <si>
    <t>L1.4.1</t>
  </si>
  <si>
    <t>L2.4.1</t>
  </si>
  <si>
    <t>L3.4.1; L3.4.2</t>
  </si>
  <si>
    <t>L4.4.1</t>
  </si>
  <si>
    <t>Q0.4.3; Q0.4.10</t>
  </si>
  <si>
    <t>Q0_ii.4.1</t>
  </si>
  <si>
    <t>Q0_iii.4.1</t>
  </si>
  <si>
    <t>Q0_iv.4.1</t>
  </si>
  <si>
    <t>Q2.4.3</t>
  </si>
  <si>
    <t>M1.4.1; M1.4.2; M1.4.3; M1.4.4</t>
  </si>
  <si>
    <t>M2.4.1; M2.4.3</t>
  </si>
  <si>
    <t>L0a.4.1; L0a.4.2; L0a.4.3</t>
  </si>
  <si>
    <t>L0b.4.2; L0b.4.3</t>
  </si>
  <si>
    <t>L2.4.5</t>
  </si>
  <si>
    <t>L5.4.5</t>
  </si>
  <si>
    <t>Q0_iv.4.1; Q0_iv.4.5</t>
  </si>
  <si>
    <t>L0b.4.1</t>
  </si>
  <si>
    <t>L2.4.3</t>
  </si>
  <si>
    <t>L3.4.5</t>
  </si>
  <si>
    <t>L5.4.4; L5.4.7</t>
  </si>
  <si>
    <t>Q0.4.8; Q0.4.10</t>
  </si>
  <si>
    <t>L0b.4.4</t>
  </si>
  <si>
    <t>L3.4.12</t>
  </si>
  <si>
    <t>Q0.4.4; Q0.4.10</t>
  </si>
  <si>
    <t>L0_ii.4.1</t>
  </si>
  <si>
    <t>L0_iii.4.1</t>
  </si>
  <si>
    <t>L0_iv.4.1</t>
  </si>
  <si>
    <t>L2.4.2</t>
  </si>
  <si>
    <t>L3.4.3</t>
  </si>
  <si>
    <t>L5.4.2</t>
  </si>
  <si>
    <t>Q0.4.5; Q0.4.10</t>
  </si>
  <si>
    <t>G1.4.1</t>
  </si>
  <si>
    <t>Q0_ii.4.3</t>
  </si>
  <si>
    <t>Q0_iv.4.2</t>
  </si>
  <si>
    <t>L0.4.1</t>
  </si>
  <si>
    <t>L3.4.11</t>
  </si>
  <si>
    <t>L5.4.1</t>
  </si>
  <si>
    <t>Q0.4.1</t>
  </si>
  <si>
    <t>Q1.4.1</t>
  </si>
  <si>
    <t>Q2.4.5</t>
  </si>
  <si>
    <t>M0.4.1; M0.4.2; M0.4.3</t>
  </si>
  <si>
    <t xml:space="preserve">M0_ii.4.1; M0_ii.4.2; M0_ii.4.3; M0_ii.4.4; M0_ii.4.5 </t>
  </si>
  <si>
    <t>M0_iii.4.1</t>
  </si>
  <si>
    <t xml:space="preserve">M0_iv.4.1; M0_iv.4.2; M0_iv.4.3 </t>
  </si>
  <si>
    <t>M2.4.1</t>
  </si>
  <si>
    <t>G0_ii.4.1; G0_ii.4.2</t>
  </si>
  <si>
    <t>G0_iv.4.3</t>
  </si>
  <si>
    <t>G1.4.1; G.1.4.2</t>
  </si>
  <si>
    <t>G2.4.1; G2.4.2; G2.4.3</t>
  </si>
  <si>
    <t>L0b.4.4; L0b.4.6; L0b.4.7</t>
  </si>
  <si>
    <t>L3.4.9</t>
  </si>
  <si>
    <t>Q0_ii.4.4</t>
  </si>
  <si>
    <t>Q0_iii.4.2</t>
  </si>
  <si>
    <t>M2.4.2</t>
  </si>
  <si>
    <t>G0_ii.4.3; G0_ii.4.4</t>
  </si>
  <si>
    <t>L0.5.1; L0.5.2; L0.5.3</t>
  </si>
  <si>
    <t>L0_ii.5.1; L0_ii.5.2; L0_ii.5.3; L0_ii.5.5</t>
  </si>
  <si>
    <t>L0_iii.5.1; L0_iii.5.2; L0_iii.5.3</t>
  </si>
  <si>
    <t>L0_iv.5.1; L0_iv.5.2</t>
  </si>
  <si>
    <t>L1.5.1; L1.5.2; L1.5.4</t>
  </si>
  <si>
    <t>L2.5.1; L2.5.4</t>
  </si>
  <si>
    <t>L3.5.1; L3.5.4; L3.5.5; L3.5.8; L3.5.9</t>
  </si>
  <si>
    <t>L4.5.2; L4.5.3; L4.5.4; L4.5.5</t>
  </si>
  <si>
    <t>L5.5.1; L5.5.3</t>
  </si>
  <si>
    <t>Q0.5.1</t>
  </si>
  <si>
    <t>Q0_ii.5.1</t>
  </si>
  <si>
    <t>Q0_iii.5.1</t>
  </si>
  <si>
    <t>Q0_iv.5.1</t>
  </si>
  <si>
    <t>Q1.5.1</t>
  </si>
  <si>
    <t>Q2.5.1</t>
  </si>
  <si>
    <t>M0.5.1</t>
  </si>
  <si>
    <t xml:space="preserve">M0_ii.5.1; M0_ii.5.2 </t>
  </si>
  <si>
    <r>
      <rPr>
        <sz val="11"/>
        <color rgb="FF000000"/>
        <rFont val="Aptos Narrow"/>
        <family val="2"/>
        <charset val="1"/>
      </rPr>
      <t xml:space="preserve">M0_iii.5.1; M0_iii.5.2; </t>
    </r>
    <r>
      <rPr>
        <sz val="11"/>
        <color rgb="FF000000"/>
        <rFont val="Aptos Narrow"/>
        <family val="2"/>
      </rPr>
      <t>M0_iii.5.4</t>
    </r>
  </si>
  <si>
    <t xml:space="preserve">M0_iv.5.1; M0_iv.5.3 </t>
  </si>
  <si>
    <t>M1.5.1; M1.5.2</t>
  </si>
  <si>
    <t>M2.5.1; M2.5.2; M2.5.3; M2.5.4</t>
  </si>
  <si>
    <t>G0.5.1</t>
  </si>
  <si>
    <t>G0_ii.5.1</t>
  </si>
  <si>
    <t xml:space="preserve">G0_iii.5.1; G0_iii.5.2 </t>
  </si>
  <si>
    <t>G1.5.1</t>
  </si>
  <si>
    <t>G2.5.1</t>
  </si>
  <si>
    <t>L0a.5.1; L0a.5.2; L0a.5.3</t>
  </si>
  <si>
    <t>L0b.5.1</t>
  </si>
  <si>
    <t>L0_ii.5.4</t>
  </si>
  <si>
    <t>L0_iii.5.3</t>
  </si>
  <si>
    <t>G0.5.2</t>
  </si>
  <si>
    <t>G2.5.2; G2.5.3</t>
  </si>
  <si>
    <t>L0.6.1</t>
  </si>
  <si>
    <t>L0_ii.6.1</t>
  </si>
  <si>
    <t>L1.6.1; L1.6.2; L1.6.3; L1.6.4; L1.6.5</t>
  </si>
  <si>
    <t>L2.6.1</t>
  </si>
  <si>
    <t>L3.6.1; L3.6.2; L3.6.3; L3.6.4; L3.6.5; L3.6.6; L3.6.7</t>
  </si>
  <si>
    <t>L4.6.1</t>
  </si>
  <si>
    <t>L5.6.1; L5.6.2; L5.6.3</t>
  </si>
  <si>
    <t>Q0.6.1</t>
  </si>
  <si>
    <t>Q0_ii.6.1</t>
  </si>
  <si>
    <t xml:space="preserve">Q0_iii.6.1; Q0_iii.6.2; Q0_iii.6.3; Q0_iii.6.4; Q0_iii.6.5; Q0_iii.6.6 </t>
  </si>
  <si>
    <t xml:space="preserve">Q0_iv.6.1; Q0_iv.6.2; Q0_iv.6.3 </t>
  </si>
  <si>
    <t>Q1.6.1</t>
  </si>
  <si>
    <t>Q2.6.1</t>
  </si>
  <si>
    <t>M0.6.1</t>
  </si>
  <si>
    <t xml:space="preserve">M0_ii.6.1; M0_ii.6.2; M0_ii.6.3; M0_ii.6.4 </t>
  </si>
  <si>
    <t>M0_iii.6.1; M0_iii.6.2; M0_iii.6.3</t>
  </si>
  <si>
    <t>M0_iv.6.1; M0_iv.6.2; M0_iv.6.3; M0_iv.6.4; M0_iv.6.5</t>
  </si>
  <si>
    <t>M1.6.1</t>
  </si>
  <si>
    <t>M2.6.1; M2.6.2</t>
  </si>
  <si>
    <t>G0.6.1</t>
  </si>
  <si>
    <t>G0_ii.6.1; G0_ii.6.2; G0_ii.6.3</t>
  </si>
  <si>
    <t>G0_iii.6.1</t>
  </si>
  <si>
    <t>G0_iv.6.1</t>
  </si>
  <si>
    <t>G1.6.1; G1.6.2; G1.6.3</t>
  </si>
  <si>
    <t>G2.6.1</t>
  </si>
  <si>
    <t>L0a.6.1</t>
  </si>
  <si>
    <t>L0b.6.1; L0b.6.2; L0b.6.3; L0b.6.4; L0b.6.5</t>
  </si>
  <si>
    <t>L0.7.1</t>
  </si>
  <si>
    <t>L0_ii.7.1; L0_ii.7.3; L0_ii.7.4; L0_ii.7.5</t>
  </si>
  <si>
    <t>L0_iii.7.4</t>
  </si>
  <si>
    <t>L0_iv.7.1; L0_iv.7.2; L0_iv.7.3</t>
  </si>
  <si>
    <t>L1.7.1; L1.7.4</t>
  </si>
  <si>
    <t>L2.7.1; L2.7.2</t>
  </si>
  <si>
    <t>L3.7.2; L3.7.3; L3.7.7; L3.7.9; L3.7.10; L3.7.11; L3.7.12; L3.7.13; L3.7.15; L3.7.16; L3.7.17; L3.7.18; L3.7.19; L3.7.20; L3.7.21; L3.7.22; L3.7.23; L3.7.24; L3.7.25; L3.7.26; L3.7.27; L3.7.28; L3.7.29; L3.7.30; L3.7.31; L3.7.32</t>
  </si>
  <si>
    <t>L4.7.3</t>
  </si>
  <si>
    <t>Q0.7.1</t>
  </si>
  <si>
    <t>Q0_ii.7.1; Q0_ii.7.2</t>
  </si>
  <si>
    <t>Q0_iii.7.1</t>
  </si>
  <si>
    <t>Q0_iv.7.1; Q0_iv.7.2</t>
  </si>
  <si>
    <t>Q1.7.1</t>
  </si>
  <si>
    <t>Q2.7.1</t>
  </si>
  <si>
    <t>M0.7.3</t>
  </si>
  <si>
    <t>M0_ii.7.3</t>
  </si>
  <si>
    <t>M0_iii.7.1</t>
  </si>
  <si>
    <t>M0_iv.7.1</t>
  </si>
  <si>
    <t>M1.6.2; M1.6.3</t>
  </si>
  <si>
    <t>M2.7.1; M2.7.3; M2.7.4</t>
  </si>
  <si>
    <t>G0.7.1</t>
  </si>
  <si>
    <t>G0_ii.7.1; G0_ii.7.2; G0_ii.7.3; G0_ii.7.4; G0_ii.7.5</t>
  </si>
  <si>
    <t>G0_iii.7.1</t>
  </si>
  <si>
    <t xml:space="preserve">G0_iv.7.1; G0_iv.7.2; G0_iv.7.3; G0_iv.7.4 </t>
  </si>
  <si>
    <t>G1.7.1, G1.7.2; G1.7.3</t>
  </si>
  <si>
    <t>G2.7.1; G2.7.2; G2.7.3; G2.7.4</t>
  </si>
  <si>
    <t>L0a.7.1; L0a.7.3</t>
  </si>
  <si>
    <t>L0b.7.1</t>
  </si>
  <si>
    <t>L0_ii.7.6</t>
  </si>
  <si>
    <t>L0_iii.7.3</t>
  </si>
  <si>
    <t>L0_iv.7.4</t>
  </si>
  <si>
    <t>L1.7.3</t>
  </si>
  <si>
    <t>L2.7.4</t>
  </si>
  <si>
    <t>L3.7.33</t>
  </si>
  <si>
    <t>Q0_ii.7.1</t>
  </si>
  <si>
    <t>M0.7.2</t>
  </si>
  <si>
    <t>M0_iv.7.2; M0_iv.7.4</t>
  </si>
  <si>
    <t>G0.7.2</t>
  </si>
  <si>
    <t>G0_iii.7.2</t>
  </si>
  <si>
    <t>G0_iv.7.2</t>
  </si>
  <si>
    <t>L0_iii.7.7</t>
  </si>
  <si>
    <t>L2.7.5</t>
  </si>
  <si>
    <t>L3.7.1; L3.7.14</t>
  </si>
  <si>
    <t>Q0_iii.7.3</t>
  </si>
  <si>
    <t>Q0_iv.7.1</t>
  </si>
  <si>
    <t>M1.6.4</t>
  </si>
  <si>
    <t>G0_ii.7.5</t>
  </si>
  <si>
    <t>L0.8.1</t>
  </si>
  <si>
    <t>L0_ii.8.1</t>
  </si>
  <si>
    <t>L0_iii.8.1; L0_iii.8.2; L0_iii.8.4</t>
  </si>
  <si>
    <t>L0_iv.8.1; L0_iv.8.3</t>
  </si>
  <si>
    <t>L1.8.1; L1.8.2</t>
  </si>
  <si>
    <t>L2.8.1; L2.8.2</t>
  </si>
  <si>
    <t>L3.8.1</t>
  </si>
  <si>
    <t>L4.8.1</t>
  </si>
  <si>
    <t>L5.8.1</t>
  </si>
  <si>
    <t>Q0.8.1</t>
  </si>
  <si>
    <t>Q0_ii.8.1; Q0_ii.8.2</t>
  </si>
  <si>
    <t>Q0_iii.8.1</t>
  </si>
  <si>
    <t>Q0_iv.8.1</t>
  </si>
  <si>
    <t>Q1.8.1</t>
  </si>
  <si>
    <t>Q2.8.1</t>
  </si>
  <si>
    <t>M0.8.1</t>
  </si>
  <si>
    <t>M0_ii.8.1</t>
  </si>
  <si>
    <t>M0_iii.8.2</t>
  </si>
  <si>
    <t>M0_iv.8.3</t>
  </si>
  <si>
    <t>M1.8.1</t>
  </si>
  <si>
    <t>M2.8.1</t>
  </si>
  <si>
    <t>G0.8.1</t>
  </si>
  <si>
    <t>G0_ii.8.1</t>
  </si>
  <si>
    <t>G0_iii.8.1; G0_iii.8.2</t>
  </si>
  <si>
    <t>G0_iv.8.1</t>
  </si>
  <si>
    <t>G1.8.1</t>
  </si>
  <si>
    <t>G2.8.1</t>
  </si>
  <si>
    <t>L0a.8.1</t>
  </si>
  <si>
    <t>L0b.8.1</t>
  </si>
  <si>
    <t>L0.9.1; L0.9.3</t>
  </si>
  <si>
    <t>L0_iii.9.1; L0_iii.9.2</t>
  </si>
  <si>
    <t>L1.9.1; L1.9.2; L1.9.3; L1.9.4; L1.9.5; L1.9.6</t>
  </si>
  <si>
    <t>L2.9.1; L2.9.2</t>
  </si>
  <si>
    <t>L3.9.2; L3.9.4; L3.9.6; L3.9.8; L3.9.13; L3.9.14</t>
  </si>
  <si>
    <t>L4.9.2; L4.9.3; L4.9.5</t>
  </si>
  <si>
    <t>L5.9.1; L5.9.3; L5.9.4</t>
  </si>
  <si>
    <t>Q0.9.2</t>
  </si>
  <si>
    <t>Q0_ii.9.1; Q0_ii.9.2; Q0_ii.9.3; Q0_ii.9.5</t>
  </si>
  <si>
    <t>Q0_iii.9.2; Q0_iii.9.3</t>
  </si>
  <si>
    <t>Q0_iv.9.1; Q0_iv.9.3; Q0_iv.9.4</t>
  </si>
  <si>
    <t>Q1.9.1</t>
  </si>
  <si>
    <t>M0.9.1; M0.9.4; M0.9.6</t>
  </si>
  <si>
    <t>M0_ii.9.1</t>
  </si>
  <si>
    <t>M0_iii.9.1</t>
  </si>
  <si>
    <t>M0_iv.9.1; M0_iv.9.2; M0_iv.9.3; M0_iv.9.4</t>
  </si>
  <si>
    <t>M1.9.1; M1.9.2; M1.9.3</t>
  </si>
  <si>
    <t>M2.9.3</t>
  </si>
  <si>
    <t>G0.9.4</t>
  </si>
  <si>
    <t>G0_ii.9.2</t>
  </si>
  <si>
    <t>G0_iii.9.1</t>
  </si>
  <si>
    <t>G0_iv.9.1; G0_iv.9.4</t>
  </si>
  <si>
    <t>G1.9.1; G1.9.3</t>
  </si>
  <si>
    <t>G2.9.1; G2.9.3</t>
  </si>
  <si>
    <t>L0a.9.1</t>
  </si>
  <si>
    <t>L0b.9.6</t>
  </si>
  <si>
    <t>L0.9.3</t>
  </si>
  <si>
    <t>L0_ii.9.2; L0_ii.9.4</t>
  </si>
  <si>
    <t>L0_ii.9.2</t>
  </si>
  <si>
    <t>L0_iv.9.3</t>
  </si>
  <si>
    <t>L3.9.10</t>
  </si>
  <si>
    <t>L4.9.1</t>
  </si>
  <si>
    <t>Q0.9.3</t>
  </si>
  <si>
    <t>M0.9.2</t>
  </si>
  <si>
    <t>L0.9.2</t>
  </si>
  <si>
    <t>L0_ii.9.1; L0_ii.9.4</t>
  </si>
  <si>
    <t>L0_iii.9.1; L0_iii.9.3</t>
  </si>
  <si>
    <t>L0_iv.9.2</t>
  </si>
  <si>
    <t>L3.9.1; L3.9.5; L3.9.9; L3.9.15</t>
  </si>
  <si>
    <t>L4.9.4</t>
  </si>
  <si>
    <t>L5.9.2</t>
  </si>
  <si>
    <t>Q0.9.1</t>
  </si>
  <si>
    <t>Q0_iii.9.1</t>
  </si>
  <si>
    <t>Q0_iv.9.2</t>
  </si>
  <si>
    <t>Q2.9.3; Q2.9.4</t>
  </si>
  <si>
    <t>M0.9.3; M0.9.5</t>
  </si>
  <si>
    <t>M0_ii.9.2; M0_ii.9.3</t>
  </si>
  <si>
    <t>M0_iii.9.2</t>
  </si>
  <si>
    <t>M2.9.1</t>
  </si>
  <si>
    <t>G0.9.1</t>
  </si>
  <si>
    <t>G0_ii.9.3</t>
  </si>
  <si>
    <r>
      <rPr>
        <sz val="11"/>
        <color rgb="FF000000"/>
        <rFont val="Aptos Narrow"/>
        <family val="2"/>
        <charset val="1"/>
      </rPr>
      <t xml:space="preserve">G0_iii.9.2; </t>
    </r>
    <r>
      <rPr>
        <sz val="11"/>
        <color rgb="FF000000"/>
        <rFont val="Aptos Narrow"/>
        <family val="2"/>
      </rPr>
      <t>G0_iii.9.4</t>
    </r>
  </si>
  <si>
    <t>G0_iv.9.2; G0_iv.9.5</t>
  </si>
  <si>
    <t>G1.9.4</t>
  </si>
  <si>
    <t>G2.9.2</t>
  </si>
  <si>
    <t>L0a.9.3; L0a.9.5; L0a.9.6; L0a.9.7</t>
  </si>
  <si>
    <t>L0b.9.5</t>
  </si>
  <si>
    <t>L1.10.1</t>
  </si>
  <si>
    <t>Q0_ii.10.1; Q0_ii.10.2; Q0_ii.10.3</t>
  </si>
  <si>
    <t>Q0_iii.10.1</t>
  </si>
  <si>
    <t>Q0_iv.10.1; Q0_iv.10.2, Q0_iv.10.3; Q0_iv.10.4</t>
  </si>
  <si>
    <t>M0.10.1; M0.10.4</t>
  </si>
  <si>
    <t>M0_ii.10.1</t>
  </si>
  <si>
    <t>M0_iii.10.1; M0_iii.10.3</t>
  </si>
  <si>
    <t>M0_iv.10.1; M0_iv.10.2; M0_iv.10.3; M0_iv.10.4; M0_iv.10.5; M0_iv.10.6</t>
  </si>
  <si>
    <t>M1.10.1</t>
  </si>
  <si>
    <t>M2.10.1</t>
  </si>
  <si>
    <t>G0_ii.10.1</t>
  </si>
  <si>
    <t>G0_iv.10.1</t>
  </si>
  <si>
    <t>G2.10.3</t>
  </si>
  <si>
    <t>L0b.10.1</t>
  </si>
  <si>
    <t>L0.10.3</t>
  </si>
  <si>
    <t>L0_ii.10.1</t>
  </si>
  <si>
    <t>L0_iii.10.1; L0_iii.10.4</t>
  </si>
  <si>
    <t>L0_iv.10.3</t>
  </si>
  <si>
    <t>L1.10.3</t>
  </si>
  <si>
    <t>L3.10.1; L3.10.2; L3.10.3; L3.10.9; L3.10.10</t>
  </si>
  <si>
    <t>L4.10.1</t>
  </si>
  <si>
    <t>L5.10.1; L5.10.4</t>
  </si>
  <si>
    <t>Q2.10.2</t>
  </si>
  <si>
    <t>M0.10.2; M0.10.4</t>
  </si>
  <si>
    <t>M0_ii.10.2; M0_ii.10.3; M0_ii.10.4; M0_ii.10.5; M0_ii.10.6; M0_ii.10.7</t>
  </si>
  <si>
    <t>M0_iii.10.2</t>
  </si>
  <si>
    <t>M2.10.6</t>
  </si>
  <si>
    <t>G0_iii.10.2: G0_iii.10.4</t>
  </si>
  <si>
    <t>L0a.10.1</t>
  </si>
  <si>
    <t>L0b.10.1; L0b.10.2</t>
  </si>
  <si>
    <t>L2.10.5</t>
  </si>
  <si>
    <t>L3.10.12</t>
  </si>
  <si>
    <t>L5.10.2</t>
  </si>
  <si>
    <t>Q0.10.1</t>
  </si>
  <si>
    <t>Q1.10.1</t>
  </si>
  <si>
    <t>Q2.10.1</t>
  </si>
  <si>
    <t>M0.10.7</t>
  </si>
  <si>
    <t>G0.10.3</t>
  </si>
  <si>
    <t>G1.10.4</t>
  </si>
  <si>
    <t>G2.10.1</t>
  </si>
  <si>
    <t>Counts</t>
  </si>
  <si>
    <t>Covered</t>
  </si>
  <si>
    <t>Uncovered</t>
  </si>
  <si>
    <t>L0.#</t>
  </si>
  <si>
    <t>Automated requirement name</t>
  </si>
  <si>
    <t>Hallucination</t>
  </si>
  <si>
    <t>Hall. Type</t>
  </si>
  <si>
    <t>Rationale</t>
  </si>
  <si>
    <t>L0.1.1</t>
  </si>
  <si>
    <t>Secure Log-on Feedback for Factory Employees</t>
  </si>
  <si>
    <t>L0.1.2</t>
  </si>
  <si>
    <t>Protection of Sensitive Information during Employee Authentication</t>
  </si>
  <si>
    <t>Homogeneous to previous</t>
  </si>
  <si>
    <t>L0.2.1</t>
  </si>
  <si>
    <t>Access Gate Breach Detection</t>
  </si>
  <si>
    <t>Somewhat restrictive to access gate</t>
  </si>
  <si>
    <t>L0.2.2</t>
  </si>
  <si>
    <t>Security Breach Notification to Employees</t>
  </si>
  <si>
    <t>Access Control for Sensitive Data Stores</t>
  </si>
  <si>
    <t>Factory IT Infrastructure Access Control</t>
  </si>
  <si>
    <t>H.3.2; H.3.5</t>
  </si>
  <si>
    <t>L0.3.3</t>
  </si>
  <si>
    <t>Physical Access Control for Factory Premises</t>
  </si>
  <si>
    <t>Factory access is out-of-the-scope of system cybersecurity nfrs</t>
  </si>
  <si>
    <t>Role-Based Access Control for Factory Datastores</t>
  </si>
  <si>
    <t>H.4.1; H.4.2; H.4.3; H.4.4; H.4.5</t>
  </si>
  <si>
    <t>L0.4.2</t>
  </si>
  <si>
    <t>Factory Employee Access to Datastores</t>
  </si>
  <si>
    <t>Dealer RBAC</t>
  </si>
  <si>
    <t>L0.5.1</t>
  </si>
  <si>
    <t>Record of Access Privileges for Car Manufacturer Employees</t>
  </si>
  <si>
    <t>H.5.1; H.5.2</t>
  </si>
  <si>
    <t>L0.5.3</t>
  </si>
  <si>
    <t>Record of Role-Based Permissions for Employee Roles</t>
  </si>
  <si>
    <t>Homogeneous to L0.5.1</t>
  </si>
  <si>
    <t>L0.5.4</t>
  </si>
  <si>
    <t>Record of Access Privileges for Forwarder Contractors</t>
  </si>
  <si>
    <t>Forwarder is out-of-the-scope of SOT</t>
  </si>
  <si>
    <t>Regular Review of Privileged Access Rights</t>
  </si>
  <si>
    <t>Factory Network Connection Restriction and Filtering</t>
  </si>
  <si>
    <t>Securize internal net</t>
  </si>
  <si>
    <t>Segregation of System Admin Network Channels</t>
  </si>
  <si>
    <t>Nets must not only be segregated but also isolated</t>
  </si>
  <si>
    <t>L0.9.1</t>
  </si>
  <si>
    <t>Cryptographic Protection of Warehouse Inventory Data</t>
  </si>
  <si>
    <t>Secure Communication for Handheld Devices</t>
  </si>
  <si>
    <t>Encryption of AIDC Data Carriers</t>
  </si>
  <si>
    <t>Secure Transmission of Production Plans and Shipment Details</t>
  </si>
  <si>
    <t>Partial hallucination and partial discovery</t>
  </si>
  <si>
    <t>Comprehensive Key Management for Factory IT Infrastructure</t>
  </si>
  <si>
    <t>Key Management Roles and Responsibilities</t>
  </si>
  <si>
    <t>Discoveries</t>
  </si>
  <si>
    <t>L0_ii.#</t>
  </si>
  <si>
    <t>L0_ii.1.1</t>
  </si>
  <si>
    <t>Secure Log-on Feedback</t>
  </si>
  <si>
    <t>L0_ii.1.2</t>
  </si>
  <si>
    <t>Protection of Sensitive Log-on Information</t>
  </si>
  <si>
    <t>L0_ii.2.1</t>
  </si>
  <si>
    <t>Intrusion Detection</t>
  </si>
  <si>
    <t>System Access Control</t>
  </si>
  <si>
    <t>Asset Access Control</t>
  </si>
  <si>
    <t>L0_ii.3.2</t>
  </si>
  <si>
    <t>Factory Premises Access Control</t>
  </si>
  <si>
    <t>System Front-end Application Access Control</t>
  </si>
  <si>
    <t>AIDC Technologies Access Control</t>
  </si>
  <si>
    <t>IT Infrastructure Access Control</t>
  </si>
  <si>
    <t>Role-Based Access Control</t>
  </si>
  <si>
    <t>H.4.1; H.4.2; H.4.3; H.4.5; H.4.7</t>
  </si>
  <si>
    <t>L0_ii.4.2</t>
  </si>
  <si>
    <t>Group-Based Access Control</t>
  </si>
  <si>
    <t>H.4.1; H.4.2; H.4.3</t>
  </si>
  <si>
    <t>L0_ii.4.3</t>
  </si>
  <si>
    <t>User Identity-Based Access Control</t>
  </si>
  <si>
    <t>L0_ii.4.4</t>
  </si>
  <si>
    <t>Secure Access to Sensitive Data Stores</t>
  </si>
  <si>
    <t>Role-Based Access Control Record</t>
  </si>
  <si>
    <t>L0_ii.5.2</t>
  </si>
  <si>
    <t>Privilege Allocation Tracking</t>
  </si>
  <si>
    <t>L0_ii.5.3</t>
  </si>
  <si>
    <t>Security Procedure Accountability</t>
  </si>
  <si>
    <t>User Management Record</t>
  </si>
  <si>
    <t>L0_ii.5.5</t>
  </si>
  <si>
    <t>Operations Management Privilege Record</t>
  </si>
  <si>
    <t>Regular Privileged Access Review</t>
  </si>
  <si>
    <t>L0_ii.7.1</t>
  </si>
  <si>
    <t>Factory Network Access Control</t>
  </si>
  <si>
    <t>Warehouse Inventory Data Protection</t>
  </si>
  <si>
    <t>L0_ii.7.3</t>
  </si>
  <si>
    <t>Production Plan Data Store Security</t>
  </si>
  <si>
    <t>L0_ii.7.4</t>
  </si>
  <si>
    <t>Finished Car Registry Data Protection</t>
  </si>
  <si>
    <t>L0_ii.7.5</t>
  </si>
  <si>
    <t>Supply Chain Network Segmentation</t>
  </si>
  <si>
    <t>External Network Connection Control</t>
  </si>
  <si>
    <t>Segregation of System Admin Communication Channels</t>
  </si>
  <si>
    <t>Cryptographic Protection of Sensitive Data</t>
  </si>
  <si>
    <t>H.9.1; H.9.3</t>
  </si>
  <si>
    <t>Secure Data Storage on Physical Data Carriers</t>
  </si>
  <si>
    <t>Secure Data Transmission over External Networks</t>
  </si>
  <si>
    <t>L0_ii.9.4</t>
  </si>
  <si>
    <t>Cryptographic Protection of Automated Equipment</t>
  </si>
  <si>
    <t>H.9.2; H.9.3</t>
  </si>
  <si>
    <t>Component Data Encryption</t>
  </si>
  <si>
    <t>L0_ii.10.2</t>
  </si>
  <si>
    <t>Car Data Protection</t>
  </si>
  <si>
    <t>Requisition and Delivery Note Encryption</t>
  </si>
  <si>
    <t>L0_ii.10.4</t>
  </si>
  <si>
    <t>Purchase Order and Waybill Data Security</t>
  </si>
  <si>
    <t>L0_ii.10.5</t>
  </si>
  <si>
    <t>Assembly Line Data Protection</t>
  </si>
  <si>
    <t>L0_ii.10.6</t>
  </si>
  <si>
    <t>Finished Car Yard Data Encryption</t>
  </si>
  <si>
    <t>L0_iii.#</t>
  </si>
  <si>
    <t>L0_iii.1.1</t>
  </si>
  <si>
    <t>Secure Employee Login Feedback</t>
  </si>
  <si>
    <t>L0_iii.1.2</t>
  </si>
  <si>
    <t>Unauthorized Access Prevention</t>
  </si>
  <si>
    <t>L0_iii.2.1</t>
  </si>
  <si>
    <t>Intrusion Detection for Employee Log-on</t>
  </si>
  <si>
    <t>L0_iii.2.2</t>
  </si>
  <si>
    <t>Unauthorized Access Attempt Alert for Restricted Areas</t>
  </si>
  <si>
    <t>External User Log-on Breach Detection</t>
  </si>
  <si>
    <t>L0_iii.2.4</t>
  </si>
  <si>
    <t>Log-on Breach Detection for System Administrators</t>
  </si>
  <si>
    <t>Access Gate Control Breach Detection</t>
  </si>
  <si>
    <t>L0_iii.2.6</t>
  </si>
  <si>
    <t>Warehouse Inventory Breach Detection</t>
  </si>
  <si>
    <t>L0_iii.2.7</t>
  </si>
  <si>
    <t>Finished Car Registry Breach Detection</t>
  </si>
  <si>
    <t>L0_iii.2.8</t>
  </si>
  <si>
    <t>Purchase Order and Transport Order Breach Detection</t>
  </si>
  <si>
    <t>L0_iii.3.1</t>
  </si>
  <si>
    <t>L0_iii.3.2</t>
  </si>
  <si>
    <t>Secure System Access for Critical Roles</t>
  </si>
  <si>
    <t>Physical Access Control for Sensitive Areas</t>
  </si>
  <si>
    <t>Role-Based Access Control for Datastores</t>
  </si>
  <si>
    <t>L0_iii.4.2</t>
  </si>
  <si>
    <t>Employee Role-Based Data Access</t>
  </si>
  <si>
    <t>Access Privilege Record</t>
  </si>
  <si>
    <t>L0_iii.5.2</t>
  </si>
  <si>
    <t>Privilege Allocation Record</t>
  </si>
  <si>
    <t>L0_iii.6.1</t>
  </si>
  <si>
    <t>Privileged Access Review for System Admins</t>
  </si>
  <si>
    <t>L0_iii.6.2</t>
  </si>
  <si>
    <t>Privileged Access Review for Operations Managers</t>
  </si>
  <si>
    <t>L0_iii.6.3</t>
  </si>
  <si>
    <t>Privileged Access Review for Security Managers</t>
  </si>
  <si>
    <t>L0_iii.7.1</t>
  </si>
  <si>
    <t>Secure Internet Connection for Supply Vehicles</t>
  </si>
  <si>
    <t>Filtered Network Connection for Logistics Terminal</t>
  </si>
  <si>
    <t>Firewall Protection for Data Stores</t>
  </si>
  <si>
    <t>Secure Connection for Remote Access</t>
  </si>
  <si>
    <t>Network Segmentation for IoT Devices</t>
  </si>
  <si>
    <t>Secure Data Exchange with External Partners</t>
  </si>
  <si>
    <t>Role-Based Network Access Control</t>
  </si>
  <si>
    <t>L0_iii.8.1</t>
  </si>
  <si>
    <t>Factory Network Segregation</t>
  </si>
  <si>
    <t>L0_iii.8.2</t>
  </si>
  <si>
    <t>System Admin Network Access Control</t>
  </si>
  <si>
    <t>Secure Network Administration</t>
  </si>
  <si>
    <t>L0_iii.8.4</t>
  </si>
  <si>
    <t>Network Traffic Segmentation</t>
  </si>
  <si>
    <t>Role-Based Network Access</t>
  </si>
  <si>
    <t>L0_iii.9.1</t>
  </si>
  <si>
    <t>Secure Data Storage</t>
  </si>
  <si>
    <t>H.9.1; H.9.2</t>
  </si>
  <si>
    <t>Secure Communication</t>
  </si>
  <si>
    <t>Secure Requisition and Purchase Order Data Exchange</t>
  </si>
  <si>
    <t>L0_iii.10.2</t>
  </si>
  <si>
    <t>Authentication and Authorization Key Management</t>
  </si>
  <si>
    <t>L0_iii.10.3</t>
  </si>
  <si>
    <t>Secure Communication with External Entities</t>
  </si>
  <si>
    <t>L0_iii.10.4</t>
  </si>
  <si>
    <t>Datastore Encryption Key Management</t>
  </si>
  <si>
    <t>Key Recovery and Revocation</t>
  </si>
  <si>
    <t>L0_iv.#</t>
  </si>
  <si>
    <t>L0_iv.1.1</t>
  </si>
  <si>
    <t>Secure Login Feedback</t>
  </si>
  <si>
    <t>L0_iv.1.2</t>
  </si>
  <si>
    <t>Limited Login Error Messages for System Admins</t>
  </si>
  <si>
    <t>L0_iv.1.3</t>
  </si>
  <si>
    <t>No Helpful Error Messages for Operations and Security Managers</t>
  </si>
  <si>
    <t>L0_iv.2.1</t>
  </si>
  <si>
    <t>Unauthorized System Access Detection</t>
  </si>
  <si>
    <t>L0_iv.2.2</t>
  </si>
  <si>
    <t>Notification of System Admin and Security Manager</t>
  </si>
  <si>
    <t>L0_iv.2.3</t>
  </si>
  <si>
    <t>Real-time Alert for Security Events</t>
  </si>
  <si>
    <t>L0_iv.3.1</t>
  </si>
  <si>
    <t>L0_iv.3.2</t>
  </si>
  <si>
    <t>Role-Based Access Control for Supply Chain Data</t>
  </si>
  <si>
    <t>L0_iv.3.3</t>
  </si>
  <si>
    <t>Data Protection for Warehouse Inventory</t>
  </si>
  <si>
    <t>L0_iv.3.4</t>
  </si>
  <si>
    <t>Access Control for Production Planning Data</t>
  </si>
  <si>
    <t>Restrict Access for System Administration and Security Roles</t>
  </si>
  <si>
    <t>L0_iv.4.2</t>
  </si>
  <si>
    <t>L0_iv.4.3</t>
  </si>
  <si>
    <t>Task-Based Access Control</t>
  </si>
  <si>
    <t>Employee Access Privileges Record</t>
  </si>
  <si>
    <t>L0_iv.5.2</t>
  </si>
  <si>
    <t>Automated System Privileges Record</t>
  </si>
  <si>
    <t>L0_iv.5.3</t>
  </si>
  <si>
    <t>Car Manufacturer and Forwarder Privileges Record</t>
  </si>
  <si>
    <t>L0_iv.6.1</t>
  </si>
  <si>
    <t>Regular Review of System Admin Privileges</t>
  </si>
  <si>
    <t>L0_iv.6.2</t>
  </si>
  <si>
    <t>Periodic Evaluation of Operations Manager Access</t>
  </si>
  <si>
    <t>L0_iv.6.3</t>
  </si>
  <si>
    <t>Security Manager Privilege Review</t>
  </si>
  <si>
    <t>L0_iv.7.1</t>
  </si>
  <si>
    <t>System-to-Network Connection Validation</t>
  </si>
  <si>
    <t>L0_iv.7.3</t>
  </si>
  <si>
    <t>Network Segmentation and Isolation</t>
  </si>
  <si>
    <t>Firewall Configuration and Management</t>
  </si>
  <si>
    <t>H.7.2; H.7.3</t>
  </si>
  <si>
    <t>Real-time Network Monitoring and Alerting</t>
  </si>
  <si>
    <t>L0_iv.8.1</t>
  </si>
  <si>
    <t>Segregation of System Admin Operations</t>
  </si>
  <si>
    <t>Isolation of Administration Procedures</t>
  </si>
  <si>
    <t>L0_iv.8.3</t>
  </si>
  <si>
    <t>Separation of IT Infrastructure Management</t>
  </si>
  <si>
    <t>Secure Data Storage in Factory Datastores</t>
  </si>
  <si>
    <t>Secure Data Transmission over Factory Networks</t>
  </si>
  <si>
    <t>Secure Data on Handheld Devices and Sensors</t>
  </si>
  <si>
    <t>Comprehensive Key Management System</t>
  </si>
  <si>
    <t>Encrypted Data Recovery Procedure</t>
  </si>
  <si>
    <t>Role-Based Key Management Access Control</t>
  </si>
  <si>
    <t>H.10.2; H.10.3</t>
  </si>
  <si>
    <t>Key Management System Integration with IoT Middleware</t>
  </si>
  <si>
    <t>Key Management System Auditing and Compliance</t>
  </si>
  <si>
    <t>L1.1.1</t>
  </si>
  <si>
    <t>Secure Access Control Manager Log-on</t>
  </si>
  <si>
    <t>L1.1.2</t>
  </si>
  <si>
    <t>Employee Log-on Security</t>
  </si>
  <si>
    <t>L1.1.3</t>
  </si>
  <si>
    <t>Secure Supply Vehicle Entry</t>
  </si>
  <si>
    <t>Outside of the scope of the system</t>
  </si>
  <si>
    <t>L1.2.1</t>
  </si>
  <si>
    <t>Supply Vehicle Access Breach Detection</t>
  </si>
  <si>
    <t>Employee Access Breach Detection</t>
  </si>
  <si>
    <t>Sensitive Data Store Access Control</t>
  </si>
  <si>
    <t>Assembly Line and Warehouse Access Control</t>
  </si>
  <si>
    <t>Partial hall. also areas non-related to IT</t>
  </si>
  <si>
    <t>L1.3.4</t>
  </si>
  <si>
    <t>Role-Based Access Control for System Administration</t>
  </si>
  <si>
    <t>Secure AIDC Technology Management</t>
  </si>
  <si>
    <t>H.4.1; H.4.2; H.4.5</t>
  </si>
  <si>
    <t>System Administration Access Control</t>
  </si>
  <si>
    <t>Security Management Access Control</t>
  </si>
  <si>
    <t>L1.5.1</t>
  </si>
  <si>
    <t>Privilege Allocation Record for Factory Roles</t>
  </si>
  <si>
    <t>L1.5.2</t>
  </si>
  <si>
    <t>Essentially the same as L1.5.1</t>
  </si>
  <si>
    <t>Privilege Allocation Record for System Administration</t>
  </si>
  <si>
    <t>L1.5.4</t>
  </si>
  <si>
    <t>Security Privilege Allocation Record</t>
  </si>
  <si>
    <t>L1.6.1</t>
  </si>
  <si>
    <t>L1.6.2</t>
  </si>
  <si>
    <t>Factory-Specific Privileged Access Review</t>
  </si>
  <si>
    <t>L1.6.3</t>
  </si>
  <si>
    <t>Regular Competence Assessment for Privileged Users</t>
  </si>
  <si>
    <t>L1.6.4</t>
  </si>
  <si>
    <t>Role-Based Privileged Access Review</t>
  </si>
  <si>
    <t>L1.6.5</t>
  </si>
  <si>
    <t>Duty-Specific Privileged Access Review</t>
  </si>
  <si>
    <t>L1.7.1</t>
  </si>
  <si>
    <t>Restricted Factory Network Connections</t>
  </si>
  <si>
    <t>Securize internals</t>
  </si>
  <si>
    <t>Filtered Forwarder Connections</t>
  </si>
  <si>
    <t>L1.7.4</t>
  </si>
  <si>
    <t>Firewalled System Admin Access</t>
  </si>
  <si>
    <t>L1.8.1</t>
  </si>
  <si>
    <t>System Admin Network Channel Segregation</t>
  </si>
  <si>
    <t>L1.8.2</t>
  </si>
  <si>
    <t>IT Infrastructure Management Communication Isolation</t>
  </si>
  <si>
    <t>L1.9.1</t>
  </si>
  <si>
    <t>Secure Data Transmission for Finished Car Registry</t>
  </si>
  <si>
    <t>L1.9.2</t>
  </si>
  <si>
    <t>Endpoint Device Data Protection for Warehouse Workers</t>
  </si>
  <si>
    <t>L1.9.3</t>
  </si>
  <si>
    <t>Secure Storage of Requisitions Data</t>
  </si>
  <si>
    <t>L1.9.4</t>
  </si>
  <si>
    <t>Cryptographic Protection for Supply Vehicles Registry</t>
  </si>
  <si>
    <t>L1.9.5</t>
  </si>
  <si>
    <t>Secure Transmission of Production Plan Data</t>
  </si>
  <si>
    <t>L1.9.6</t>
  </si>
  <si>
    <t>Secure Storage and Transmission of Purchase Order and Transport Order Data</t>
  </si>
  <si>
    <t>Component Identifier Key Management</t>
  </si>
  <si>
    <t>L1.10.2</t>
  </si>
  <si>
    <t>Access Control Key Management</t>
  </si>
  <si>
    <t>L2.1.2</t>
  </si>
  <si>
    <t>Controlled Access Attempt Feedback</t>
  </si>
  <si>
    <t>L2.2.1</t>
  </si>
  <si>
    <t>Detection of Potential Breach of Employee Log-on Controls</t>
  </si>
  <si>
    <t>L2.2.2</t>
  </si>
  <si>
    <t>Notification of Security Manager in Case of Potential Breach</t>
  </si>
  <si>
    <t>L2.2.3</t>
  </si>
  <si>
    <t>Real-time Alerting for Suspicious Log-on Activity</t>
  </si>
  <si>
    <t>L2.2.4</t>
  </si>
  <si>
    <t>System Admin Alerting for Potential Security Breaches</t>
  </si>
  <si>
    <t>L2.3.2</t>
  </si>
  <si>
    <t>H.4.1; H.4.5</t>
  </si>
  <si>
    <t>Warehouse Inventory Access Restriction</t>
  </si>
  <si>
    <t>Finished Car Registry Access Control</t>
  </si>
  <si>
    <t>Purchase and Transport Order Access Control</t>
  </si>
  <si>
    <t>L2.5.1</t>
  </si>
  <si>
    <t>Factory Privilege Management Record</t>
  </si>
  <si>
    <t>System Admin Privilege Record</t>
  </si>
  <si>
    <t>L2.5.4</t>
  </si>
  <si>
    <t>Security Manager Incident Response Record</t>
  </si>
  <si>
    <t>L2.7.1</t>
  </si>
  <si>
    <t>Factory Internal Network Access Restriction</t>
  </si>
  <si>
    <t>L2.7.2</t>
  </si>
  <si>
    <t>Logistics Terminal Network Access Restriction</t>
  </si>
  <si>
    <t>IoT Middleware Access Restriction</t>
  </si>
  <si>
    <t>Secure External Communication</t>
  </si>
  <si>
    <t>Firewall Configuration</t>
  </si>
  <si>
    <t>L2.8.1</t>
  </si>
  <si>
    <t>L2.8.2</t>
  </si>
  <si>
    <t>Isolation of Network Administration from Production Traffic</t>
  </si>
  <si>
    <t>L2.9.1</t>
  </si>
  <si>
    <t>Logistics Information Confidentiality</t>
  </si>
  <si>
    <t>L2.9.2</t>
  </si>
  <si>
    <t>Mobile User Data Protection</t>
  </si>
  <si>
    <t>L2.10.1</t>
  </si>
  <si>
    <t>Secure Key Management</t>
  </si>
  <si>
    <t>L2.10.2</t>
  </si>
  <si>
    <t>Protected Data in Transit</t>
  </si>
  <si>
    <t>Outside the scope of the requested NFR</t>
  </si>
  <si>
    <t>L2.10.3</t>
  </si>
  <si>
    <t>L3.1.1</t>
  </si>
  <si>
    <t>Secure Access Gate Log-on Procedure</t>
  </si>
  <si>
    <t>L3.1.3</t>
  </si>
  <si>
    <t>Secure System Administration Log-on Procedure</t>
  </si>
  <si>
    <t>Secure Access Gate Entry Feedback</t>
  </si>
  <si>
    <t>Secure Supply Chain Information Feedback</t>
  </si>
  <si>
    <t>L3.2.1</t>
  </si>
  <si>
    <t>Access Gate Log-on Breach Detection</t>
  </si>
  <si>
    <t>L3.2.2</t>
  </si>
  <si>
    <t>Employee Log-on Breach Detection</t>
  </si>
  <si>
    <t>L3.2.3</t>
  </si>
  <si>
    <t>Logistics Terminal Log-on Breach Detection</t>
  </si>
  <si>
    <t>Protection of Sensitive Data Stores</t>
  </si>
  <si>
    <t>L3.2.5</t>
  </si>
  <si>
    <t>System Administrator Log-on Breach Response</t>
  </si>
  <si>
    <t>L3.2.6</t>
  </si>
  <si>
    <t>Unauthorized Access Attempt Alert</t>
  </si>
  <si>
    <t>L3.2.7</t>
  </si>
  <si>
    <t>System Administrator Alert for Repeated Failed Logins</t>
  </si>
  <si>
    <t>Access Control for Physical Locations</t>
  </si>
  <si>
    <t>Access Control for Sensitive Factory Systems</t>
  </si>
  <si>
    <t>Controlled Access to Factory Premises</t>
  </si>
  <si>
    <t>L3.3.5</t>
  </si>
  <si>
    <t>Isolation of Logistics Terminal Car Registry</t>
  </si>
  <si>
    <t>L3.3.6</t>
  </si>
  <si>
    <t>Isolation of Logistics Terminal Systems</t>
  </si>
  <si>
    <t>L3.3.7</t>
  </si>
  <si>
    <t>Isolation of Sensitive Data Stores</t>
  </si>
  <si>
    <t>Role-Based Access Control for Employee Roles</t>
  </si>
  <si>
    <t>Role-Based Access Control for Sensitive Roles</t>
  </si>
  <si>
    <t>Secure Access to Assembly Line and Warehouse Systems</t>
  </si>
  <si>
    <t>Secure Access to Finished Car Registry and VIN Management</t>
  </si>
  <si>
    <t>L3.3.14</t>
  </si>
  <si>
    <t>Secure Car Shipment</t>
  </si>
  <si>
    <t>L3.3.15</t>
  </si>
  <si>
    <t>Secure Component and Car Data</t>
  </si>
  <si>
    <t>L3.3.16</t>
  </si>
  <si>
    <t>Secure Component Storage</t>
  </si>
  <si>
    <t>L3.3.17</t>
  </si>
  <si>
    <t>Secure IoT Middleware Access</t>
  </si>
  <si>
    <t>L3.4.1</t>
  </si>
  <si>
    <t>Access Control for Requisitions Data Store</t>
  </si>
  <si>
    <t>H.4.1; H.4.2</t>
  </si>
  <si>
    <t>L3.4.2</t>
  </si>
  <si>
    <t>Role-Based Access to Supply Vehicles Registry</t>
  </si>
  <si>
    <t>Warehouse Inventory Access Control</t>
  </si>
  <si>
    <t>L3.4.6</t>
  </si>
  <si>
    <t>Purchase Order and Transport Order Data Stores Access Control</t>
  </si>
  <si>
    <t>User Management and Access Control</t>
  </si>
  <si>
    <t>Role-Based Access to Dealer and Forwarder Information</t>
  </si>
  <si>
    <t>Data Access Control for Finished Car Yard and Logistics Terminal</t>
  </si>
  <si>
    <t>L3.5.1</t>
  </si>
  <si>
    <t>Privilege Allocation Record for Employee Roles</t>
  </si>
  <si>
    <t>Privilege Allocation Record for Automated Systems</t>
  </si>
  <si>
    <t>Privilege Allocation Record for Administration and Management Roles</t>
  </si>
  <si>
    <t>L3.5.4</t>
  </si>
  <si>
    <t>L3.5.5</t>
  </si>
  <si>
    <t>Record of System Privileges for Factory IT Infrastructure</t>
  </si>
  <si>
    <t>Record of Operational Privileges for Assembly Line Management</t>
  </si>
  <si>
    <t>Record of Access Privileges for Supply Vehicles and Drivers</t>
  </si>
  <si>
    <t>L3.5.8</t>
  </si>
  <si>
    <t>Record of Security-Related Privileges for Security Manager</t>
  </si>
  <si>
    <t>L3.5.9</t>
  </si>
  <si>
    <t>Record of System Privileges</t>
  </si>
  <si>
    <t>L3.6.1</t>
  </si>
  <si>
    <t>L3.6.2</t>
  </si>
  <si>
    <t>Regular Review of Operations Manager Privileges</t>
  </si>
  <si>
    <t>L3.6.3</t>
  </si>
  <si>
    <t>Regular Review of Security Manager Privileges</t>
  </si>
  <si>
    <t>L3.6.4</t>
  </si>
  <si>
    <t>Privileged Access Review for Car Manufacturer Employees</t>
  </si>
  <si>
    <t>L3.6.5</t>
  </si>
  <si>
    <t>Periodic Evaluation of Employee Competence and Access Rights</t>
  </si>
  <si>
    <t>L3.6.6</t>
  </si>
  <si>
    <t>Role-Based Access Control Review for Factory Systems</t>
  </si>
  <si>
    <t>L3.6.7</t>
  </si>
  <si>
    <t>Privileged Access Rights Review for Factory Employees with Access to Sensitive Systems</t>
  </si>
  <si>
    <t>Competence-Based Access Rights Review for Employees with Roles Requiring Specialized Knowledge</t>
  </si>
  <si>
    <t>L3.7.1</t>
  </si>
  <si>
    <t>Filtered External Entity Network Access Control</t>
  </si>
  <si>
    <t>Many of the following are cuasi-redundant</t>
  </si>
  <si>
    <t>L3.7.2</t>
  </si>
  <si>
    <t>Filtered IT Infrastructure Network Access</t>
  </si>
  <si>
    <t>L3.7.3</t>
  </si>
  <si>
    <t>Network Segmentation Access Control</t>
  </si>
  <si>
    <t>Restricted AGV and Robotized System Network Access</t>
  </si>
  <si>
    <t>L3.7.7</t>
  </si>
  <si>
    <t>Secured Data Store and Registry Network Connections</t>
  </si>
  <si>
    <t>Secured Generalist IoT Middleware Platforms Connection</t>
  </si>
  <si>
    <t>L3.7.9</t>
  </si>
  <si>
    <t>Secured Middleware Connections</t>
  </si>
  <si>
    <t>L3.7.10</t>
  </si>
  <si>
    <t>User Network Access Restriction</t>
  </si>
  <si>
    <t>L3.7.11</t>
  </si>
  <si>
    <t>Factory IT Infrastructure Network Access Restriction</t>
  </si>
  <si>
    <t>L3.7.12</t>
  </si>
  <si>
    <t>IoT Device Connection Filtering</t>
  </si>
  <si>
    <t>L3.7.13</t>
  </si>
  <si>
    <t>Secure IoT Device Connections</t>
  </si>
  <si>
    <t>L3.7.14</t>
  </si>
  <si>
    <t>Filtered External System Connections</t>
  </si>
  <si>
    <t>L3.7.15</t>
  </si>
  <si>
    <t>Secure Access Control Manager Connection</t>
  </si>
  <si>
    <t>L3.7.16</t>
  </si>
  <si>
    <t>Restricted Dock Manager Network Access</t>
  </si>
  <si>
    <t>L3.7.17</t>
  </si>
  <si>
    <t>Filtered Warehouse Inventory Connection</t>
  </si>
  <si>
    <t>L3.7.18</t>
  </si>
  <si>
    <t>Secure Plant Manager Network Access</t>
  </si>
  <si>
    <t>L3.7.19</t>
  </si>
  <si>
    <t>Restricted Shipping Manager Connection</t>
  </si>
  <si>
    <t>L3.7.20</t>
  </si>
  <si>
    <t>Filtered Finished Car Yard Connection</t>
  </si>
  <si>
    <t>L3.7.21</t>
  </si>
  <si>
    <t>Secure Requisitions Data Store Connection</t>
  </si>
  <si>
    <t>L3.7.22</t>
  </si>
  <si>
    <t>Restricted Supply Vehicles Registry Access</t>
  </si>
  <si>
    <t>L3.7.23</t>
  </si>
  <si>
    <t>Filtered Warehouse Inventory Access</t>
  </si>
  <si>
    <t>L3.7.24</t>
  </si>
  <si>
    <t>Secure Production Plan Data Store Connection</t>
  </si>
  <si>
    <t>L3.7.25</t>
  </si>
  <si>
    <t>Restricted Finished Car Registry Access</t>
  </si>
  <si>
    <t>L3.7.26</t>
  </si>
  <si>
    <t>Filtered Logistics Terminal Car Registry Connection</t>
  </si>
  <si>
    <t>L3.7.27</t>
  </si>
  <si>
    <t>Secure Purchase Order and Transport Order Data Stores Connection</t>
  </si>
  <si>
    <t>L3.7.28</t>
  </si>
  <si>
    <t>Restricted Handheld Devices Access</t>
  </si>
  <si>
    <t>L3.7.29</t>
  </si>
  <si>
    <t>Filtered Front-end Application Connection</t>
  </si>
  <si>
    <t>L3.7.30</t>
  </si>
  <si>
    <t>Restricted Sensors and Actuators Connection</t>
  </si>
  <si>
    <t>L3.7.31</t>
  </si>
  <si>
    <t>Secure Factory Network Infrastructure Connection</t>
  </si>
  <si>
    <t>L3.7.32</t>
  </si>
  <si>
    <t>Filtered Internet of Things (IoT) Network Connection</t>
  </si>
  <si>
    <t>Secure External Network Connection</t>
  </si>
  <si>
    <t>Segregation of System Administration Channels</t>
  </si>
  <si>
    <t>Isolation of Network Administration Channels</t>
  </si>
  <si>
    <t>Isolation of IoT Middleware Platforms</t>
  </si>
  <si>
    <t>Excessive</t>
  </si>
  <si>
    <t>Isolation of Operations Management Traffic</t>
  </si>
  <si>
    <t>Separation of Security Management Channels</t>
  </si>
  <si>
    <t>L3.9.1</t>
  </si>
  <si>
    <t>Secure Communication of Handheld Devices</t>
  </si>
  <si>
    <t>L3.9.2</t>
  </si>
  <si>
    <t>Protection of Component Inventory Data</t>
  </si>
  <si>
    <t>Secure Transmission of Delivery Notes</t>
  </si>
  <si>
    <t>Absurd</t>
  </si>
  <si>
    <t>L3.9.4</t>
  </si>
  <si>
    <t>Safeguard Finished Car Registry Information</t>
  </si>
  <si>
    <t>L3.9.5</t>
  </si>
  <si>
    <t>Secure AGV and Robot Communication</t>
  </si>
  <si>
    <t>L3.9.6</t>
  </si>
  <si>
    <t>Protection of Purchase Order and Transport Order Data</t>
  </si>
  <si>
    <t>Secure IoT Middleware Platform Communication</t>
  </si>
  <si>
    <t>L3.9.8</t>
  </si>
  <si>
    <t>Cryptographic Protection of Sensitive Data Stores</t>
  </si>
  <si>
    <t>L3.9.9</t>
  </si>
  <si>
    <t>Secure Data Transmission over IoT Middleware Platforms</t>
  </si>
  <si>
    <t>Cryptographic Protection of Physical Storage Media</t>
  </si>
  <si>
    <t>Secure Handheld Device Data Storage</t>
  </si>
  <si>
    <t>Secure Production Plan Data Storage</t>
  </si>
  <si>
    <t>L3.9.13</t>
  </si>
  <si>
    <t>Secure Requisition Data Storage</t>
  </si>
  <si>
    <t>L3.9.14</t>
  </si>
  <si>
    <t>Supply Vehicle Registry Data Encryption</t>
  </si>
  <si>
    <t>L3.9.15</t>
  </si>
  <si>
    <t>Secure Internal Network Data Transmission</t>
  </si>
  <si>
    <t>L3.10.1</t>
  </si>
  <si>
    <t>L3.10.2</t>
  </si>
  <si>
    <t>Secure Key Management for Data Stores</t>
  </si>
  <si>
    <t>L3.10.3</t>
  </si>
  <si>
    <t>Secure Key Management for Employee Authentication</t>
  </si>
  <si>
    <t>Key Recovery for Business Continuity</t>
  </si>
  <si>
    <t>Integration of Key Management with IoT Middleware</t>
  </si>
  <si>
    <t>Not directly inferrable</t>
  </si>
  <si>
    <t>Role-Based Access Control for Key Management</t>
  </si>
  <si>
    <t>Secure Key Management for External Communication</t>
  </si>
  <si>
    <t>Secure Data Transmission</t>
  </si>
  <si>
    <t>Out of the scope</t>
  </si>
  <si>
    <t>L3.10.9</t>
  </si>
  <si>
    <t>Protected Data Storage</t>
  </si>
  <si>
    <t>L3.10.10</t>
  </si>
  <si>
    <t>Factory IT Infrastructure Key Management</t>
  </si>
  <si>
    <t>System Admin Key Management Responsibilities</t>
  </si>
  <si>
    <t>Security Manager Key Management Oversight</t>
  </si>
  <si>
    <t>L4.1.1</t>
  </si>
  <si>
    <t>Secure Access Control Feedback</t>
  </si>
  <si>
    <t>Secure Login Feedback for System Users</t>
  </si>
  <si>
    <t>L4.1.3</t>
  </si>
  <si>
    <t>Secure Authentication Feedback for Finished Car Yard Drivers</t>
  </si>
  <si>
    <t>L4.2.1</t>
  </si>
  <si>
    <t>Intrusion Detection and Alert</t>
  </si>
  <si>
    <t>Absurd; out of the scope</t>
  </si>
  <si>
    <t>L4.2.2</t>
  </si>
  <si>
    <t>Anomalous Login Attempt Detection and Notification</t>
  </si>
  <si>
    <t>L4.2.3</t>
  </si>
  <si>
    <t>Real-time Monitoring and Alert System</t>
  </si>
  <si>
    <t>L4.2.4</t>
  </si>
  <si>
    <t>Automated Alert System for Suspicious Activity</t>
  </si>
  <si>
    <t>L4.2.5</t>
  </si>
  <si>
    <t>Detection and Notification of Potential Security Breaches</t>
  </si>
  <si>
    <t>L4.3.1</t>
  </si>
  <si>
    <t>Authorized Supply Vehicle Access</t>
  </si>
  <si>
    <t>L4.3.2</t>
  </si>
  <si>
    <t>Segregation of Duties for Warehouse Workers</t>
  </si>
  <si>
    <t>L4.3.3</t>
  </si>
  <si>
    <t>Controlled Access to Assembly Line</t>
  </si>
  <si>
    <t>L4.3.4</t>
  </si>
  <si>
    <t>Secure Storage of Finished Cars</t>
  </si>
  <si>
    <t>L4.3.5</t>
  </si>
  <si>
    <t>Restricted Access to Logistics Terminal</t>
  </si>
  <si>
    <t>Role-Based Access Control for Logistics and Production Data</t>
  </si>
  <si>
    <t>Audit Trail of Access Privileges</t>
  </si>
  <si>
    <t>L4.5.2</t>
  </si>
  <si>
    <t>Access Control for Supply Vehicles</t>
  </si>
  <si>
    <t>L4.5.3</t>
  </si>
  <si>
    <t>Access Control for Warehouse Workers</t>
  </si>
  <si>
    <t>L4.5.4</t>
  </si>
  <si>
    <t>Access Control for Employees</t>
  </si>
  <si>
    <t>L4.5.5</t>
  </si>
  <si>
    <t>Access Control for Shipping Finished Cars</t>
  </si>
  <si>
    <t>L4.7.2</t>
  </si>
  <si>
    <t>Assembly Line Network Access Restriction</t>
  </si>
  <si>
    <t>System Access Role-Based Control</t>
  </si>
  <si>
    <t>Segregation of System Admin Channels</t>
  </si>
  <si>
    <t>L4.8.2</t>
  </si>
  <si>
    <t>Segregation of Operations Manager Channels</t>
  </si>
  <si>
    <t>L4.8.3</t>
  </si>
  <si>
    <t>Segregation of Security Manager Channels</t>
  </si>
  <si>
    <t>Secure Component Identification Data</t>
  </si>
  <si>
    <t>L4.9.2</t>
  </si>
  <si>
    <t>Protect Finished Car Registry Information</t>
  </si>
  <si>
    <t>L4.9.3</t>
  </si>
  <si>
    <t>Safeguard Requisition and Purchase Order Data</t>
  </si>
  <si>
    <t>Secure AIDC Data Transmission</t>
  </si>
  <si>
    <t>L4.9.5</t>
  </si>
  <si>
    <t>Protect Supply Vehicle and Driver Information</t>
  </si>
  <si>
    <t>Comprehensive Key Management for Component Tracking</t>
  </si>
  <si>
    <t>L4.10.2</t>
  </si>
  <si>
    <t>Secure Key Management for Car Identity and Authentication</t>
  </si>
  <si>
    <t>L4.10.3</t>
  </si>
  <si>
    <t>Key Management for Secure Communication with External Entities</t>
  </si>
  <si>
    <t>L5.1.2</t>
  </si>
  <si>
    <t>Prevention of Unauthorized System Access</t>
  </si>
  <si>
    <t>L5.1.3</t>
  </si>
  <si>
    <t>Protection of Employee Credentials</t>
  </si>
  <si>
    <t>L5.2.1</t>
  </si>
  <si>
    <t>Access Gate Breach Detection and Alert</t>
  </si>
  <si>
    <t>L5.2.2</t>
  </si>
  <si>
    <t>System Log-on Breach Detection and Alert</t>
  </si>
  <si>
    <t>L5.3.1</t>
  </si>
  <si>
    <t>Isolation of Sensitive Factory Systems</t>
  </si>
  <si>
    <t>H.3.1; H.3.5</t>
  </si>
  <si>
    <t>L5.3.2</t>
  </si>
  <si>
    <t>L5.3.3</t>
  </si>
  <si>
    <t>Production Plan Data Store Isolation</t>
  </si>
  <si>
    <t>L5.3.4</t>
  </si>
  <si>
    <t>L5.4.4</t>
  </si>
  <si>
    <t>Requisitions Data Store Access Control</t>
  </si>
  <si>
    <t>L5.4.7</t>
  </si>
  <si>
    <t>L5.5.1</t>
  </si>
  <si>
    <t>Comprehensive Privilege Allocation Record</t>
  </si>
  <si>
    <t>Employee Access Privilege Registry</t>
  </si>
  <si>
    <t>L5.5.3</t>
  </si>
  <si>
    <t>Role-Based Privilege Allocation Log</t>
  </si>
  <si>
    <t>L5.5.4</t>
  </si>
  <si>
    <t>Access Control and Authorization</t>
  </si>
  <si>
    <t>Out of the scope of the system</t>
  </si>
  <si>
    <t>L5.5.5</t>
  </si>
  <si>
    <t>Audit and Compliance</t>
  </si>
  <si>
    <t>Says nothing</t>
  </si>
  <si>
    <t>L5.6.1</t>
  </si>
  <si>
    <t>L5.6.2</t>
  </si>
  <si>
    <t>Role-Based Privileged Access Validation for Warehouse and Plant Managers</t>
  </si>
  <si>
    <t>L5.6.3</t>
  </si>
  <si>
    <t>Periodic Assessment of Privileged Access for Logistics and Shipping Personnel</t>
  </si>
  <si>
    <t>Restricted Connection to Factory Network</t>
  </si>
  <si>
    <t>Secure IoT Middleware Connection</t>
  </si>
  <si>
    <t>L5.7.3</t>
  </si>
  <si>
    <t>Filtered Front-end Application Access</t>
  </si>
  <si>
    <t>Segregation of Network Administration Channels</t>
  </si>
  <si>
    <t>L5.8.2</t>
  </si>
  <si>
    <t>L5.8.3</t>
  </si>
  <si>
    <t>L5.8.4</t>
  </si>
  <si>
    <t>L5.9.1</t>
  </si>
  <si>
    <t>Cryptographic Protection of Handheld Device Data</t>
  </si>
  <si>
    <t>L5.9.3</t>
  </si>
  <si>
    <t>Encryption of Data in Factory Datastores</t>
  </si>
  <si>
    <t>L5.9.4</t>
  </si>
  <si>
    <t>Cryptographic Protection of Finished Car Registry Data</t>
  </si>
  <si>
    <t>Secure Data Storage on Endpoint Devices</t>
  </si>
  <si>
    <t>L5.10.1</t>
  </si>
  <si>
    <t>Secure Key Generation and Protection</t>
  </si>
  <si>
    <t>Encrypted Data Recovery</t>
  </si>
  <si>
    <t>L5.10.4</t>
  </si>
  <si>
    <t>Key Management System Integration</t>
  </si>
  <si>
    <t>L0a.1.1</t>
  </si>
  <si>
    <t>L0a.1.2</t>
  </si>
  <si>
    <t>Access Control Manager Log-on Security</t>
  </si>
  <si>
    <t>L0a.1.3</t>
  </si>
  <si>
    <t>System Admin Log-on Protection</t>
  </si>
  <si>
    <t>L0a.1.4</t>
  </si>
  <si>
    <t>Secure User Management</t>
  </si>
  <si>
    <t>Unrelated</t>
  </si>
  <si>
    <t>L0a.2.1</t>
  </si>
  <si>
    <t>L0a.2.2</t>
  </si>
  <si>
    <t>Supply Vehicle Authentication Failure Notification</t>
  </si>
  <si>
    <t>L0a.2.3</t>
  </si>
  <si>
    <t>System Administrator Notification</t>
  </si>
  <si>
    <t>L0a.3.1</t>
  </si>
  <si>
    <t>L0a.3.2</t>
  </si>
  <si>
    <t>Access Control for Physical Areas</t>
  </si>
  <si>
    <t>Rambles</t>
  </si>
  <si>
    <t>L0a.3.3</t>
  </si>
  <si>
    <t>IoT Middleware Platform Security</t>
  </si>
  <si>
    <t>L0a.3.4</t>
  </si>
  <si>
    <t>Role-Based Access Control for Sensitive Systems</t>
  </si>
  <si>
    <t>L0a.3.5</t>
  </si>
  <si>
    <t>Secure Data Exchange with External Entities</t>
  </si>
  <si>
    <t>L0a.3.6</t>
  </si>
  <si>
    <t>Component and Car Tracking System Security</t>
  </si>
  <si>
    <t>L0a.3.7</t>
  </si>
  <si>
    <t>AGV and Robot System Security</t>
  </si>
  <si>
    <t>L0a.3.8</t>
  </si>
  <si>
    <t>Warehouse and Finished Car Yard Management System Security</t>
  </si>
  <si>
    <t>L0a.3.9</t>
  </si>
  <si>
    <t>Purchase Order and Transport Order System Security</t>
  </si>
  <si>
    <t>L0a.3.10</t>
  </si>
  <si>
    <t>Employee Authentication and Authorization</t>
  </si>
  <si>
    <t>L0a.4.1</t>
  </si>
  <si>
    <t>Controlled Data Access for Employee Roles</t>
  </si>
  <si>
    <t>H.4.1; H.4.2; H.4.3; H.4.7</t>
  </si>
  <si>
    <t>L0a.4.2</t>
  </si>
  <si>
    <t>Role-Based Access Control for Factory Data</t>
  </si>
  <si>
    <t>L0a.4.3</t>
  </si>
  <si>
    <t>Data Access Control for Sensitive Factory Information</t>
  </si>
  <si>
    <t>L0a.4.4</t>
  </si>
  <si>
    <t>Employee Role-Based Data Access Segregation</t>
  </si>
  <si>
    <t>L0a.4.5</t>
  </si>
  <si>
    <t>Factory Data Access Control Audit</t>
  </si>
  <si>
    <t>L0a.5.1</t>
  </si>
  <si>
    <t>Employee Privilege Record</t>
  </si>
  <si>
    <t>L0a.5.2</t>
  </si>
  <si>
    <t>User Access Accountability</t>
  </si>
  <si>
    <t>L0a.5.3</t>
  </si>
  <si>
    <t>Regular Review of Privileged Employee Access Rights</t>
  </si>
  <si>
    <t>L0a.7.1</t>
  </si>
  <si>
    <t>Factory Network Connection Restriction</t>
  </si>
  <si>
    <t>L0a.7.2</t>
  </si>
  <si>
    <t>IoT Device Access Control</t>
  </si>
  <si>
    <t>L0a.7.3</t>
  </si>
  <si>
    <t>Employee Front-end Application Access Control</t>
  </si>
  <si>
    <t>L0a.7.4</t>
  </si>
  <si>
    <t>Data Store Access Control</t>
  </si>
  <si>
    <t>Segregation of Factory Network Administration Channels</t>
  </si>
  <si>
    <t>Encrypt Requisitions Data Store and Warehouse Inventory Data During Transmission</t>
  </si>
  <si>
    <t>L0a.9.2</t>
  </si>
  <si>
    <t>Secure Mobile User Authentication and Authorization</t>
  </si>
  <si>
    <t>L0a.9.3</t>
  </si>
  <si>
    <t>Secure Communication Protocols for Data Transmission</t>
  </si>
  <si>
    <t>L0a.9.4</t>
  </si>
  <si>
    <t>Encrypt Data Stored on Endpoint Devices</t>
  </si>
  <si>
    <t>L0a.9.5</t>
  </si>
  <si>
    <t>Secure Storage and Transmission of Sensitive Information</t>
  </si>
  <si>
    <t>L0a.9.6</t>
  </si>
  <si>
    <t>Secure Finished Car Registry Data During Transmission</t>
  </si>
  <si>
    <t>L0a.9.7</t>
  </si>
  <si>
    <t>Secure Logistics Terminal Car Registry Data During Transmission</t>
  </si>
  <si>
    <t>Comprehensive Key Management</t>
  </si>
  <si>
    <t>L0a.10.2</t>
  </si>
  <si>
    <t>Secure Key Generation and Distribution</t>
  </si>
  <si>
    <t>L0a.10.3</t>
  </si>
  <si>
    <t>Protection of Cryptographic Keys</t>
  </si>
  <si>
    <t>L0a.10.4</t>
  </si>
  <si>
    <t>Recovery of Encrypted AIDC Data</t>
  </si>
  <si>
    <t>L0a.10.5</t>
  </si>
  <si>
    <t>Secure Log-on Feedback Protection</t>
  </si>
  <si>
    <t>L0b.1.2</t>
  </si>
  <si>
    <t>Access Control Manager Log-on Error Message Protection</t>
  </si>
  <si>
    <t>L0b.2.1</t>
  </si>
  <si>
    <t>Supply Vehicle Log-on Security Alert</t>
  </si>
  <si>
    <t>L0b.2.2</t>
  </si>
  <si>
    <t>Employee Log-on Security Alert</t>
  </si>
  <si>
    <t>L0b.2.3</t>
  </si>
  <si>
    <t>System Administrator Log-on Security Alert</t>
  </si>
  <si>
    <t>L0b.3.1</t>
  </si>
  <si>
    <t>Isolation of Requisitions Data Store</t>
  </si>
  <si>
    <t>L0b.3.2</t>
  </si>
  <si>
    <t>Secure Access to Supply Vehicles Registry</t>
  </si>
  <si>
    <t>L0b.3.3</t>
  </si>
  <si>
    <t>L0b.3.4</t>
  </si>
  <si>
    <t>Protection of Production Plan Data Store</t>
  </si>
  <si>
    <t>L0b.3.5</t>
  </si>
  <si>
    <t>L0b.3.6</t>
  </si>
  <si>
    <t>Secure Logistics Terminal Car Registry</t>
  </si>
  <si>
    <t>L0b.3.7</t>
  </si>
  <si>
    <t>Role-Based Access Control for Requisitions Data Store</t>
  </si>
  <si>
    <t>L0b.4.2</t>
  </si>
  <si>
    <t>Restricted Access to Supply Vehicles Registry</t>
  </si>
  <si>
    <t>L0b.4.3</t>
  </si>
  <si>
    <t>Production Plan Data Store Access Restriction</t>
  </si>
  <si>
    <t>L0b.4.5</t>
  </si>
  <si>
    <t>L0b.4.6</t>
  </si>
  <si>
    <t>Purchase Order and Transport Order Data Stores Access Restriction</t>
  </si>
  <si>
    <t>L0b.4.7</t>
  </si>
  <si>
    <t>Employee Role Allocation Record</t>
  </si>
  <si>
    <t>L0b.5.2</t>
  </si>
  <si>
    <t>Access Control and Physical Security Measure Record</t>
  </si>
  <si>
    <t>L0b.6.1</t>
  </si>
  <si>
    <t>L0b.6.2</t>
  </si>
  <si>
    <t>L0b.6.3</t>
  </si>
  <si>
    <t>L0b.6.4</t>
  </si>
  <si>
    <t>Role-Based Access Control Review</t>
  </si>
  <si>
    <t>L0b.6.5</t>
  </si>
  <si>
    <t>Competence-Based Access Control Review</t>
  </si>
  <si>
    <t>Restricted Network Connection for Factory Systems</t>
  </si>
  <si>
    <t>L0b.7.2</t>
  </si>
  <si>
    <t>Secure IoT Middleware Platform Connection</t>
  </si>
  <si>
    <t>L0b.7.3</t>
  </si>
  <si>
    <t>Filtered Network Access for Sensors and Actuators</t>
  </si>
  <si>
    <t>L0b.8.2</t>
  </si>
  <si>
    <t>Isolation of Security Manager Network Communications</t>
  </si>
  <si>
    <t>Excessive measures</t>
  </si>
  <si>
    <t>L0b.8.3</t>
  </si>
  <si>
    <t>Separation of Operations Manager Network Traffic</t>
  </si>
  <si>
    <t>L0b.9.1</t>
  </si>
  <si>
    <t>Secure Yard Driver Handheld Device Data</t>
  </si>
  <si>
    <t>L0b.9.2</t>
  </si>
  <si>
    <t>Cryptographic Protection of Supply Vehicles Registry</t>
  </si>
  <si>
    <t>L0b.9.3</t>
  </si>
  <si>
    <t>Secure Warehouse Inventory Data on Handheld Devices</t>
  </si>
  <si>
    <t>L0b.9.4</t>
  </si>
  <si>
    <t>Protection of Finished Car Registry on Endpoint Devices</t>
  </si>
  <si>
    <t>Secure Transmission of Purchase Orders and Transport Orders</t>
  </si>
  <si>
    <t>Secure Storage of Requisitions Data Store</t>
  </si>
  <si>
    <t>L0b.9.7</t>
  </si>
  <si>
    <t>Cryptographic Protection of Logistics Terminal Car Registry</t>
  </si>
  <si>
    <t>H.10.1; H.10.2</t>
  </si>
  <si>
    <t>L0b.10.2</t>
  </si>
  <si>
    <t>L0b.10.3</t>
  </si>
  <si>
    <t>Key Recovery and Data Restoration</t>
  </si>
  <si>
    <t>L0b.10.4</t>
  </si>
  <si>
    <t>Access Control and Authentication for Key Management</t>
  </si>
  <si>
    <t>L0b.10.5</t>
  </si>
  <si>
    <t>Key Management System Monitoring and Auditing</t>
  </si>
  <si>
    <t>Q0.#</t>
  </si>
  <si>
    <t>Q0.1.1</t>
  </si>
  <si>
    <t>Confidential Log-On Feedback</t>
  </si>
  <si>
    <t>Q0.1.2</t>
  </si>
  <si>
    <t>Uniform Login Failure Response</t>
  </si>
  <si>
    <t>EnhancedLogOnControlsSurveillance</t>
  </si>
  <si>
    <t>IsolatedAccessControlSystemForSupplyVehicleManagement</t>
  </si>
  <si>
    <t>SecureProductionManagementSystemAccess</t>
  </si>
  <si>
    <t>Q0.3.3</t>
  </si>
  <si>
    <t>ConfidentialRequisitionsDataStoreAccess</t>
  </si>
  <si>
    <t>Q0.3.4</t>
  </si>
  <si>
    <t>WarehouseInventoryDataSecurity</t>
  </si>
  <si>
    <t>Q0.3.5</t>
  </si>
  <si>
    <t>SecuredFinishedCarRegistryAccess</t>
  </si>
  <si>
    <t>IsolatedIoTMiddlewarePlatformSecurity</t>
  </si>
  <si>
    <t>AssemblyLineManagementSystemProtection</t>
  </si>
  <si>
    <t>SystemAdminRoleAccessControl</t>
  </si>
  <si>
    <t>SecurityManagerOversightImplementation</t>
  </si>
  <si>
    <t>Role-Based_Access_Control</t>
  </si>
  <si>
    <t>User_Authentication_and_Authorization</t>
  </si>
  <si>
    <t>Q0.4.3</t>
  </si>
  <si>
    <t>Access_Control_Manager_Permissions</t>
  </si>
  <si>
    <t>Q0.4.4</t>
  </si>
  <si>
    <t>Dock_Manager_Permissions</t>
  </si>
  <si>
    <t>Q0.4.5</t>
  </si>
  <si>
    <t>Warehouse_Manager_Permissions</t>
  </si>
  <si>
    <t>Assembly_Line_Workers_Permissions</t>
  </si>
  <si>
    <t>Incorrect assumption</t>
  </si>
  <si>
    <t>Q0.4.10</t>
  </si>
  <si>
    <t>Datastore_Access_Control</t>
  </si>
  <si>
    <t>Subsystem_Specific_Access</t>
  </si>
  <si>
    <t>Use_Case_Access_Control</t>
  </si>
  <si>
    <t>Partial hall.</t>
  </si>
  <si>
    <t>Maintain Comprehensive Privilege Allocation Records</t>
  </si>
  <si>
    <t>Periodic Review of Privileged Access Rights</t>
  </si>
  <si>
    <t>Includes irrelevant periodicity</t>
  </si>
  <si>
    <t>Network Access Control Enforcement</t>
  </si>
  <si>
    <t>H.7.1; H.7.3</t>
  </si>
  <si>
    <t>Secure Isolation of Administration Traffic</t>
  </si>
  <si>
    <t>CryptographicProtectionOfDataAtRest</t>
  </si>
  <si>
    <t>SecureEncryptionForDataInTransit</t>
  </si>
  <si>
    <t>ConfidentialityAndIntegrityOfPhysicalDataCarriers</t>
  </si>
  <si>
    <t>SecureAuthenticationAndKeyManagement</t>
  </si>
  <si>
    <t>Secure Key Lifecycle Management</t>
  </si>
  <si>
    <t>Endpoint Device Data Protection</t>
  </si>
  <si>
    <t>Secure Storage Media Handling</t>
  </si>
  <si>
    <t>Network Communication Security</t>
  </si>
  <si>
    <t>Data Transmission Integrity</t>
  </si>
  <si>
    <t>IoT Middleware Security</t>
  </si>
  <si>
    <t>Administrative Device Encryption</t>
  </si>
  <si>
    <t>Q0_ii.#</t>
  </si>
  <si>
    <t>Secure Log-On Procedure</t>
  </si>
  <si>
    <t>Q0_ii.2.1</t>
  </si>
  <si>
    <t>Enhanced Log-On Controls Monitoring</t>
  </si>
  <si>
    <t>Q0_ii.2.2</t>
  </si>
  <si>
    <t>Alert Notification for Failed Access Attempts</t>
  </si>
  <si>
    <t>Access Control for Sensitive Logistics Data</t>
  </si>
  <si>
    <t>H.3.1; H.3.4</t>
  </si>
  <si>
    <t>Q0_ii.3.2</t>
  </si>
  <si>
    <t>Isolation of Critical Manufacturing Systems</t>
  </si>
  <si>
    <t>Access Control for Financial Transactions</t>
  </si>
  <si>
    <t>Role-Based Access Control for AI4I4 System Entities</t>
  </si>
  <si>
    <t xml:space="preserve">H.4.1; H.4.2; H.4.3; H.4.7 </t>
  </si>
  <si>
    <t>Secure Communication for User-System Interactions</t>
  </si>
  <si>
    <t>Access Control for Physical Data Carriers</t>
  </si>
  <si>
    <t>Authorization for System Administration Tasks</t>
  </si>
  <si>
    <t>PrivilegeAllocationRecordMaintenance</t>
  </si>
  <si>
    <t>AccessRightsAuditTrail</t>
  </si>
  <si>
    <t>RegularReviewOfPrivilegedAccessRights</t>
  </si>
  <si>
    <t>Controlled Network Access for Factory Subsystems</t>
  </si>
  <si>
    <t>Q0_ii.7.2</t>
  </si>
  <si>
    <t>Secure Communication Channels for Logistics Entities</t>
  </si>
  <si>
    <t>Q0_ii.8.1</t>
  </si>
  <si>
    <t>Q0_ii.8.2</t>
  </si>
  <si>
    <t>Isolation of Critical Management Networks</t>
  </si>
  <si>
    <t>Q0_ii.9.1</t>
  </si>
  <si>
    <t>CryptographicProtectionForSupplyVehicleDocumentation</t>
  </si>
  <si>
    <t>Q0_ii.9.2</t>
  </si>
  <si>
    <t>SecureWarehouseInventoryUpdates</t>
  </si>
  <si>
    <t>Q0_ii.9.3</t>
  </si>
  <si>
    <t>ConfidentialityOfFinishedCarInformation</t>
  </si>
  <si>
    <t>SecurePurchaseOrderProcessing</t>
  </si>
  <si>
    <t>Q0_ii.9.5</t>
  </si>
  <si>
    <t>IntegrityOfTransportOrderDetails</t>
  </si>
  <si>
    <t>Q0_ii.10.1</t>
  </si>
  <si>
    <t>KeyManagementSystemForAIDCTechnologies</t>
  </si>
  <si>
    <t>Q0_ii.10.2</t>
  </si>
  <si>
    <t>CryptographicKeyLifecycleManagement</t>
  </si>
  <si>
    <t>Q0_ii.10.3</t>
  </si>
  <si>
    <t>SecureKeyRecoveryMechanism</t>
  </si>
  <si>
    <t>Q0_ii.10.4</t>
  </si>
  <si>
    <t>AccessControlForKeyManagementSystem</t>
  </si>
  <si>
    <t>Q0_iii.#</t>
  </si>
  <si>
    <t>SecureLogOnProcedure</t>
  </si>
  <si>
    <t>Q0_iii.2.1</t>
  </si>
  <si>
    <t>EnhancedLogOnControlsAlerting</t>
  </si>
  <si>
    <t>Q0_iii.2.2</t>
  </si>
  <si>
    <t>WarehouseSystemIntrusionNotification</t>
  </si>
  <si>
    <t>Q0_iii.2.3</t>
  </si>
  <si>
    <t>FinishedCarYardAccessSecurityMonitoring</t>
  </si>
  <si>
    <t>AccessControlForCriticalManufacturingSystems</t>
  </si>
  <si>
    <t>Q0_iii.3.2</t>
  </si>
  <si>
    <t>AccessControlForSensitiveData</t>
  </si>
  <si>
    <t>Q0_iii.3.3</t>
  </si>
  <si>
    <t>AccessControlForLogisticsAreas</t>
  </si>
  <si>
    <t>AccessControlForAutomatedHandlingSystems</t>
  </si>
  <si>
    <t>AccessControlForQualityControlProcesses</t>
  </si>
  <si>
    <t>AccessControlForCommunicationChannels</t>
  </si>
  <si>
    <t>Role-Based Access Control for Critical Logistics Data</t>
  </si>
  <si>
    <t>H.4.1; H.4.2; H.4.3; H.4.4; H.4.5; H.4.7</t>
  </si>
  <si>
    <t>Access Control for System Administration Functions</t>
  </si>
  <si>
    <t>Authorization for Physical Movement Operations</t>
  </si>
  <si>
    <t>Access Control for Quality Control Processes</t>
  </si>
  <si>
    <t>RealTimePrivilegeAllocationLogging</t>
  </si>
  <si>
    <t>Q0_iii.6.1</t>
  </si>
  <si>
    <t>Privileged Access Review for Critical Roles</t>
  </si>
  <si>
    <t>Q0_iii.6.2</t>
  </si>
  <si>
    <t>Authorization Audit for Access Control Manager</t>
  </si>
  <si>
    <t>Q0_iii.6.3</t>
  </si>
  <si>
    <t>Dock Manager Access Validation</t>
  </si>
  <si>
    <t>Q0_iii.6.4</t>
  </si>
  <si>
    <t>Warehouse Manager Access Justification</t>
  </si>
  <si>
    <t>Q0_iii.6.5</t>
  </si>
  <si>
    <t>Plant Manager Access Rights Review</t>
  </si>
  <si>
    <t>Q0_iii.6.6</t>
  </si>
  <si>
    <t>Shipping Manager Access Verification</t>
  </si>
  <si>
    <t>RestrictedNetworkAccessForFactorySystems</t>
  </si>
  <si>
    <t>FirewallProtectionForCriticalSubsystems</t>
  </si>
  <si>
    <t>SecureCommunicationForExternalEntities</t>
  </si>
  <si>
    <t>AccessControlForFactoryEmployees</t>
  </si>
  <si>
    <t>CryptographicProtectionForInTransitComponentData</t>
  </si>
  <si>
    <t>Q0_iii.9.2</t>
  </si>
  <si>
    <t>SecureCommunicationForAssemblyLineData</t>
  </si>
  <si>
    <t>Q0_iii.9.3</t>
  </si>
  <si>
    <t>EncryptionForOutboundLogisticsInformation</t>
  </si>
  <si>
    <t>KeyManagementForAIDCTechnologies</t>
  </si>
  <si>
    <t>SecureKeyLifecycleManagementForLogisticsProcesses</t>
  </si>
  <si>
    <t>Q0_iii.10.3</t>
  </si>
  <si>
    <t>AccessControlForCryptographicKeys</t>
  </si>
  <si>
    <t>Q0_iv.#</t>
  </si>
  <si>
    <t>SecureLogOnProcedureForFactoryEmployees</t>
  </si>
  <si>
    <t>NonDisclosureOfAuthenticationStatusForExternalParties</t>
  </si>
  <si>
    <t>EnhancedLogOnControlsMonitoring</t>
  </si>
  <si>
    <t>Q0_iv.3.1</t>
  </si>
  <si>
    <t>AccessControlForSensitiveAreas</t>
  </si>
  <si>
    <t>IsolationOfCriticalSystems</t>
  </si>
  <si>
    <t>Role-Based Access Control for Critical Data</t>
  </si>
  <si>
    <t xml:space="preserve">H.4.1; H.4.2; H.4.3; H.4.4; H.4.5; H.4.7; H.4.8 </t>
  </si>
  <si>
    <t>Secure Access to IoT Middleware Platforms</t>
  </si>
  <si>
    <t>Controlled Access to Factory Facilities</t>
  </si>
  <si>
    <t>Q0_iv.4.5</t>
  </si>
  <si>
    <t>Secure Handling of Delivery Documentation</t>
  </si>
  <si>
    <t>Maintain Comprehensive Privilege Allocation Record</t>
  </si>
  <si>
    <t>Q0_iv.6.1</t>
  </si>
  <si>
    <t>Q0_iv.6.2</t>
  </si>
  <si>
    <t>VerificationOfAccessRightsAlignment</t>
  </si>
  <si>
    <t>Q0_iv.6.3</t>
  </si>
  <si>
    <t>PrivilegedAccessRightsAudit</t>
  </si>
  <si>
    <t>NetworkAccessRestrictionForCriticalSystems</t>
  </si>
  <si>
    <t>Q0_iv.7.2</t>
  </si>
  <si>
    <t>SecureCommunicationForLogisticsEntities</t>
  </si>
  <si>
    <t>Q0_iv.9.1</t>
  </si>
  <si>
    <t>Cryptographic Protection of Supply Vehicle Data</t>
  </si>
  <si>
    <t>Secure Communication in Assembly Line Operations</t>
  </si>
  <si>
    <t>Q0_iv.9.3</t>
  </si>
  <si>
    <t>Encryption of Finished Car Information</t>
  </si>
  <si>
    <t>Q0_iv.9.4</t>
  </si>
  <si>
    <t>Secure Management of IoT Middleware Platforms</t>
  </si>
  <si>
    <t>Q0_iv.10.1</t>
  </si>
  <si>
    <t>KeyManagementForSecureAIDCSystems</t>
  </si>
  <si>
    <t>Q0_iv.10.2</t>
  </si>
  <si>
    <t>SecureKeyGenerationForAIDCTags</t>
  </si>
  <si>
    <t>Q0_iv.10.3</t>
  </si>
  <si>
    <t>KeyProtectionMechanismsForAIDCSystems</t>
  </si>
  <si>
    <t>Q0_iv.10.4</t>
  </si>
  <si>
    <t>KeyRecoveryProceduresForAIDCDisruptions</t>
  </si>
  <si>
    <t>SecureLogOnFeedback</t>
  </si>
  <si>
    <t>AccessControlForFactoryITInfrastructure</t>
  </si>
  <si>
    <t>Q1.3.2</t>
  </si>
  <si>
    <t>SecureProductionPlanDataStore</t>
  </si>
  <si>
    <t>Q1.3.3</t>
  </si>
  <si>
    <t>WarehouseInventoryAccessControl</t>
  </si>
  <si>
    <t>Q1.3.4</t>
  </si>
  <si>
    <t>ProtectFinishedCarRegistry</t>
  </si>
  <si>
    <t>Q1.3.5</t>
  </si>
  <si>
    <t>SecurePurchaseAndTransportOrderDataStores</t>
  </si>
  <si>
    <t>Q1.3.6</t>
  </si>
  <si>
    <t>AccessGateAndDockSecurityControls</t>
  </si>
  <si>
    <t>Q1.3.7</t>
  </si>
  <si>
    <t>SecureInboundAndOutboundLogisticProcesses</t>
  </si>
  <si>
    <t>SecureIoTMiddlewarePlatforms</t>
  </si>
  <si>
    <t>Q1.3.9</t>
  </si>
  <si>
    <t>RoleBasedAccessControlForEmployees</t>
  </si>
  <si>
    <t>Role-Based Access Control Implementation</t>
  </si>
  <si>
    <t>Network_Access_Control</t>
  </si>
  <si>
    <t>SecureCommunicationAndDataProtection</t>
  </si>
  <si>
    <t>Resilient Key Recovery Mechanisms</t>
  </si>
  <si>
    <t>Q1.10.3</t>
  </si>
  <si>
    <t>Secure Data Store Encryption</t>
  </si>
  <si>
    <t>Q1.10.4</t>
  </si>
  <si>
    <t>Secure Communication Channels</t>
  </si>
  <si>
    <t>SecureAuthenticationFeedback</t>
  </si>
  <si>
    <t>Q2.2.1</t>
  </si>
  <si>
    <t>EnhancedLogOnControlSurveillance</t>
  </si>
  <si>
    <t>Q2.2.2</t>
  </si>
  <si>
    <t>ImmediateAlertingForUnauthorizedAccessAttempts</t>
  </si>
  <si>
    <t>Q2.3.1</t>
  </si>
  <si>
    <t>Secure Entry and Exit Control</t>
  </si>
  <si>
    <t>Digital Access Management for Sensitive Areas</t>
  </si>
  <si>
    <t>Data Store Security</t>
  </si>
  <si>
    <t>Q2.3.5</t>
  </si>
  <si>
    <t>Employee Role-Based Access</t>
  </si>
  <si>
    <t>Q2.4.1</t>
  </si>
  <si>
    <t>Q2.4.2</t>
  </si>
  <si>
    <t>H.4.1; H.4.3; H.4.5</t>
  </si>
  <si>
    <t>Comprehensive Privilege Recording</t>
  </si>
  <si>
    <t>PrivilegedAccessReview</t>
  </si>
  <si>
    <t>Secure Network Access Enforcement</t>
  </si>
  <si>
    <t>H.7.1; H.7.2</t>
  </si>
  <si>
    <t>Network Administration Channel Isolation</t>
  </si>
  <si>
    <t>Q2.9.2</t>
  </si>
  <si>
    <t>SecureStorageMediaHandling</t>
  </si>
  <si>
    <t>Out of the scope (not required technologies in use)</t>
  </si>
  <si>
    <t>Q2.9.3</t>
  </si>
  <si>
    <t>NetworkCommunicationSecurity</t>
  </si>
  <si>
    <t>Q2.9.4</t>
  </si>
  <si>
    <t>DataTransmissionIntegrity</t>
  </si>
  <si>
    <t>Q2.9.6</t>
  </si>
  <si>
    <t>AdministrativeDeviceEncryption</t>
  </si>
  <si>
    <t>Overloaded</t>
  </si>
  <si>
    <t>Key Access Control and User Management</t>
  </si>
  <si>
    <t>Q2.10.4</t>
  </si>
  <si>
    <t>System Operation Resilience</t>
  </si>
  <si>
    <t>Not a FR</t>
  </si>
  <si>
    <t>Q2.10.5</t>
  </si>
  <si>
    <t>Security Management Compliance</t>
  </si>
  <si>
    <t>M0.#</t>
  </si>
  <si>
    <t>M0.1.1</t>
  </si>
  <si>
    <t>Non-Disclosure of Validity during Access Control Manager Log-On</t>
  </si>
  <si>
    <t>M0.1.2</t>
  </si>
  <si>
    <t>Non-Disclosure of Validity during Dock Manager Log-On</t>
  </si>
  <si>
    <t>M0.1.3</t>
  </si>
  <si>
    <t>Non-Disclosure of Validity during Warehouse Manager Log-On</t>
  </si>
  <si>
    <t>M0.1.4</t>
  </si>
  <si>
    <t>Non-Disclosure of Validity during Plant Manager Log-On</t>
  </si>
  <si>
    <t>M0.1.5</t>
  </si>
  <si>
    <t>Non-Disclosure of Validity during Worker Log-On</t>
  </si>
  <si>
    <t>M0.1.6</t>
  </si>
  <si>
    <t>Non-Disclosure of Validity during Yard Driver Log-On</t>
  </si>
  <si>
    <t>M0.1.7</t>
  </si>
  <si>
    <t>Duplicate of previous</t>
  </si>
  <si>
    <t>M0.1.8</t>
  </si>
  <si>
    <t>Non-Disclosure of Validity during System Admin Log-On</t>
  </si>
  <si>
    <t>M0.1.9</t>
  </si>
  <si>
    <t>Non-Disclosure of Validity during Operations Manager Log-On</t>
  </si>
  <si>
    <t>M0.1.10</t>
  </si>
  <si>
    <t>Non-Disclosure of Validity during Security Manager Log-On</t>
  </si>
  <si>
    <t>M0.2.1</t>
  </si>
  <si>
    <t>Intrusion Detection for Access Control</t>
  </si>
  <si>
    <t>M0.2.2</t>
  </si>
  <si>
    <t>Unauthorized Access Detection for Warehouse Inventory System</t>
  </si>
  <si>
    <t>Unauthorized Access Detection for Assembly Line Management System</t>
  </si>
  <si>
    <t>M0.2.4</t>
  </si>
  <si>
    <t>Unauthorized Access Detection for Outbound Logistics Management System</t>
  </si>
  <si>
    <t>M0.3.1</t>
  </si>
  <si>
    <t>Access Control for Inbound Logistics Datastores</t>
  </si>
  <si>
    <t>M0.3.2</t>
  </si>
  <si>
    <t>Access Control for Car Assembly Datastores</t>
  </si>
  <si>
    <t>M0.3.3</t>
  </si>
  <si>
    <t>Access Control for Outbound Logistics Datastores</t>
  </si>
  <si>
    <t>M0.4.1</t>
  </si>
  <si>
    <t>Role-based Access Control for Manufacturing Data</t>
  </si>
  <si>
    <t>M0.4.2</t>
  </si>
  <si>
    <t>Group-based Access Control for Logistics Data</t>
  </si>
  <si>
    <t>M0.4.3</t>
  </si>
  <si>
    <t>Identity-based Access Control for System Operations Data</t>
  </si>
  <si>
    <t>Record of Employee Access Privileges</t>
  </si>
  <si>
    <t>M0.5.3</t>
  </si>
  <si>
    <t>Record of IoT Middleware Access Privileges</t>
  </si>
  <si>
    <t>Regular Review of Privileged Access for Factory Employees</t>
  </si>
  <si>
    <t>Restricted and Filtered IoT Device Connection</t>
  </si>
  <si>
    <t>Restricted and Filtered Factory System Connection to the Internet</t>
  </si>
  <si>
    <t>Restricted and Filtered Employee Device Connection to the Factory Network</t>
  </si>
  <si>
    <t>M0.9.1</t>
  </si>
  <si>
    <t>Encrypted Communication for Supply Vehicle Identification</t>
  </si>
  <si>
    <t>Secure Storage of Component Identification Data</t>
  </si>
  <si>
    <t>M0.9.3</t>
  </si>
  <si>
    <t>Encrypted Communication for Warehouse Inventory Management</t>
  </si>
  <si>
    <t>M0.9.4</t>
  </si>
  <si>
    <t>Secure Storage of Car Identification Data</t>
  </si>
  <si>
    <t>M0.9.5</t>
  </si>
  <si>
    <t>Encrypted Communication for Finished Car Registry</t>
  </si>
  <si>
    <t>M0.9.6</t>
  </si>
  <si>
    <t>Secure Storage of Purchase Order and Transport Order Data</t>
  </si>
  <si>
    <t>M0.10.1</t>
  </si>
  <si>
    <t>Factory Key Management System</t>
  </si>
  <si>
    <t>M0.10.2</t>
  </si>
  <si>
    <t>Role-based Key Access</t>
  </si>
  <si>
    <t>M0.10.3</t>
  </si>
  <si>
    <t>Automatic Key Rotation and Revocation</t>
  </si>
  <si>
    <t>M0.10.4</t>
  </si>
  <si>
    <t>Key Backup and Recovery</t>
  </si>
  <si>
    <t>M0.10.6</t>
  </si>
  <si>
    <t>Key Integrity and Authenticity</t>
  </si>
  <si>
    <t>Self-evident redundant of next</t>
  </si>
  <si>
    <t>Key Lifecycle Management</t>
  </si>
  <si>
    <t>M0_ii.#</t>
  </si>
  <si>
    <t>Restrictive Help Messages during Login Procedures</t>
  </si>
  <si>
    <t>M0_ii.2.1</t>
  </si>
  <si>
    <t>Factory Access Control Breach Notification</t>
  </si>
  <si>
    <t>Inbound Logistics Breach Notification</t>
  </si>
  <si>
    <t>M0_ii.2.3</t>
  </si>
  <si>
    <t>Assembly Line Security Breach Notification</t>
  </si>
  <si>
    <t>Finished Car Yard Security Breach Notification</t>
  </si>
  <si>
    <t>Logistics Terminal Security Breach Notification</t>
  </si>
  <si>
    <t>M0_ii.3.1</t>
  </si>
  <si>
    <t>Inbound Logistics Access Control</t>
  </si>
  <si>
    <t>M0_ii.3.2</t>
  </si>
  <si>
    <t>Car Assembly Access Control</t>
  </si>
  <si>
    <t>M0_ii.3.3</t>
  </si>
  <si>
    <t>Outbound Logistics Access Control</t>
  </si>
  <si>
    <t>M0_ii.4.1</t>
  </si>
  <si>
    <t>Role-based Access Control for Factory Operations</t>
  </si>
  <si>
    <t>M0_ii.4.2</t>
  </si>
  <si>
    <t>Role-based Access to Warehouse Inventory Data</t>
  </si>
  <si>
    <t>M0_ii.4.3</t>
  </si>
  <si>
    <t>Role-based Access to Assembly Line Data</t>
  </si>
  <si>
    <t>M0_ii.4.4</t>
  </si>
  <si>
    <t>Role-based Access to Finished Car Yard Data</t>
  </si>
  <si>
    <t>M0_ii.4.5</t>
  </si>
  <si>
    <t>Role-based Access to Outbound Logistics Data</t>
  </si>
  <si>
    <t>M0_ii.5.1</t>
  </si>
  <si>
    <t>Employee Privilege Record Keeping</t>
  </si>
  <si>
    <t>M0_ii.5.2</t>
  </si>
  <si>
    <t>System Access Privilege Record Keeping</t>
  </si>
  <si>
    <t>M0_ii.6.1</t>
  </si>
  <si>
    <t>Regular Review of Privileged Access Rights for Factory Employees</t>
  </si>
  <si>
    <t>M0_ii.6.2</t>
  </si>
  <si>
    <t>Regular Review of Privileged Access Rights for Inbound Logistics Factory Employees</t>
  </si>
  <si>
    <t>M0_ii.6.3</t>
  </si>
  <si>
    <t>Regular Review of Privileged Access Rights for Car Assembly Factory Employees</t>
  </si>
  <si>
    <t>M0_ii.6.4</t>
  </si>
  <si>
    <t>Regular Review of Privileged Access Rights for Outbound Logistics Factory Employees</t>
  </si>
  <si>
    <t>Restricted and Filtered Network Access</t>
  </si>
  <si>
    <t>Controlled Access to IoT Middleware Platform</t>
  </si>
  <si>
    <t>Segmented Network for Factory Processes</t>
  </si>
  <si>
    <t>Firewall Configuration for Remote Access</t>
  </si>
  <si>
    <t>Regular Firewall Audits and Updates</t>
  </si>
  <si>
    <t>Segregation of Factory Control Network Traffic</t>
  </si>
  <si>
    <t>M0_ii.8.2</t>
  </si>
  <si>
    <t>Isolation of Access Control Network</t>
  </si>
  <si>
    <t>Segregation of Warehouse Management Network</t>
  </si>
  <si>
    <t>Isolation of Assembly Line Network</t>
  </si>
  <si>
    <t>Segregation of Outbound Logistics Network</t>
  </si>
  <si>
    <t>Cryptographic Protection for Stored Data</t>
  </si>
  <si>
    <t>M0_ii.9.2</t>
  </si>
  <si>
    <t>Secure Transmission of Data in Factory Networks</t>
  </si>
  <si>
    <t>M0_ii.9.3</t>
  </si>
  <si>
    <t>Secure Data Transmission between Factory and External Entities</t>
  </si>
  <si>
    <t>H.10.1; H.10.3</t>
  </si>
  <si>
    <t>M0_ii.10.2</t>
  </si>
  <si>
    <t>Access Control Manager Key Management</t>
  </si>
  <si>
    <t>M0_ii.10.3</t>
  </si>
  <si>
    <t>Dock Manager Key Management</t>
  </si>
  <si>
    <t>M0_ii.10.4</t>
  </si>
  <si>
    <t>Warehouse Inventory Key Management</t>
  </si>
  <si>
    <t>M0_ii.10.5</t>
  </si>
  <si>
    <t>System Admin Key Management</t>
  </si>
  <si>
    <t>M0_ii.10.6</t>
  </si>
  <si>
    <t>Operations Manager Key Management</t>
  </si>
  <si>
    <t>M0_ii.10.7</t>
  </si>
  <si>
    <t>Security Manager Key Management</t>
  </si>
  <si>
    <t>M0_iii.#</t>
  </si>
  <si>
    <t>M0_iii.1.1</t>
  </si>
  <si>
    <t>Secure Log-On Procedure for Factory Employees</t>
  </si>
  <si>
    <t>M0_iii.1.2</t>
  </si>
  <si>
    <t>Secure Log-On Procedure for Car Manufacturer Employees</t>
  </si>
  <si>
    <t>M0_iii.2.1</t>
  </si>
  <si>
    <t>Security Event for Access Control Breach</t>
  </si>
  <si>
    <t>Security Event for Automated Vehicle Breach</t>
  </si>
  <si>
    <t>Security Event for Supply Vehicle Access Breach</t>
  </si>
  <si>
    <t>Security Event for Component Movement Breach</t>
  </si>
  <si>
    <t>M0_iii.2.5</t>
  </si>
  <si>
    <t>Security Event for Finished Car Movement Breach</t>
  </si>
  <si>
    <t>M0_iii.3.1</t>
  </si>
  <si>
    <t>M0_iii.3.2</t>
  </si>
  <si>
    <t>Logical Access Control for Warehouse Inventory</t>
  </si>
  <si>
    <t>M0_iii.3.3</t>
  </si>
  <si>
    <t>Logical Access Control for Finished Car Registry</t>
  </si>
  <si>
    <t>M0_iii.3.4</t>
  </si>
  <si>
    <t>Logical Access Control for Logistics Terminal Car Registry</t>
  </si>
  <si>
    <t>M0_iii.3.5</t>
  </si>
  <si>
    <t>Logical Access Control for Production Plan Data Store</t>
  </si>
  <si>
    <t>M0_iii.3.6</t>
  </si>
  <si>
    <t>Logical Access Control for Purchase Order and Transport Order Data Stores</t>
  </si>
  <si>
    <t>Access Control for Car Manufacturing Process Data</t>
  </si>
  <si>
    <t>M0_iii.4.3</t>
  </si>
  <si>
    <t>Access Control for User Management and System Operation Data</t>
  </si>
  <si>
    <t>Access Control for IoT Middleware Platforms and Connected Devices</t>
  </si>
  <si>
    <t>M0_iii.5.1</t>
  </si>
  <si>
    <t>Employee Privilege Record Maintenance</t>
  </si>
  <si>
    <t>M0_iii.5.2</t>
  </si>
  <si>
    <t>System Privilege Record Maintenance</t>
  </si>
  <si>
    <t>M0_iii.5.3</t>
  </si>
  <si>
    <t>IoT Middleware Platform Privilege Record Maintenance</t>
  </si>
  <si>
    <t>M0_iii.5.4</t>
  </si>
  <si>
    <t>User Management Privilege Record Maintenance</t>
  </si>
  <si>
    <t>M0_iii.6.1</t>
  </si>
  <si>
    <t>Regular Review of Privileged Access for System Admin Role</t>
  </si>
  <si>
    <t>M0_iii.6.2</t>
  </si>
  <si>
    <t>Regular Review of Privileged Access for Operations Manager Role</t>
  </si>
  <si>
    <t>M0_iii.6.3</t>
  </si>
  <si>
    <t>Regular Review of Privileged Access for Security Manager Role</t>
  </si>
  <si>
    <t>Restricted and Filtered Network Connection for Factory Systems</t>
  </si>
  <si>
    <t>M0_iii.8.1</t>
  </si>
  <si>
    <t>Segregation of Access Control Network Traffic</t>
  </si>
  <si>
    <t>Segregation of Factory Operations Network Traffic</t>
  </si>
  <si>
    <t>Cybersecurity Threat Protection</t>
  </si>
  <si>
    <t>Cryptographic Protection for Stored Data in IoT Devices</t>
  </si>
  <si>
    <t>Cryptographic Protection for Data in Transit over Networks</t>
  </si>
  <si>
    <t>M0_iii.10.1</t>
  </si>
  <si>
    <t>Comprehensive Key Management System for Factory Operations</t>
  </si>
  <si>
    <t>Secure Key Management for Employee Access and System Operations</t>
  </si>
  <si>
    <t>M0_iii.10.3</t>
  </si>
  <si>
    <t>Secure Key Management for Logistic Operations</t>
  </si>
  <si>
    <t>M0_iv.#</t>
  </si>
  <si>
    <t>M0_iv.2.1</t>
  </si>
  <si>
    <t>M0_iv.2.2</t>
  </si>
  <si>
    <t>Alert for Multiple Unsuccessful Login Attempts</t>
  </si>
  <si>
    <t>Access Attempt Logging</t>
  </si>
  <si>
    <t>InboundLogisticsAccessControl</t>
  </si>
  <si>
    <t>M0_iv.3.2</t>
  </si>
  <si>
    <t>CarAssemblyAccessControl</t>
  </si>
  <si>
    <t>M0_iv.3.3</t>
  </si>
  <si>
    <t>OutboundLogisticsAccessControl</t>
  </si>
  <si>
    <t>M0_iv.4.1</t>
  </si>
  <si>
    <t>User Access Control</t>
  </si>
  <si>
    <t>M0_iv.4.2</t>
  </si>
  <si>
    <t>Role-Based Access Control for Factory Employees</t>
  </si>
  <si>
    <t>M0_iv.4.3</t>
  </si>
  <si>
    <t>Role-Based Access Control for Outbound Logistic Employees</t>
  </si>
  <si>
    <t>Access Control for System Administrators</t>
  </si>
  <si>
    <t>Access Control for Operations Managers</t>
  </si>
  <si>
    <t>Access Control for Security Managers</t>
  </si>
  <si>
    <t>M0_iv.5.1</t>
  </si>
  <si>
    <t>Record of Access Privileges</t>
  </si>
  <si>
    <t>Record of AGV Control Privileges</t>
  </si>
  <si>
    <t>M0_iv.5.3</t>
  </si>
  <si>
    <t>Record of Warehouse Inventory Access Privileges</t>
  </si>
  <si>
    <t>M0_iv.6.1</t>
  </si>
  <si>
    <t>M0_iv.6.2</t>
  </si>
  <si>
    <t>Regular Review of Access Control Manager's Privileged Access Rights</t>
  </si>
  <si>
    <t>M0_iv.6.3</t>
  </si>
  <si>
    <t>Regular Review of Dock Manager's Privileged Access Rights</t>
  </si>
  <si>
    <t>M0_iv.6.4</t>
  </si>
  <si>
    <t>Regular Review of Warehouse Manager's Privileged Access Rights</t>
  </si>
  <si>
    <t>M0_iv.6.5</t>
  </si>
  <si>
    <t>Regular Review of Plant Manager's Privileged Access Rights</t>
  </si>
  <si>
    <t>Restricted and Filtered Connection for Factory Systems</t>
  </si>
  <si>
    <t>M0_iv.7.2</t>
  </si>
  <si>
    <t>Filtered Access for Inbound and Outbound Logistics Systems</t>
  </si>
  <si>
    <t>Firewall Protection for Assembly Line Systems</t>
  </si>
  <si>
    <t>M0_iv.7.4</t>
  </si>
  <si>
    <t>Secure Communication for User Interfaces and Factory System Interfaces</t>
  </si>
  <si>
    <t>Segregated Access Channels for System Admin</t>
  </si>
  <si>
    <t>Isolated Communication for Operations Manager</t>
  </si>
  <si>
    <t>Segregated Security Management Channels</t>
  </si>
  <si>
    <t>M0_iv.9.1</t>
  </si>
  <si>
    <t>Cryptographic Protection for Inbound Logistics Data</t>
  </si>
  <si>
    <t>M0_iv.9.2</t>
  </si>
  <si>
    <t>Cryptographic Protection for Assembly Line Data</t>
  </si>
  <si>
    <t>M0_iv.9.3</t>
  </si>
  <si>
    <t>Cryptographic Protection for Outbound Logistics Data</t>
  </si>
  <si>
    <t>M0_iv.9.4</t>
  </si>
  <si>
    <t>Cryptographic Protection for IoT Middleware Platform Data</t>
  </si>
  <si>
    <t>M0_iv.10.1</t>
  </si>
  <si>
    <t>Automated Identification Key Management System</t>
  </si>
  <si>
    <t>M0_iv.10.2</t>
  </si>
  <si>
    <t>Secure Warehouse Inventory Key Management</t>
  </si>
  <si>
    <t>M0_iv.10.3</t>
  </si>
  <si>
    <t>Car Assembly Line Identifier Key Management</t>
  </si>
  <si>
    <t>M0_iv.10.4</t>
  </si>
  <si>
    <t>Finished Car Yard Identifier Key Management</t>
  </si>
  <si>
    <t>M0_iv.10.5</t>
  </si>
  <si>
    <t>Outbound Logistics Identifier Key Management</t>
  </si>
  <si>
    <t>M0_iv.10.6</t>
  </si>
  <si>
    <t>IoT Middleware Platform Key Management</t>
  </si>
  <si>
    <t>M1.2.1</t>
  </si>
  <si>
    <t>M1.2.2</t>
  </si>
  <si>
    <t>User Alert for Failed Login Attempts</t>
  </si>
  <si>
    <t>M1.2.3</t>
  </si>
  <si>
    <t>System Administrator Alert for Failed Login Attempts</t>
  </si>
  <si>
    <t>M1.2.4</t>
  </si>
  <si>
    <t>Logging of Failed Login Attempts</t>
  </si>
  <si>
    <t>M1.3.1</t>
  </si>
  <si>
    <t>Access Control for Inbound Logistics Data</t>
  </si>
  <si>
    <t>M1.3.2</t>
  </si>
  <si>
    <t>Access Control for Car Assembly Data</t>
  </si>
  <si>
    <t>M1.3.3</t>
  </si>
  <si>
    <t>Access Control for Outbound Logistics Data</t>
  </si>
  <si>
    <t>Access Control for IoT Middleware Platform</t>
  </si>
  <si>
    <t>M1.4.1</t>
  </si>
  <si>
    <t>M1.4.2</t>
  </si>
  <si>
    <t>Role-Based Access Control for Inbound Logistics Data</t>
  </si>
  <si>
    <t>M1.4.3</t>
  </si>
  <si>
    <t>Role-Based Access Control for Car Assembly Data</t>
  </si>
  <si>
    <t>M1.4.4</t>
  </si>
  <si>
    <t>Role-Based Access Control for Outbound Logistics Data</t>
  </si>
  <si>
    <t>M1.5.1</t>
  </si>
  <si>
    <t>Employee Access Privilege Record</t>
  </si>
  <si>
    <t>M1.5.2</t>
  </si>
  <si>
    <t>Role-Based System Access Privilege Record</t>
  </si>
  <si>
    <t>Regular Review of Privileged Access</t>
  </si>
  <si>
    <t>Restricted and Filtered Network Connection for IoT Middleware Platform</t>
  </si>
  <si>
    <t>M1.7.2</t>
  </si>
  <si>
    <t>M1.7.3</t>
  </si>
  <si>
    <t>Restricted and Filtered Network Connection for Employee Devices</t>
  </si>
  <si>
    <t>M1.7.4</t>
  </si>
  <si>
    <t>Restricted and Filtered Network Connection for External Systems</t>
  </si>
  <si>
    <t>Segregated Access Control Network</t>
  </si>
  <si>
    <t>M1.8.2</t>
  </si>
  <si>
    <t>Isolated Inventory Management Network</t>
  </si>
  <si>
    <t>Extreme measures</t>
  </si>
  <si>
    <t>M1.8.3</t>
  </si>
  <si>
    <t>Separated Assembly Line Network</t>
  </si>
  <si>
    <t>M1.8.4</t>
  </si>
  <si>
    <t>Segregated Outbound Logistics Network</t>
  </si>
  <si>
    <t>M1.9.1</t>
  </si>
  <si>
    <t>M1.9.2</t>
  </si>
  <si>
    <t>M1.9.3</t>
  </si>
  <si>
    <t>Comprehensive IoT Device Key Management</t>
  </si>
  <si>
    <t>M1.10.2</t>
  </si>
  <si>
    <t>Secure Access Control System Key Management</t>
  </si>
  <si>
    <t>M1.10.3</t>
  </si>
  <si>
    <t>Warehouse Inventory System Key Management</t>
  </si>
  <si>
    <t>M1.10.4</t>
  </si>
  <si>
    <t>Finished Car Registry Key Management</t>
  </si>
  <si>
    <t>M1.10.5</t>
  </si>
  <si>
    <t>Purchase Order and Transport Order Data Stores Key Management</t>
  </si>
  <si>
    <t>M2.1.1</t>
  </si>
  <si>
    <t>Secure Employee Log-on Procedure</t>
  </si>
  <si>
    <t>M2.1.2</t>
  </si>
  <si>
    <t>Secure System Admin and Operations Manager Log-on Procedure</t>
  </si>
  <si>
    <t>M2.1.3</t>
  </si>
  <si>
    <t>Secure Security Manager Log-on Procedure</t>
  </si>
  <si>
    <t>M2.2.1</t>
  </si>
  <si>
    <t>Absurd; unachievable</t>
  </si>
  <si>
    <t>M2.2.2</t>
  </si>
  <si>
    <t>Factory System Unauthorized Access Notification</t>
  </si>
  <si>
    <t>M2.2.3</t>
  </si>
  <si>
    <t>Warehouse Inventory Access Breach Notification</t>
  </si>
  <si>
    <t>M2.2.4</t>
  </si>
  <si>
    <t>Finished Car Registry Access Breach Notification</t>
  </si>
  <si>
    <t>M2.2.5</t>
  </si>
  <si>
    <t>Transport Order Data Store Access Breach Notification</t>
  </si>
  <si>
    <t>M2.3.1</t>
  </si>
  <si>
    <t>M2.3.2</t>
  </si>
  <si>
    <t>M2.3.3</t>
  </si>
  <si>
    <t>User-Based Access Control for Factory Data</t>
  </si>
  <si>
    <t>M2.4.3</t>
  </si>
  <si>
    <t>Access Control for Logistic Subprocesses</t>
  </si>
  <si>
    <t>M2.5.1</t>
  </si>
  <si>
    <t>Access Privilege Record Keeping</t>
  </si>
  <si>
    <t>M2.5.2</t>
  </si>
  <si>
    <t>System Administration Privilege Record Keeping</t>
  </si>
  <si>
    <t>M2.5.3</t>
  </si>
  <si>
    <t>Operations Management Privilege Record Keeping</t>
  </si>
  <si>
    <t>M2.5.4</t>
  </si>
  <si>
    <t>Security Management Privilege Record Keeping</t>
  </si>
  <si>
    <t>M2.6.1</t>
  </si>
  <si>
    <t>M2.6.2</t>
  </si>
  <si>
    <t>Regular Review of Privileged Access Rights for System Users</t>
  </si>
  <si>
    <t>M2.7.1</t>
  </si>
  <si>
    <t>Restricted_and_Filtered_Connection_of_Factory_Systems_to_the_Network</t>
  </si>
  <si>
    <t>Restricted_and_Filtered_Connection_of_IoT_Middleware_Platform_to_the_Network</t>
  </si>
  <si>
    <t>M2.7.3</t>
  </si>
  <si>
    <t>Restricted_and_Filtered_Connection_of_Factorys_Logistics_Terminal_to_the_Network</t>
  </si>
  <si>
    <t>M2.7.4</t>
  </si>
  <si>
    <t>Restricted_and_Filtered_Connection_of_Factorys_Employee_Systems_to_the_Network</t>
  </si>
  <si>
    <t>Factory Control Network Segregation</t>
  </si>
  <si>
    <t>M2.8.2</t>
  </si>
  <si>
    <t>Supply Chain Management Network Isolation</t>
  </si>
  <si>
    <t>M2.8.3</t>
  </si>
  <si>
    <t>Warehouse Management Network Separation</t>
  </si>
  <si>
    <t>M2.8.4</t>
  </si>
  <si>
    <t>Assembly Line Management Network Segregation</t>
  </si>
  <si>
    <t>M2.8.5</t>
  </si>
  <si>
    <t>Quality Control Network Isolation</t>
  </si>
  <si>
    <t>Cryptographic Protection for In-Transit Data</t>
  </si>
  <si>
    <t>Cryptographic Protection for Stored Data on Endpoint Devices</t>
  </si>
  <si>
    <t>Cryptographic Protection for Data Stored in the System's Datastores</t>
  </si>
  <si>
    <t>Secure Key Management for AIDC Technologies</t>
  </si>
  <si>
    <t>M2.10.2</t>
  </si>
  <si>
    <t>Secure Key Management for Warehouse Inventory System</t>
  </si>
  <si>
    <t>M2.10.3</t>
  </si>
  <si>
    <t>Secure Key Management for Finished Car Registry</t>
  </si>
  <si>
    <t>M2.10.4</t>
  </si>
  <si>
    <t>Secure Key Management for Transport Order Data Store</t>
  </si>
  <si>
    <t>M2.10.5</t>
  </si>
  <si>
    <t>Secure Key Management for IoT Middleware Platforms</t>
  </si>
  <si>
    <t>Secure Key Management for User Management System</t>
  </si>
  <si>
    <t>G0.#</t>
  </si>
  <si>
    <t>Secure Authentication Help Messaging</t>
  </si>
  <si>
    <t>Requirement is valid; narrative is hallucinating</t>
  </si>
  <si>
    <t>G0.2.1</t>
  </si>
  <si>
    <t>Authentication Alert System Performance</t>
  </si>
  <si>
    <t>Authentication Alert System Reliability</t>
  </si>
  <si>
    <t>Not a cybersecurity requirement</t>
  </si>
  <si>
    <t>G0.2.3</t>
  </si>
  <si>
    <t>Authentication Alert System Usability</t>
  </si>
  <si>
    <t>Access Control Non-Functional Requirement</t>
  </si>
  <si>
    <t>H.3.1; H.3.3</t>
  </si>
  <si>
    <t>Role-Based Access Control Performance</t>
  </si>
  <si>
    <t>Role-Based Access Control Scalability</t>
  </si>
  <si>
    <t>Privilege Allocation Record Management</t>
  </si>
  <si>
    <t>Operations Access Control</t>
  </si>
  <si>
    <t>Periodic Privileged Access Review Compliance</t>
  </si>
  <si>
    <t>Comprehensive Audit Trail Maintenance</t>
  </si>
  <si>
    <t>Network Access Control for IoT and Automated Systems</t>
  </si>
  <si>
    <t>Secure Network Gateways for External and Internal Connections</t>
  </si>
  <si>
    <t>Segregation of Administrative Network Communications</t>
  </si>
  <si>
    <t>Data in Transit Encryption</t>
  </si>
  <si>
    <t>Endpoint Data Storage Security</t>
  </si>
  <si>
    <t>Storage Media Encryption Compliance</t>
  </si>
  <si>
    <t>G0.10.1</t>
  </si>
  <si>
    <t>IoT Middleware Key Management Protocol</t>
  </si>
  <si>
    <t>Data Store Encryption and Key Recovery Strategy</t>
  </si>
  <si>
    <t>Role-Specific Key Management Responsibilities</t>
  </si>
  <si>
    <t>G0_ii.#</t>
  </si>
  <si>
    <t>G0_ii.1.1</t>
  </si>
  <si>
    <t>Secure Help Messages for Supply Vehicle Authentication</t>
  </si>
  <si>
    <t>G0_ii.1.2</t>
  </si>
  <si>
    <t>Secure Authentication Feedback for System Administration</t>
  </si>
  <si>
    <t>G0_ii.1.3</t>
  </si>
  <si>
    <t>Non-revealing Error Messages in Warehouse Management Systems</t>
  </si>
  <si>
    <t>G0_ii.2.1</t>
  </si>
  <si>
    <t>Authentication Breach Alert Protocol</t>
  </si>
  <si>
    <t>G0_ii.2.2</t>
  </si>
  <si>
    <t>User Lockout Policy</t>
  </si>
  <si>
    <t>G0_ii.2.3</t>
  </si>
  <si>
    <t>Security Incident Review Process</t>
  </si>
  <si>
    <t>G0_ii.3.1</t>
  </si>
  <si>
    <t>Secure Access Control for Warehouse Management System</t>
  </si>
  <si>
    <t>G0_ii.3.2</t>
  </si>
  <si>
    <t>Secure Isolation of Factory System Interface</t>
  </si>
  <si>
    <t>G0_ii.3.3</t>
  </si>
  <si>
    <t>Secure Access to Purchase Order System</t>
  </si>
  <si>
    <t>G0_ii.3.4</t>
  </si>
  <si>
    <t>Restricted Access to Requisitions Data Store</t>
  </si>
  <si>
    <t>G0_ii.3.5</t>
  </si>
  <si>
    <t>AGV Systems Access Security</t>
  </si>
  <si>
    <t>G0_ii.3.6</t>
  </si>
  <si>
    <t>Secure Isolation of Access and Dock Control Systems</t>
  </si>
  <si>
    <t>G0_ii.4.1</t>
  </si>
  <si>
    <t>Controlled Access Based on Role</t>
  </si>
  <si>
    <t>G0_ii.4.2</t>
  </si>
  <si>
    <t>Segmented Data Access by Group Membership</t>
  </si>
  <si>
    <t>G0_ii.4.3</t>
  </si>
  <si>
    <t>Comprehensive Access for System Administration</t>
  </si>
  <si>
    <t>G0_ii.4.4</t>
  </si>
  <si>
    <t>Role-Specific Security Oversight</t>
  </si>
  <si>
    <t>Access Privilege Auditing for Car Manufacturing Operations</t>
  </si>
  <si>
    <t>G0_ii.6.1</t>
  </si>
  <si>
    <t>Regular Privileged Access Review for System Administrators</t>
  </si>
  <si>
    <t>G0_ii.6.2</t>
  </si>
  <si>
    <t>Regular Privileged Access Review for Operations Managers</t>
  </si>
  <si>
    <t>G0_ii.6.3</t>
  </si>
  <si>
    <t>Regular Privileged Access Review for Security Managers</t>
  </si>
  <si>
    <t>G0_ii.7.1</t>
  </si>
  <si>
    <t>Restricted Network Connection for IoT Devices</t>
  </si>
  <si>
    <t>G0_ii.7.2</t>
  </si>
  <si>
    <t>Secure Middleware Platform Integration</t>
  </si>
  <si>
    <t>G0_ii.7.3</t>
  </si>
  <si>
    <t>AGV System Network Security</t>
  </si>
  <si>
    <t>G0_ii.7.4</t>
  </si>
  <si>
    <t>Assembly Line Systems Protection</t>
  </si>
  <si>
    <t>Finished Car Yard Connectivity Security</t>
  </si>
  <si>
    <r>
      <rPr>
        <sz val="11"/>
        <color rgb="FF000000"/>
        <rFont val="Aptos Narrow"/>
        <family val="2"/>
        <charset val="1"/>
      </rPr>
      <t xml:space="preserve">H.7.1; </t>
    </r>
    <r>
      <rPr>
        <sz val="11"/>
        <color rgb="FF000000"/>
        <rFont val="Aptos Narrow"/>
        <family val="2"/>
      </rPr>
      <t>H.7.3</t>
    </r>
  </si>
  <si>
    <t>Dedicated Network Segmentation for System Administration</t>
  </si>
  <si>
    <t>Cryptographic Protection of Endpoint Device Data</t>
  </si>
  <si>
    <t>Secure Storage Media Encryption</t>
  </si>
  <si>
    <t>Network Data Transmission Security</t>
  </si>
  <si>
    <t>Secure Key Management for IoT Device Authentication</t>
  </si>
  <si>
    <t>Data Encryption and Key Recovery for Critical Data Stores</t>
  </si>
  <si>
    <t>G0_iii.#</t>
  </si>
  <si>
    <t>G0_iii.1.1</t>
  </si>
  <si>
    <t>Secure Authentication Feedback for System Admins</t>
  </si>
  <si>
    <t>G0_iii.1.2</t>
  </si>
  <si>
    <t>Secure Authentication Feedback for Security Managers</t>
  </si>
  <si>
    <t>G0_iii.1.3</t>
  </si>
  <si>
    <t>Generalized Secure Authentication Feedback</t>
  </si>
  <si>
    <t>G0_iii.2.1</t>
  </si>
  <si>
    <t>Unauthorized Access Alert Mechanism</t>
  </si>
  <si>
    <t>G0_iii.2.2</t>
  </si>
  <si>
    <t>Automated System Authentication Monitoring</t>
  </si>
  <si>
    <t>System Administrator Security Breach Response Enhancement</t>
  </si>
  <si>
    <t>G0_iii.3.1</t>
  </si>
  <si>
    <t>Data Store Isolation</t>
  </si>
  <si>
    <t>AIDC System Security</t>
  </si>
  <si>
    <t>IoT Middleware Isolation</t>
  </si>
  <si>
    <t>G0_iii.3.4</t>
  </si>
  <si>
    <t>Finished Car Registry Isolation</t>
  </si>
  <si>
    <t>G0_iii.3.5</t>
  </si>
  <si>
    <t>Administration System Security</t>
  </si>
  <si>
    <t>Datastore Access Control Management</t>
  </si>
  <si>
    <t>G0_iii.4.2</t>
  </si>
  <si>
    <t>System Admin Access</t>
  </si>
  <si>
    <t>G0_iii.4.3</t>
  </si>
  <si>
    <t>Operations Manager Access</t>
  </si>
  <si>
    <t>G0_iii.4.4</t>
  </si>
  <si>
    <t>Security Manager Access</t>
  </si>
  <si>
    <t>G0_iii.4.5</t>
  </si>
  <si>
    <t>Warehouse Manager Access</t>
  </si>
  <si>
    <t>G0_iii.4.6</t>
  </si>
  <si>
    <t>Plant Manager Access</t>
  </si>
  <si>
    <t>G0_iii.4.7</t>
  </si>
  <si>
    <t>Access Control Manager Access</t>
  </si>
  <si>
    <t>G0_iii.4.8</t>
  </si>
  <si>
    <t>Dock Manager Access</t>
  </si>
  <si>
    <t>G0_iii.4.9</t>
  </si>
  <si>
    <t>Shipping Manager Access</t>
  </si>
  <si>
    <t>G0_iii.5.1</t>
  </si>
  <si>
    <t>Privilege Record for System and Role Access</t>
  </si>
  <si>
    <t>G0_iii.5.2</t>
  </si>
  <si>
    <t>System Access Privilege Auditing</t>
  </si>
  <si>
    <t>Integrated Privilege Management and Reporting</t>
  </si>
  <si>
    <t>G0_iii.5.4</t>
  </si>
  <si>
    <t>Secure Storage and Protection of Privilege Records</t>
  </si>
  <si>
    <t>Regular Review of Privileged Access in AI4I4 Systems</t>
  </si>
  <si>
    <t>Competency Validation of Privileged Users in AI4I4 Operations</t>
  </si>
  <si>
    <t>Secure Network Connection Management</t>
  </si>
  <si>
    <t>External Network Access Control</t>
  </si>
  <si>
    <t>G0_iii.8.1</t>
  </si>
  <si>
    <t>Segregation of System Administration Network Channels</t>
  </si>
  <si>
    <t>G0_iii.8.2</t>
  </si>
  <si>
    <t>Secure Segregation Enforcement by Security Managers</t>
  </si>
  <si>
    <t>Secure Data Storage on Handheld Devices</t>
  </si>
  <si>
    <t>G0_iii.9.2</t>
  </si>
  <si>
    <t>Encrypted Data Transmission Over IoT Networks</t>
  </si>
  <si>
    <t>Administrative Mobile Device Encryption</t>
  </si>
  <si>
    <t>G0_iii.9.4</t>
  </si>
  <si>
    <t>Integrity and Confidentiality of Network Communication</t>
  </si>
  <si>
    <t>Secure Transmission of AIDC Data</t>
  </si>
  <si>
    <t>G0_iii.10.2</t>
  </si>
  <si>
    <t>Encryption of Sensitive Data Stores</t>
  </si>
  <si>
    <t>G0_iii.10.3</t>
  </si>
  <si>
    <t>Middleware Cryptographic Key Management</t>
  </si>
  <si>
    <t>Role-Specific Key Access and Management</t>
  </si>
  <si>
    <t>G0_iv.#</t>
  </si>
  <si>
    <t>Secure Log-on Feedback Mechanism</t>
  </si>
  <si>
    <t>G0_iv.2.1</t>
  </si>
  <si>
    <t>Login Attempt Security Monitoring</t>
  </si>
  <si>
    <t>G0_iv.2.2</t>
  </si>
  <si>
    <t>Security Breach Notification Protocol</t>
  </si>
  <si>
    <t>Secure Isolation of Requisitions Data Store</t>
  </si>
  <si>
    <t>G0_iv.3.2</t>
  </si>
  <si>
    <t>Access Control Enforcement on Supply Vehicles Registry</t>
  </si>
  <si>
    <t>Warehouse Inventory Data Integrity and Confidentiality</t>
  </si>
  <si>
    <t>G0_iv.3.4</t>
  </si>
  <si>
    <t>Secure Isolation of Production Plan Data</t>
  </si>
  <si>
    <t>G0_iv.3.5</t>
  </si>
  <si>
    <t>Finished Car Data Security</t>
  </si>
  <si>
    <t>G0_iv.3.6</t>
  </si>
  <si>
    <t>Robust Isolation of System Infrastructure</t>
  </si>
  <si>
    <t>Role-Based Data Access Control for System Security and Integrity</t>
  </si>
  <si>
    <t>Secure Data Interface Access for Operational Efficiency</t>
  </si>
  <si>
    <t>Authentication and Authorization Protocols for Data Protection</t>
  </si>
  <si>
    <t>H.5.1; H5.2</t>
  </si>
  <si>
    <t>Privilege Audit Compliance</t>
  </si>
  <si>
    <t>Privilege Access Transparency</t>
  </si>
  <si>
    <t>Periodic Review of Privileged Factory Roles</t>
  </si>
  <si>
    <t>G0_iv.7.1</t>
  </si>
  <si>
    <t>Secure Network Access for IoT Devices and Systems</t>
  </si>
  <si>
    <t>Filtering and Monitoring of System Connections</t>
  </si>
  <si>
    <t>H.7.1; H.7.2; H.7.3</t>
  </si>
  <si>
    <t>G0_iv.7.3</t>
  </si>
  <si>
    <t>Secured Middleware Network Channels</t>
  </si>
  <si>
    <t>G0_iv.7.4</t>
  </si>
  <si>
    <t>Validated Access for Manufacturing Systems</t>
  </si>
  <si>
    <t>Network Segregation for Administration Channels</t>
  </si>
  <si>
    <t>G0_iv.9.1</t>
  </si>
  <si>
    <t>Cryptographic Protection of Data Storage on Mobile Devices</t>
  </si>
  <si>
    <t>G0_iv.9.2</t>
  </si>
  <si>
    <t>Cryptographic Security for Data Transmission</t>
  </si>
  <si>
    <t>Endpoint Device Data Encryption</t>
  </si>
  <si>
    <t>G0_iv.9.4</t>
  </si>
  <si>
    <t>G0_iv.9.5</t>
  </si>
  <si>
    <t>Comprehensive Network Encryption</t>
  </si>
  <si>
    <t>IoT Device Key Security Management</t>
  </si>
  <si>
    <t>G0_iv.10.2</t>
  </si>
  <si>
    <t>Middleware Encryption Key Lifecycle Management</t>
  </si>
  <si>
    <t>G0_iv.10.3</t>
  </si>
  <si>
    <t>Operational Technology Encryption Oversight</t>
  </si>
  <si>
    <t>Robust Key Recovery and Redundancy</t>
  </si>
  <si>
    <t>Secure Authentication Feedback</t>
  </si>
  <si>
    <t>G1.2.1</t>
  </si>
  <si>
    <t>Authentication Breach Notification</t>
  </si>
  <si>
    <t>G1.2.2</t>
  </si>
  <si>
    <t>Enhanced Log-On Attempt Control</t>
  </si>
  <si>
    <t>Secure Isolation of Data Stores</t>
  </si>
  <si>
    <t>Access Control for Factory Network</t>
  </si>
  <si>
    <t>Middleware Access Security</t>
  </si>
  <si>
    <t>G1.3.4</t>
  </si>
  <si>
    <t>Role-Based Access Management</t>
  </si>
  <si>
    <t>G1.3.5</t>
  </si>
  <si>
    <t>Secure AIDC System Interfaces</t>
  </si>
  <si>
    <t>Controlled Data Access Based on Roles and Responsibilities</t>
  </si>
  <si>
    <t>H.4.5; H.4.7</t>
  </si>
  <si>
    <t>G1.4.2</t>
  </si>
  <si>
    <t>Data Access Control by Group Membership</t>
  </si>
  <si>
    <t>Partial hall</t>
  </si>
  <si>
    <t>G1.4.3</t>
  </si>
  <si>
    <t>Secure Authentication for System Interaction</t>
  </si>
  <si>
    <t>Factory Privilege Allocation Record Management</t>
  </si>
  <si>
    <t>G1.5.2</t>
  </si>
  <si>
    <t>Implementation of Role-Based Access Control (RBAC)</t>
  </si>
  <si>
    <t>G1.6.1</t>
  </si>
  <si>
    <t>G1.6.2</t>
  </si>
  <si>
    <t>Security Role Validation</t>
  </si>
  <si>
    <t>G1.6.3</t>
  </si>
  <si>
    <t>Operations Manager Access Audit</t>
  </si>
  <si>
    <t>G1.7.1</t>
  </si>
  <si>
    <t>Network Connection Security for Automated Systems</t>
  </si>
  <si>
    <t>G1.7.2</t>
  </si>
  <si>
    <t>Secure Middleware Communication</t>
  </si>
  <si>
    <t>G1.7.3</t>
  </si>
  <si>
    <t>AGV and Robotic System Network Integrity</t>
  </si>
  <si>
    <t>Segregated Network Channels for Administrative and Operational Traffic</t>
  </si>
  <si>
    <t>G1.9.1</t>
  </si>
  <si>
    <t>Cryptographic Security for Mobile Endpoint Devices</t>
  </si>
  <si>
    <t>G1.9.2</t>
  </si>
  <si>
    <t>Cryptographic Protection for Automated Guided Vehicles and Robots</t>
  </si>
  <si>
    <t>G1.9.3</t>
  </si>
  <si>
    <t>Encryption of Centralized Storage Systems</t>
  </si>
  <si>
    <t>Network Traffic Encryption</t>
  </si>
  <si>
    <t>G1.10.1</t>
  </si>
  <si>
    <t>Not the keys for that; rambles</t>
  </si>
  <si>
    <t>G1.10.2</t>
  </si>
  <si>
    <t>IoT Middleware Secure Communication</t>
  </si>
  <si>
    <t>G1.10.3</t>
  </si>
  <si>
    <t>AGVs Data Encryption and Key Management</t>
  </si>
  <si>
    <t>Administrative Oversight of Key Management System</t>
  </si>
  <si>
    <t>Secure Log-On Feedback Mechanism</t>
  </si>
  <si>
    <t>G2.2.1</t>
  </si>
  <si>
    <t>Secure Authentication Alert System</t>
  </si>
  <si>
    <t>G2.3.1</t>
  </si>
  <si>
    <t>Restricted Access to Warehouse Management System</t>
  </si>
  <si>
    <t>G2.3.2</t>
  </si>
  <si>
    <t>Secured Access to Production Plan Data Store</t>
  </si>
  <si>
    <t>G2.3.3</t>
  </si>
  <si>
    <t>G2.3.4</t>
  </si>
  <si>
    <t>Restricted Access to Finished Car Registry</t>
  </si>
  <si>
    <t>G2.3.5</t>
  </si>
  <si>
    <t>Isolation and Protection of AIDC Systems</t>
  </si>
  <si>
    <t>Secured Interaction with IoT Middleware Platforms</t>
  </si>
  <si>
    <t>G2.4.1</t>
  </si>
  <si>
    <t>Controlled Data Access by Role</t>
  </si>
  <si>
    <t>G2.4.2</t>
  </si>
  <si>
    <t>Group-Based Data Segregation</t>
  </si>
  <si>
    <t>G2.4.3</t>
  </si>
  <si>
    <t>Role-Specific Operational Logs and Audits</t>
  </si>
  <si>
    <t>Privilege Logging and Management</t>
  </si>
  <si>
    <t>G2.5.2</t>
  </si>
  <si>
    <t>Real-Time Privilege Updates</t>
  </si>
  <si>
    <t>G2.5.3</t>
  </si>
  <si>
    <t>Regular Privilege Audits</t>
  </si>
  <si>
    <t>G2.7.1</t>
  </si>
  <si>
    <t>IoT Device Network Security</t>
  </si>
  <si>
    <t>G2.7.2</t>
  </si>
  <si>
    <t>Middleware Network Filtering</t>
  </si>
  <si>
    <t>G2.7.3</t>
  </si>
  <si>
    <t>AGV Network Integration Security</t>
  </si>
  <si>
    <t>G2.7.4</t>
  </si>
  <si>
    <t>Secure Sensor Network Transmissions</t>
  </si>
  <si>
    <t>Segregation of System Administration and Operational Network Traffic</t>
  </si>
  <si>
    <t>G2.9.1</t>
  </si>
  <si>
    <t>Cryptographic Protection of Data Stores</t>
  </si>
  <si>
    <t>Secure Data Transmission in Factory Networks</t>
  </si>
  <si>
    <t>G2.9.3</t>
  </si>
  <si>
    <t>Endpoint Device Security for Mobile Users</t>
  </si>
  <si>
    <t>G2.9.4</t>
  </si>
  <si>
    <t>Authentication and Access Control for Mobile Devices</t>
  </si>
  <si>
    <t>Secure Cryptographic Key Lifecycle Management for IoT Middleware</t>
  </si>
  <si>
    <t>Mainly hall; but includes sec mgr. responsibility</t>
  </si>
  <si>
    <t>G2.10.2</t>
  </si>
  <si>
    <t>Datastore Encryption Key Management and Recovery</t>
  </si>
  <si>
    <t>Encryption Key Management for AIDC Technologies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</si>
</sst>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%"/>
    <numFmt numFmtId="165" formatCode="0.0000"/>
    <numFmt numFmtId="166" formatCode="0.000"/>
  </numFmts>
  <fonts count="14">
    <font>
      <sz val="11"/>
      <color rgb="FF000000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i/>
      <sz val="11"/>
      <color rgb="FF000000"/>
      <name val="Aptos Narrow"/>
      <family val="2"/>
      <charset val="1"/>
    </font>
    <font>
      <b/>
      <i/>
      <u/>
      <sz val="11"/>
      <color rgb="FF000000"/>
      <name val="Aptos Narrow"/>
      <family val="2"/>
      <charset val="1"/>
    </font>
    <font>
      <b/>
      <i/>
      <sz val="11"/>
      <color rgb="FF000000"/>
      <name val="Aptos Narrow"/>
      <family val="2"/>
      <charset val="1"/>
    </font>
    <font>
      <u/>
      <sz val="11"/>
      <color rgb="FF000000"/>
      <name val="Aptos Narrow"/>
      <family val="2"/>
      <charset val="1"/>
    </font>
    <font>
      <sz val="11"/>
      <color rgb="FF000000"/>
      <name val="Aptos Narrow"/>
      <family val="2"/>
    </font>
    <font>
      <sz val="11"/>
      <color rgb="FF9C57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1"/>
      <color rgb="FF000000"/>
      <name val="Aptos Narrow"/>
      <charset val="1"/>
    </font>
    <font>
      <i/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96DCF8"/>
        <bgColor rgb="FFA6CAEC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  <fill>
      <patternFill patternType="solid">
        <fgColor rgb="FFC6EFCE"/>
        <bgColor rgb="FFDCEA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0" fillId="0" borderId="0" applyBorder="0" applyProtection="0"/>
  </cellStyleXfs>
  <cellXfs count="57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1" fillId="0" borderId="0" xfId="0" applyFont="1"/>
    <xf numFmtId="49" fontId="0" fillId="0" borderId="0" xfId="0" applyNumberFormat="1"/>
    <xf numFmtId="49" fontId="0" fillId="2" borderId="0" xfId="0" applyNumberFormat="1" applyFill="1"/>
    <xf numFmtId="0" fontId="2" fillId="0" borderId="0" xfId="0" applyFont="1" applyAlignment="1">
      <alignment horizontal="right"/>
    </xf>
    <xf numFmtId="0" fontId="2" fillId="0" borderId="0" xfId="0" applyFont="1"/>
    <xf numFmtId="0" fontId="3" fillId="0" borderId="0" xfId="0" applyFont="1" applyAlignment="1">
      <alignment horizontal="left"/>
    </xf>
    <xf numFmtId="164" fontId="0" fillId="0" borderId="0" xfId="0" applyNumberFormat="1"/>
    <xf numFmtId="164" fontId="1" fillId="0" borderId="0" xfId="0" applyNumberFormat="1" applyFont="1" applyAlignment="1">
      <alignment horizontal="right"/>
    </xf>
    <xf numFmtId="9" fontId="0" fillId="0" borderId="0" xfId="0" applyNumberFormat="1"/>
    <xf numFmtId="0" fontId="1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9" fontId="10" fillId="0" borderId="0" xfId="1" applyBorder="1" applyProtection="1"/>
    <xf numFmtId="2" fontId="0" fillId="0" borderId="0" xfId="0" applyNumberFormat="1"/>
    <xf numFmtId="0" fontId="4" fillId="0" borderId="0" xfId="0" applyFont="1" applyAlignment="1">
      <alignment horizontal="right"/>
    </xf>
    <xf numFmtId="9" fontId="0" fillId="0" borderId="0" xfId="0" applyNumberFormat="1" applyAlignment="1">
      <alignment horizontal="right"/>
    </xf>
    <xf numFmtId="165" fontId="0" fillId="0" borderId="0" xfId="0" applyNumberFormat="1"/>
    <xf numFmtId="165" fontId="0" fillId="0" borderId="0" xfId="0" applyNumberFormat="1" applyAlignment="1">
      <alignment horizontal="right"/>
    </xf>
    <xf numFmtId="166" fontId="0" fillId="0" borderId="0" xfId="0" applyNumberFormat="1"/>
    <xf numFmtId="166" fontId="1" fillId="0" borderId="0" xfId="0" applyNumberFormat="1" applyFont="1"/>
    <xf numFmtId="0" fontId="5" fillId="0" borderId="0" xfId="0" applyFont="1"/>
    <xf numFmtId="0" fontId="0" fillId="0" borderId="0" xfId="0" applyAlignment="1">
      <alignment horizontal="center"/>
    </xf>
    <xf numFmtId="0" fontId="6" fillId="0" borderId="0" xfId="0" applyFont="1"/>
    <xf numFmtId="9" fontId="1" fillId="0" borderId="0" xfId="0" applyNumberFormat="1" applyFont="1"/>
    <xf numFmtId="0" fontId="7" fillId="3" borderId="0" xfId="0" applyFont="1" applyFill="1"/>
    <xf numFmtId="0" fontId="8" fillId="4" borderId="0" xfId="0" applyFont="1" applyFill="1"/>
    <xf numFmtId="0" fontId="9" fillId="5" borderId="0" xfId="0" applyFont="1" applyFill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2" fillId="0" borderId="0" xfId="0" applyFont="1" applyAlignment="1">
      <alignment horizontal="right"/>
    </xf>
    <xf numFmtId="166" fontId="1" fillId="6" borderId="0" xfId="0" applyNumberFormat="1" applyFont="1" applyFill="1"/>
    <xf numFmtId="0" fontId="4" fillId="0" borderId="0" xfId="0" applyFont="1"/>
    <xf numFmtId="10" fontId="2" fillId="0" borderId="0" xfId="0" applyNumberFormat="1" applyFont="1"/>
    <xf numFmtId="10" fontId="4" fillId="0" borderId="0" xfId="0" applyNumberFormat="1" applyFont="1"/>
    <xf numFmtId="0" fontId="13" fillId="0" borderId="0" xfId="0" applyFont="1" applyAlignment="1">
      <alignment horizontal="right"/>
    </xf>
    <xf numFmtId="0" fontId="0" fillId="0" borderId="0" xfId="0" applyAlignment="1">
      <alignment wrapText="1"/>
    </xf>
    <xf numFmtId="2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/>
    <xf numFmtId="0" fontId="0" fillId="0" borderId="0" xfId="0" applyAlignment="1"/>
    <xf numFmtId="166" fontId="0" fillId="0" borderId="0" xfId="0" applyNumberFormat="1" applyAlignment="1"/>
    <xf numFmtId="166" fontId="1" fillId="0" borderId="0" xfId="0" applyNumberFormat="1" applyFont="1" applyAlignment="1"/>
  </cellXfs>
  <cellStyles count="2">
    <cellStyle name="Normal" xfId="0" builtinId="0"/>
    <cellStyle name="Porcentaje" xfId="1" builtinId="5"/>
  </cellStyles>
  <dxfs count="273"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9C5700"/>
        <name val="Aptos Narrow"/>
        <family val="2"/>
        <charset val="1"/>
      </font>
      <fill>
        <patternFill>
          <bgColor rgb="FFFFEB9C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  <dxf>
      <font>
        <sz val="11"/>
        <color rgb="FF9C0006"/>
        <name val="Aptos Narrow"/>
        <family val="2"/>
        <charset val="1"/>
      </font>
      <fill>
        <patternFill>
          <bgColor rgb="FFFFC7CE"/>
        </patternFill>
      </fill>
    </dxf>
    <dxf>
      <font>
        <sz val="11"/>
        <color rgb="FF006100"/>
        <name val="Aptos Narrow"/>
        <family val="2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AF7"/>
      <rgbColor rgb="FF660066"/>
      <rgbColor rgb="FFFF8080"/>
      <rgbColor rgb="FF0066CC"/>
      <rgbColor rgb="FF96DC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A6CAE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47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zoomScale="85" zoomScaleNormal="85" workbookViewId="0"/>
  </sheetViews>
  <sheetFormatPr defaultColWidth="9.140625" defaultRowHeight="15"/>
  <cols>
    <col min="1" max="1" width="30.42578125" style="5" customWidth="1"/>
    <col min="2" max="2" width="22.140625" style="3" customWidth="1"/>
    <col min="3" max="3" width="19.5703125" style="3" customWidth="1"/>
    <col min="4" max="4" width="22" style="3" customWidth="1"/>
    <col min="5" max="5" width="85.5703125" style="3" customWidth="1"/>
    <col min="6" max="16384" width="9.140625" style="3"/>
  </cols>
  <sheetData>
    <row r="1" spans="1:5" s="5" customForma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spans="1:5">
      <c r="A2" s="5" t="s">
        <v>5</v>
      </c>
      <c r="B2" s="3" t="s">
        <v>6</v>
      </c>
      <c r="C2" s="3" t="s">
        <v>7</v>
      </c>
      <c r="D2" s="3" t="s">
        <v>7</v>
      </c>
      <c r="E2" s="3" t="s">
        <v>7</v>
      </c>
    </row>
    <row r="3" spans="1:5" ht="57.75">
      <c r="A3" s="5" t="s">
        <v>8</v>
      </c>
      <c r="B3" s="44" t="s">
        <v>9</v>
      </c>
      <c r="C3" s="3" t="s">
        <v>10</v>
      </c>
      <c r="D3" s="3" t="s">
        <v>11</v>
      </c>
      <c r="E3" s="3" t="s">
        <v>12</v>
      </c>
    </row>
    <row r="4" spans="1:5" ht="57.75">
      <c r="A4" s="5" t="s">
        <v>13</v>
      </c>
      <c r="B4" s="44"/>
      <c r="C4" s="3" t="s">
        <v>10</v>
      </c>
      <c r="D4" s="3" t="s">
        <v>14</v>
      </c>
      <c r="E4" s="3" t="s">
        <v>15</v>
      </c>
    </row>
    <row r="5" spans="1:5" ht="57.75">
      <c r="A5" s="5" t="s">
        <v>16</v>
      </c>
      <c r="B5" s="44"/>
      <c r="C5" s="3" t="s">
        <v>10</v>
      </c>
      <c r="D5" s="3" t="s">
        <v>17</v>
      </c>
      <c r="E5" s="3" t="s">
        <v>18</v>
      </c>
    </row>
    <row r="6" spans="1:5" ht="72.75">
      <c r="A6" s="5" t="s">
        <v>19</v>
      </c>
      <c r="B6" s="44"/>
      <c r="C6" s="3" t="s">
        <v>20</v>
      </c>
      <c r="D6" s="3" t="s">
        <v>11</v>
      </c>
      <c r="E6" s="3" t="s">
        <v>21</v>
      </c>
    </row>
    <row r="7" spans="1:5" ht="29.25">
      <c r="A7" s="5" t="s">
        <v>22</v>
      </c>
      <c r="B7" s="44"/>
      <c r="C7" s="3" t="s">
        <v>23</v>
      </c>
      <c r="D7" s="3" t="s">
        <v>11</v>
      </c>
      <c r="E7" s="3" t="s">
        <v>24</v>
      </c>
    </row>
    <row r="8" spans="1:5" ht="57.75">
      <c r="A8" s="5" t="s">
        <v>25</v>
      </c>
      <c r="B8" s="44"/>
      <c r="C8" s="3" t="s">
        <v>26</v>
      </c>
      <c r="D8" s="3" t="s">
        <v>11</v>
      </c>
      <c r="E8" s="3" t="s">
        <v>27</v>
      </c>
    </row>
    <row r="9" spans="1:5" ht="57.75">
      <c r="A9" s="5" t="s">
        <v>28</v>
      </c>
      <c r="B9" s="44"/>
      <c r="C9" s="3" t="s">
        <v>29</v>
      </c>
      <c r="D9" s="3" t="s">
        <v>11</v>
      </c>
      <c r="E9" s="3" t="s">
        <v>12</v>
      </c>
    </row>
    <row r="10" spans="1:5" ht="57.75">
      <c r="A10" s="5" t="s">
        <v>30</v>
      </c>
      <c r="B10" s="44"/>
      <c r="C10" s="3" t="s">
        <v>31</v>
      </c>
      <c r="D10" s="3" t="s">
        <v>11</v>
      </c>
      <c r="E10" s="3" t="s">
        <v>12</v>
      </c>
    </row>
    <row r="11" spans="1:5" ht="57.75">
      <c r="A11" s="5" t="s">
        <v>32</v>
      </c>
      <c r="B11" s="44" t="s">
        <v>33</v>
      </c>
      <c r="C11" s="44" t="s">
        <v>10</v>
      </c>
      <c r="D11" s="3" t="s">
        <v>11</v>
      </c>
      <c r="E11" s="3" t="s">
        <v>12</v>
      </c>
    </row>
    <row r="12" spans="1:5" ht="57.75">
      <c r="A12" s="5" t="s">
        <v>34</v>
      </c>
      <c r="B12" s="44"/>
      <c r="C12" s="44"/>
      <c r="D12" s="3" t="s">
        <v>14</v>
      </c>
      <c r="E12" s="3" t="s">
        <v>15</v>
      </c>
    </row>
    <row r="13" spans="1:5" ht="57.75">
      <c r="A13" s="5" t="s">
        <v>35</v>
      </c>
      <c r="B13" s="44"/>
      <c r="C13" s="44"/>
      <c r="D13" s="3" t="s">
        <v>17</v>
      </c>
      <c r="E13" s="3" t="s">
        <v>18</v>
      </c>
    </row>
    <row r="14" spans="1:5" ht="57.75">
      <c r="A14" s="5" t="s">
        <v>36</v>
      </c>
      <c r="B14" s="44" t="s">
        <v>37</v>
      </c>
      <c r="C14" s="44" t="s">
        <v>10</v>
      </c>
      <c r="D14" s="3" t="s">
        <v>11</v>
      </c>
      <c r="E14" s="3" t="s">
        <v>12</v>
      </c>
    </row>
    <row r="15" spans="1:5" ht="57.75">
      <c r="A15" s="5" t="s">
        <v>38</v>
      </c>
      <c r="B15" s="44"/>
      <c r="C15" s="44"/>
      <c r="D15" s="3" t="s">
        <v>14</v>
      </c>
      <c r="E15" s="3" t="s">
        <v>15</v>
      </c>
    </row>
    <row r="16" spans="1:5" ht="57.75">
      <c r="A16" s="5" t="s">
        <v>39</v>
      </c>
      <c r="B16" s="44"/>
      <c r="C16" s="44"/>
      <c r="D16" s="3" t="s">
        <v>17</v>
      </c>
      <c r="E16" s="3" t="s">
        <v>18</v>
      </c>
    </row>
    <row r="17" spans="1:5" ht="57.75">
      <c r="A17" s="5" t="s">
        <v>40</v>
      </c>
      <c r="B17" s="44" t="s">
        <v>41</v>
      </c>
      <c r="C17" s="44" t="s">
        <v>10</v>
      </c>
      <c r="D17" s="3" t="s">
        <v>11</v>
      </c>
      <c r="E17" s="3" t="s">
        <v>42</v>
      </c>
    </row>
    <row r="18" spans="1:5" ht="57.75">
      <c r="A18" s="5" t="s">
        <v>43</v>
      </c>
      <c r="B18" s="44"/>
      <c r="C18" s="44"/>
      <c r="D18" s="3" t="s">
        <v>14</v>
      </c>
      <c r="E18" s="3" t="s">
        <v>44</v>
      </c>
    </row>
    <row r="19" spans="1:5" ht="57.75">
      <c r="A19" s="5" t="s">
        <v>45</v>
      </c>
      <c r="B19" s="44"/>
      <c r="C19" s="44"/>
      <c r="D19" s="3" t="s">
        <v>17</v>
      </c>
      <c r="E19" s="3" t="s">
        <v>46</v>
      </c>
    </row>
  </sheetData>
  <mergeCells count="7">
    <mergeCell ref="B3:B10"/>
    <mergeCell ref="B17:B19"/>
    <mergeCell ref="C17:C19"/>
    <mergeCell ref="B11:B13"/>
    <mergeCell ref="C11:C13"/>
    <mergeCell ref="B14:B16"/>
    <mergeCell ref="C14:C16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88"/>
  <sheetViews>
    <sheetView topLeftCell="B1" zoomScale="85" zoomScaleNormal="85" workbookViewId="0">
      <pane ySplit="1" topLeftCell="A2" activePane="bottomLeft" state="frozen"/>
      <selection pane="bottomLeft"/>
    </sheetView>
  </sheetViews>
  <sheetFormatPr defaultColWidth="9.140625" defaultRowHeight="14.45"/>
  <cols>
    <col min="1" max="1" width="25.7109375" customWidth="1"/>
    <col min="3" max="5" width="9.28515625" customWidth="1"/>
    <col min="9" max="17" width="9.28515625" customWidth="1"/>
  </cols>
  <sheetData>
    <row r="1" spans="1:21">
      <c r="B1" s="8" t="s">
        <v>47</v>
      </c>
      <c r="C1" s="9" t="s">
        <v>48</v>
      </c>
      <c r="D1" s="8" t="s">
        <v>49</v>
      </c>
      <c r="E1" s="8" t="s">
        <v>50</v>
      </c>
      <c r="F1" s="8" t="s">
        <v>51</v>
      </c>
      <c r="G1" s="8" t="s">
        <v>52</v>
      </c>
      <c r="H1" s="8" t="s">
        <v>53</v>
      </c>
      <c r="I1" s="9" t="s">
        <v>54</v>
      </c>
      <c r="J1" s="8" t="s">
        <v>55</v>
      </c>
      <c r="K1" s="8" t="s">
        <v>56</v>
      </c>
      <c r="L1" s="9" t="s">
        <v>57</v>
      </c>
      <c r="M1" s="8" t="s">
        <v>58</v>
      </c>
      <c r="N1" s="8" t="s">
        <v>59</v>
      </c>
      <c r="O1" s="9" t="s">
        <v>60</v>
      </c>
      <c r="P1" s="8" t="s">
        <v>61</v>
      </c>
      <c r="Q1" s="8" t="s">
        <v>62</v>
      </c>
      <c r="R1" t="s">
        <v>63</v>
      </c>
      <c r="S1" t="s">
        <v>64</v>
      </c>
    </row>
    <row r="2" spans="1:21">
      <c r="A2" t="s">
        <v>65</v>
      </c>
      <c r="B2">
        <v>30</v>
      </c>
      <c r="C2">
        <f>'{C} Human to X'!D33</f>
        <v>18</v>
      </c>
      <c r="D2">
        <f>'{C} Human to X'!L33</f>
        <v>14</v>
      </c>
      <c r="E2">
        <f>'{C} Human to X'!N33</f>
        <v>14</v>
      </c>
      <c r="F2">
        <f>'{C} Human to X'!P33</f>
        <v>23</v>
      </c>
      <c r="G2">
        <f>'{C} Human to X'!S33</f>
        <v>8</v>
      </c>
      <c r="H2">
        <f>'{C} Human to X'!U33</f>
        <v>13</v>
      </c>
      <c r="I2">
        <f>'{C} Human to X'!W33</f>
        <v>15</v>
      </c>
      <c r="J2">
        <f>'{C} Human to X'!AE33</f>
        <v>10</v>
      </c>
      <c r="K2">
        <f>'{C} Human to X'!AG33</f>
        <v>10</v>
      </c>
      <c r="L2">
        <f>'{C} Human to X'!AI33</f>
        <v>9</v>
      </c>
      <c r="M2">
        <f>'{C} Human to X'!AQ33</f>
        <v>9</v>
      </c>
      <c r="N2">
        <f>'{C} Human to X'!AS33</f>
        <v>10</v>
      </c>
      <c r="O2">
        <f>'{C} Human to X'!AU33</f>
        <v>12</v>
      </c>
      <c r="P2">
        <f>'{C} Human to X'!BC33</f>
        <v>11</v>
      </c>
      <c r="Q2">
        <f>'{C} Human to X'!BE33</f>
        <v>10</v>
      </c>
      <c r="R2">
        <f>'{C} Human to X'!BG33</f>
        <v>8</v>
      </c>
      <c r="S2">
        <f>'{C} Human to X'!BI33</f>
        <v>5</v>
      </c>
    </row>
    <row r="3" spans="1:21">
      <c r="A3" t="s">
        <v>66</v>
      </c>
      <c r="B3">
        <v>0</v>
      </c>
      <c r="C3">
        <f>'{C} Human to X'!D34</f>
        <v>8</v>
      </c>
      <c r="D3">
        <f>'{C} Human to X'!L34</f>
        <v>12</v>
      </c>
      <c r="E3">
        <f>'{C} Human to X'!N34</f>
        <v>13</v>
      </c>
      <c r="F3">
        <f>'{C} Human to X'!P34</f>
        <v>6</v>
      </c>
      <c r="G3">
        <f>'{C} Human to X'!S34</f>
        <v>15</v>
      </c>
      <c r="H3">
        <f>'{C} Human to X'!U34</f>
        <v>14</v>
      </c>
      <c r="I3">
        <f>'{C} Human to X'!W34</f>
        <v>10</v>
      </c>
      <c r="J3">
        <f>'{C} Human to X'!AE34</f>
        <v>17</v>
      </c>
      <c r="K3">
        <f>'{C} Human to X'!AG34</f>
        <v>14</v>
      </c>
      <c r="L3">
        <f>'{C} Human to X'!AI34</f>
        <v>16</v>
      </c>
      <c r="M3">
        <f>'{C} Human to X'!AQ34</f>
        <v>12</v>
      </c>
      <c r="N3">
        <f>'{C} Human to X'!AS34</f>
        <v>12</v>
      </c>
      <c r="O3">
        <f>'{C} Human to X'!AU34</f>
        <v>14</v>
      </c>
      <c r="P3">
        <f>'{C} Human to X'!BC34</f>
        <v>17</v>
      </c>
      <c r="Q3">
        <f>'{C} Human to X'!BE34</f>
        <v>17</v>
      </c>
      <c r="R3">
        <f>'{C} Human to X'!BG34</f>
        <v>16</v>
      </c>
      <c r="S3">
        <f>'{C} Human to X'!BI34</f>
        <v>16</v>
      </c>
    </row>
    <row r="4" spans="1:21">
      <c r="A4" t="s">
        <v>67</v>
      </c>
      <c r="B4">
        <v>0</v>
      </c>
      <c r="C4">
        <f>'{C} Human to X'!D35</f>
        <v>4</v>
      </c>
      <c r="D4">
        <f>'{C} Human to X'!L35</f>
        <v>4</v>
      </c>
      <c r="E4">
        <f>'{C} Human to X'!N35</f>
        <v>3</v>
      </c>
      <c r="F4">
        <f>'{C} Human to X'!P35</f>
        <v>1</v>
      </c>
      <c r="G4">
        <f>'{C} Human to X'!S35</f>
        <v>7</v>
      </c>
      <c r="H4">
        <f>'{C} Human to X'!U35</f>
        <v>3</v>
      </c>
      <c r="I4">
        <f>'{C} Human to X'!W35</f>
        <v>5</v>
      </c>
      <c r="J4">
        <f>'{C} Human to X'!AE35</f>
        <v>3</v>
      </c>
      <c r="K4">
        <f>'{C} Human to X'!AG35</f>
        <v>6</v>
      </c>
      <c r="L4">
        <f>'{C} Human to X'!AI35</f>
        <v>5</v>
      </c>
      <c r="M4">
        <f>'{C} Human to X'!AQ35</f>
        <v>9</v>
      </c>
      <c r="N4">
        <f>'{C} Human to X'!AS35</f>
        <v>8</v>
      </c>
      <c r="O4">
        <f>'{C} Human to X'!AU35</f>
        <v>4</v>
      </c>
      <c r="P4">
        <f>'{C} Human to X'!BC35</f>
        <v>2</v>
      </c>
      <c r="Q4">
        <f>'{C} Human to X'!BE35</f>
        <v>3</v>
      </c>
      <c r="R4">
        <f>'{C} Human to X'!BG35</f>
        <v>6</v>
      </c>
      <c r="S4">
        <f>'{C} Human to X'!BI35</f>
        <v>9</v>
      </c>
    </row>
    <row r="5" spans="1:21">
      <c r="A5" s="10" t="s">
        <v>68</v>
      </c>
      <c r="B5" s="11">
        <f t="shared" ref="B5:S5" si="0">B2+B3+B4</f>
        <v>30</v>
      </c>
      <c r="C5" s="11">
        <f t="shared" si="0"/>
        <v>30</v>
      </c>
      <c r="D5" s="11">
        <f t="shared" si="0"/>
        <v>30</v>
      </c>
      <c r="E5" s="11">
        <f t="shared" si="0"/>
        <v>30</v>
      </c>
      <c r="F5" s="11">
        <f t="shared" si="0"/>
        <v>30</v>
      </c>
      <c r="G5" s="11">
        <f t="shared" si="0"/>
        <v>30</v>
      </c>
      <c r="H5" s="11">
        <f t="shared" si="0"/>
        <v>30</v>
      </c>
      <c r="I5" s="11">
        <f t="shared" si="0"/>
        <v>30</v>
      </c>
      <c r="J5" s="11">
        <f t="shared" si="0"/>
        <v>30</v>
      </c>
      <c r="K5" s="11">
        <f t="shared" si="0"/>
        <v>30</v>
      </c>
      <c r="L5" s="11">
        <f t="shared" si="0"/>
        <v>30</v>
      </c>
      <c r="M5" s="11">
        <f t="shared" si="0"/>
        <v>30</v>
      </c>
      <c r="N5" s="11">
        <f t="shared" si="0"/>
        <v>30</v>
      </c>
      <c r="O5" s="11">
        <f t="shared" si="0"/>
        <v>30</v>
      </c>
      <c r="P5" s="11">
        <f t="shared" si="0"/>
        <v>30</v>
      </c>
      <c r="Q5" s="11">
        <f t="shared" si="0"/>
        <v>30</v>
      </c>
      <c r="R5" s="11">
        <f t="shared" si="0"/>
        <v>30</v>
      </c>
      <c r="S5" s="11">
        <f t="shared" si="0"/>
        <v>30</v>
      </c>
    </row>
    <row r="6" spans="1:21">
      <c r="A6" t="s">
        <v>69</v>
      </c>
      <c r="B6">
        <v>0</v>
      </c>
      <c r="C6">
        <f>'{C} L0'!F35</f>
        <v>2</v>
      </c>
      <c r="D6">
        <f>'{C} L1'!F40</f>
        <v>5</v>
      </c>
      <c r="E6">
        <f>'{C} L2'!F35</f>
        <v>3</v>
      </c>
      <c r="F6">
        <f>'{C} L3'!F127</f>
        <v>24</v>
      </c>
      <c r="G6">
        <f>'{C} L4'!F37</f>
        <v>15</v>
      </c>
      <c r="H6">
        <f>'{C} L5'!F42</f>
        <v>6</v>
      </c>
      <c r="I6">
        <f>'{C} Q0'!F41</f>
        <v>15</v>
      </c>
      <c r="J6">
        <f>'{C} Q1'!F23</f>
        <v>5</v>
      </c>
      <c r="K6">
        <f>'{C} Q2'!F30</f>
        <v>8</v>
      </c>
      <c r="L6">
        <f>'{C} M0'!F45</f>
        <v>6</v>
      </c>
      <c r="M6">
        <f>'{C} M1'!F35</f>
        <v>7</v>
      </c>
      <c r="N6">
        <f>'{C} M2'!F40</f>
        <v>13</v>
      </c>
      <c r="O6">
        <f>'{C} G0'!F25</f>
        <v>5</v>
      </c>
      <c r="P6">
        <f>'{C} G1'!F31</f>
        <v>9</v>
      </c>
      <c r="Q6">
        <f>'{C} G2'!F29</f>
        <v>4</v>
      </c>
      <c r="R6">
        <f>'{C} L0a'!F45</f>
        <v>17</v>
      </c>
      <c r="S6">
        <f>'{C} L0b'!F46</f>
        <v>18</v>
      </c>
    </row>
    <row r="7" spans="1:21">
      <c r="A7" t="s">
        <v>70</v>
      </c>
      <c r="B7">
        <v>0</v>
      </c>
      <c r="C7">
        <f>'{C} L0'!F36</f>
        <v>0</v>
      </c>
      <c r="D7">
        <f>'{C} L1'!F41</f>
        <v>1</v>
      </c>
      <c r="E7">
        <f>'{C} L2'!F36</f>
        <v>0</v>
      </c>
      <c r="F7">
        <f>'{C} L3'!F128</f>
        <v>0</v>
      </c>
      <c r="G7">
        <f>'{C} L4'!F38</f>
        <v>0</v>
      </c>
      <c r="H7">
        <f>'{C} L5'!F43</f>
        <v>0</v>
      </c>
      <c r="I7">
        <f>'{C} Q0'!F42</f>
        <v>1</v>
      </c>
      <c r="J7">
        <f>'{C} Q1'!F24</f>
        <v>0</v>
      </c>
      <c r="K7">
        <f>'{C} Q2'!F31</f>
        <v>0</v>
      </c>
      <c r="L7">
        <f>'{C} M0'!F46</f>
        <v>0</v>
      </c>
      <c r="M7">
        <f>'{C} M1'!F36</f>
        <v>0</v>
      </c>
      <c r="N7">
        <f>'{C} M2'!F41</f>
        <v>0</v>
      </c>
      <c r="O7">
        <f>'{C} G0'!F26</f>
        <v>0</v>
      </c>
      <c r="P7">
        <f>'{C} G1'!F32</f>
        <v>1</v>
      </c>
      <c r="Q7">
        <f>'{C} G2'!F30</f>
        <v>1</v>
      </c>
      <c r="R7">
        <f>'{C} L0a'!F46</f>
        <v>0</v>
      </c>
      <c r="S7">
        <f>'{C} L0b'!F47</f>
        <v>0</v>
      </c>
    </row>
    <row r="9" spans="1:21">
      <c r="A9" s="12" t="s">
        <v>71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</row>
    <row r="10" spans="1:21" s="13" customFormat="1">
      <c r="A10" t="s">
        <v>72</v>
      </c>
      <c r="B10">
        <f t="shared" ref="B10:S10" si="1">B2+B4</f>
        <v>30</v>
      </c>
      <c r="C10">
        <f t="shared" si="1"/>
        <v>22</v>
      </c>
      <c r="D10">
        <f t="shared" si="1"/>
        <v>18</v>
      </c>
      <c r="E10">
        <f t="shared" si="1"/>
        <v>17</v>
      </c>
      <c r="F10">
        <f t="shared" si="1"/>
        <v>24</v>
      </c>
      <c r="G10">
        <f t="shared" si="1"/>
        <v>15</v>
      </c>
      <c r="H10">
        <f t="shared" si="1"/>
        <v>16</v>
      </c>
      <c r="I10">
        <f t="shared" si="1"/>
        <v>20</v>
      </c>
      <c r="J10">
        <f t="shared" si="1"/>
        <v>13</v>
      </c>
      <c r="K10">
        <f t="shared" si="1"/>
        <v>16</v>
      </c>
      <c r="L10">
        <f t="shared" si="1"/>
        <v>14</v>
      </c>
      <c r="M10">
        <f t="shared" si="1"/>
        <v>18</v>
      </c>
      <c r="N10">
        <f t="shared" si="1"/>
        <v>18</v>
      </c>
      <c r="O10">
        <f t="shared" si="1"/>
        <v>16</v>
      </c>
      <c r="P10">
        <f t="shared" si="1"/>
        <v>13</v>
      </c>
      <c r="Q10">
        <f t="shared" si="1"/>
        <v>13</v>
      </c>
      <c r="R10">
        <f t="shared" si="1"/>
        <v>14</v>
      </c>
      <c r="S10">
        <f t="shared" si="1"/>
        <v>14</v>
      </c>
      <c r="T10"/>
      <c r="U10"/>
    </row>
    <row r="11" spans="1:21">
      <c r="A11" s="13" t="s">
        <v>73</v>
      </c>
      <c r="B11">
        <f t="shared" ref="B11:S11" si="2">B3+B4</f>
        <v>0</v>
      </c>
      <c r="C11">
        <f t="shared" si="2"/>
        <v>12</v>
      </c>
      <c r="D11">
        <f t="shared" si="2"/>
        <v>16</v>
      </c>
      <c r="E11">
        <f t="shared" si="2"/>
        <v>16</v>
      </c>
      <c r="F11">
        <f t="shared" si="2"/>
        <v>7</v>
      </c>
      <c r="G11">
        <f t="shared" si="2"/>
        <v>22</v>
      </c>
      <c r="H11">
        <f t="shared" si="2"/>
        <v>17</v>
      </c>
      <c r="I11">
        <f t="shared" si="2"/>
        <v>15</v>
      </c>
      <c r="J11">
        <f t="shared" si="2"/>
        <v>20</v>
      </c>
      <c r="K11">
        <f t="shared" si="2"/>
        <v>20</v>
      </c>
      <c r="L11">
        <f t="shared" si="2"/>
        <v>21</v>
      </c>
      <c r="M11">
        <f t="shared" si="2"/>
        <v>21</v>
      </c>
      <c r="N11">
        <f t="shared" si="2"/>
        <v>20</v>
      </c>
      <c r="O11">
        <f t="shared" si="2"/>
        <v>18</v>
      </c>
      <c r="P11">
        <f t="shared" si="2"/>
        <v>19</v>
      </c>
      <c r="Q11">
        <f t="shared" si="2"/>
        <v>20</v>
      </c>
      <c r="R11">
        <f t="shared" si="2"/>
        <v>22</v>
      </c>
      <c r="S11">
        <f t="shared" si="2"/>
        <v>25</v>
      </c>
      <c r="T11" s="13"/>
      <c r="U11" s="13"/>
    </row>
    <row r="12" spans="1:21">
      <c r="A12" s="14" t="s">
        <v>74</v>
      </c>
      <c r="B12" s="15">
        <f t="shared" ref="B12:S12" si="3">B10/(B10+B6+B7)</f>
        <v>1</v>
      </c>
      <c r="C12" s="15">
        <f t="shared" si="3"/>
        <v>0.91666666666666663</v>
      </c>
      <c r="D12" s="15">
        <f t="shared" si="3"/>
        <v>0.75</v>
      </c>
      <c r="E12" s="15">
        <f t="shared" si="3"/>
        <v>0.85</v>
      </c>
      <c r="F12" s="15">
        <f t="shared" si="3"/>
        <v>0.5</v>
      </c>
      <c r="G12" s="15">
        <f t="shared" si="3"/>
        <v>0.5</v>
      </c>
      <c r="H12" s="15">
        <f t="shared" si="3"/>
        <v>0.72727272727272729</v>
      </c>
      <c r="I12" s="15">
        <f t="shared" si="3"/>
        <v>0.55555555555555558</v>
      </c>
      <c r="J12" s="15">
        <f t="shared" si="3"/>
        <v>0.72222222222222221</v>
      </c>
      <c r="K12" s="15">
        <f t="shared" si="3"/>
        <v>0.66666666666666663</v>
      </c>
      <c r="L12" s="15">
        <f t="shared" si="3"/>
        <v>0.7</v>
      </c>
      <c r="M12" s="15">
        <f t="shared" si="3"/>
        <v>0.72</v>
      </c>
      <c r="N12" s="15">
        <f t="shared" si="3"/>
        <v>0.58064516129032262</v>
      </c>
      <c r="O12" s="15">
        <f t="shared" si="3"/>
        <v>0.76190476190476186</v>
      </c>
      <c r="P12" s="15">
        <f t="shared" si="3"/>
        <v>0.56521739130434778</v>
      </c>
      <c r="Q12" s="15">
        <f t="shared" si="3"/>
        <v>0.72222222222222221</v>
      </c>
      <c r="R12" s="15">
        <f t="shared" si="3"/>
        <v>0.45161290322580644</v>
      </c>
      <c r="S12" s="15">
        <f t="shared" si="3"/>
        <v>0.4375</v>
      </c>
      <c r="T12" s="13"/>
      <c r="U12" s="13"/>
    </row>
    <row r="13" spans="1:21">
      <c r="A13" s="16" t="s">
        <v>75</v>
      </c>
      <c r="B13" s="15">
        <f t="shared" ref="B13:S13" si="4">B2/(B2+B11)</f>
        <v>1</v>
      </c>
      <c r="C13" s="15">
        <f t="shared" si="4"/>
        <v>0.6</v>
      </c>
      <c r="D13" s="15">
        <f t="shared" si="4"/>
        <v>0.46666666666666667</v>
      </c>
      <c r="E13" s="15">
        <f t="shared" si="4"/>
        <v>0.46666666666666667</v>
      </c>
      <c r="F13" s="15">
        <f t="shared" si="4"/>
        <v>0.76666666666666672</v>
      </c>
      <c r="G13" s="15">
        <f t="shared" si="4"/>
        <v>0.26666666666666666</v>
      </c>
      <c r="H13" s="15">
        <f t="shared" si="4"/>
        <v>0.43333333333333335</v>
      </c>
      <c r="I13" s="15">
        <f t="shared" si="4"/>
        <v>0.5</v>
      </c>
      <c r="J13" s="15">
        <f t="shared" si="4"/>
        <v>0.33333333333333331</v>
      </c>
      <c r="K13" s="15">
        <f t="shared" si="4"/>
        <v>0.33333333333333331</v>
      </c>
      <c r="L13" s="15">
        <f t="shared" si="4"/>
        <v>0.3</v>
      </c>
      <c r="M13" s="15">
        <f t="shared" si="4"/>
        <v>0.3</v>
      </c>
      <c r="N13" s="15">
        <f t="shared" si="4"/>
        <v>0.33333333333333331</v>
      </c>
      <c r="O13" s="15">
        <f t="shared" si="4"/>
        <v>0.4</v>
      </c>
      <c r="P13" s="15">
        <f t="shared" si="4"/>
        <v>0.36666666666666664</v>
      </c>
      <c r="Q13" s="15">
        <f t="shared" si="4"/>
        <v>0.33333333333333331</v>
      </c>
      <c r="R13" s="15">
        <f t="shared" si="4"/>
        <v>0.26666666666666666</v>
      </c>
      <c r="S13" s="15">
        <f t="shared" si="4"/>
        <v>0.16666666666666666</v>
      </c>
    </row>
    <row r="14" spans="1:21">
      <c r="A14" s="16" t="s">
        <v>76</v>
      </c>
      <c r="B14" s="15">
        <f t="shared" ref="B14:S14" si="5">B10/(B10+B3)</f>
        <v>1</v>
      </c>
      <c r="C14" s="15">
        <f t="shared" si="5"/>
        <v>0.73333333333333328</v>
      </c>
      <c r="D14" s="15">
        <f t="shared" si="5"/>
        <v>0.6</v>
      </c>
      <c r="E14" s="15">
        <f t="shared" si="5"/>
        <v>0.56666666666666665</v>
      </c>
      <c r="F14" s="15">
        <f t="shared" si="5"/>
        <v>0.8</v>
      </c>
      <c r="G14" s="15">
        <f t="shared" si="5"/>
        <v>0.5</v>
      </c>
      <c r="H14" s="15">
        <f t="shared" si="5"/>
        <v>0.53333333333333333</v>
      </c>
      <c r="I14" s="15">
        <f t="shared" si="5"/>
        <v>0.66666666666666663</v>
      </c>
      <c r="J14" s="15">
        <f t="shared" si="5"/>
        <v>0.43333333333333335</v>
      </c>
      <c r="K14" s="15">
        <f t="shared" si="5"/>
        <v>0.53333333333333333</v>
      </c>
      <c r="L14" s="15">
        <f t="shared" si="5"/>
        <v>0.46666666666666667</v>
      </c>
      <c r="M14" s="15">
        <f t="shared" si="5"/>
        <v>0.6</v>
      </c>
      <c r="N14" s="15">
        <f t="shared" si="5"/>
        <v>0.6</v>
      </c>
      <c r="O14" s="15">
        <f t="shared" si="5"/>
        <v>0.53333333333333333</v>
      </c>
      <c r="P14" s="15">
        <f t="shared" si="5"/>
        <v>0.43333333333333335</v>
      </c>
      <c r="Q14" s="15">
        <f t="shared" si="5"/>
        <v>0.43333333333333335</v>
      </c>
      <c r="R14" s="15">
        <f t="shared" si="5"/>
        <v>0.46666666666666667</v>
      </c>
      <c r="S14" s="15">
        <f t="shared" si="5"/>
        <v>0.46666666666666667</v>
      </c>
    </row>
    <row r="16" spans="1:21">
      <c r="A16" s="12" t="s">
        <v>77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</row>
    <row r="17" spans="1:17">
      <c r="A17" s="17" t="s">
        <v>78</v>
      </c>
      <c r="B17" s="11">
        <f>'{C} GS to X'!$B$79</f>
        <v>76</v>
      </c>
      <c r="C17" s="11">
        <f>'{C} GS to X'!$B$79</f>
        <v>76</v>
      </c>
      <c r="D17" s="11">
        <f>'{C} GS to X'!$B$79</f>
        <v>76</v>
      </c>
      <c r="E17" s="11">
        <f>'{C} GS to X'!$B$79</f>
        <v>76</v>
      </c>
      <c r="F17" s="11">
        <f>'{C} GS to X'!$B$79</f>
        <v>76</v>
      </c>
      <c r="G17" s="11">
        <f>'{C} GS to X'!$B$79</f>
        <v>76</v>
      </c>
      <c r="H17" s="11">
        <f>'{C} GS to X'!$B$79</f>
        <v>76</v>
      </c>
      <c r="I17" s="11">
        <f>'{C} GS to X'!$B$79</f>
        <v>76</v>
      </c>
      <c r="J17" s="11">
        <f>'{C} GS to X'!$B$79</f>
        <v>76</v>
      </c>
      <c r="K17" s="11">
        <f>'{C} GS to X'!$B$79</f>
        <v>76</v>
      </c>
      <c r="L17" s="11">
        <f>'{C} GS to X'!$B$79</f>
        <v>76</v>
      </c>
      <c r="M17" s="11">
        <f>'{C} GS to X'!$B$79</f>
        <v>76</v>
      </c>
      <c r="N17" s="11">
        <f>'{C} GS to X'!$B$79</f>
        <v>76</v>
      </c>
      <c r="O17" s="11">
        <f>'{C} GS to X'!$B$79</f>
        <v>76</v>
      </c>
      <c r="P17" s="11">
        <f>'{C} GS to X'!$B$79</f>
        <v>76</v>
      </c>
      <c r="Q17" s="11">
        <f>'{C} GS to X'!$B$79</f>
        <v>76</v>
      </c>
    </row>
    <row r="18" spans="1:17">
      <c r="A18" t="s">
        <v>79</v>
      </c>
      <c r="B18">
        <v>0</v>
      </c>
      <c r="C18">
        <f>'{C} GS to X'!E79</f>
        <v>14</v>
      </c>
      <c r="D18">
        <f>'{C} GS to X'!I79</f>
        <v>6</v>
      </c>
      <c r="E18">
        <f>'{C} GS to X'!J79</f>
        <v>8</v>
      </c>
      <c r="F18">
        <f>'{C} GS to X'!K79</f>
        <v>18</v>
      </c>
      <c r="G18">
        <f>'{C} GS to X'!L79</f>
        <v>3</v>
      </c>
      <c r="H18">
        <f>'{C} GS to X'!M79</f>
        <v>7</v>
      </c>
      <c r="I18">
        <f>'{C} GS to X'!N79</f>
        <v>4</v>
      </c>
      <c r="J18">
        <f>'{C} GS to X'!R79</f>
        <v>2</v>
      </c>
      <c r="K18">
        <f>'{C} GS to X'!S79</f>
        <v>5</v>
      </c>
      <c r="L18">
        <f>'{C} GS to X'!T79</f>
        <v>9</v>
      </c>
      <c r="M18">
        <f>'{C} GS to X'!X79</f>
        <v>3</v>
      </c>
      <c r="N18">
        <f>'{C} GS to X'!Y79</f>
        <v>2</v>
      </c>
      <c r="O18">
        <f>'{C} GS to X'!Z79</f>
        <v>5</v>
      </c>
      <c r="P18">
        <f>'{C} GS to X'!AD79</f>
        <v>2</v>
      </c>
      <c r="Q18">
        <f>'{C} GS to X'!AE79</f>
        <v>1</v>
      </c>
    </row>
    <row r="19" spans="1:17">
      <c r="A19" t="s">
        <v>80</v>
      </c>
      <c r="B19">
        <f t="shared" ref="B19:Q19" si="6">B2+B18</f>
        <v>30</v>
      </c>
      <c r="C19">
        <f t="shared" si="6"/>
        <v>32</v>
      </c>
      <c r="D19">
        <f t="shared" si="6"/>
        <v>20</v>
      </c>
      <c r="E19">
        <f t="shared" si="6"/>
        <v>22</v>
      </c>
      <c r="F19">
        <f t="shared" si="6"/>
        <v>41</v>
      </c>
      <c r="G19">
        <f t="shared" si="6"/>
        <v>11</v>
      </c>
      <c r="H19">
        <f t="shared" si="6"/>
        <v>20</v>
      </c>
      <c r="I19">
        <f t="shared" si="6"/>
        <v>19</v>
      </c>
      <c r="J19">
        <f t="shared" si="6"/>
        <v>12</v>
      </c>
      <c r="K19">
        <f t="shared" si="6"/>
        <v>15</v>
      </c>
      <c r="L19">
        <f t="shared" si="6"/>
        <v>18</v>
      </c>
      <c r="M19">
        <f t="shared" si="6"/>
        <v>12</v>
      </c>
      <c r="N19">
        <f t="shared" si="6"/>
        <v>12</v>
      </c>
      <c r="O19">
        <f t="shared" si="6"/>
        <v>17</v>
      </c>
      <c r="P19">
        <f t="shared" si="6"/>
        <v>13</v>
      </c>
      <c r="Q19">
        <f t="shared" si="6"/>
        <v>11</v>
      </c>
    </row>
    <row r="20" spans="1:17">
      <c r="A20" t="s">
        <v>81</v>
      </c>
      <c r="B20">
        <f t="shared" ref="B20:Q20" si="7">B17-B19-B4</f>
        <v>46</v>
      </c>
      <c r="C20">
        <f t="shared" si="7"/>
        <v>40</v>
      </c>
      <c r="D20">
        <f t="shared" si="7"/>
        <v>52</v>
      </c>
      <c r="E20">
        <f t="shared" si="7"/>
        <v>51</v>
      </c>
      <c r="F20">
        <f t="shared" si="7"/>
        <v>34</v>
      </c>
      <c r="G20">
        <f t="shared" si="7"/>
        <v>58</v>
      </c>
      <c r="H20">
        <f t="shared" si="7"/>
        <v>53</v>
      </c>
      <c r="I20">
        <f t="shared" si="7"/>
        <v>52</v>
      </c>
      <c r="J20">
        <f t="shared" si="7"/>
        <v>61</v>
      </c>
      <c r="K20">
        <f t="shared" si="7"/>
        <v>55</v>
      </c>
      <c r="L20">
        <f t="shared" si="7"/>
        <v>53</v>
      </c>
      <c r="M20">
        <f t="shared" si="7"/>
        <v>55</v>
      </c>
      <c r="N20">
        <f t="shared" si="7"/>
        <v>56</v>
      </c>
      <c r="O20">
        <f t="shared" si="7"/>
        <v>55</v>
      </c>
      <c r="P20">
        <f t="shared" si="7"/>
        <v>61</v>
      </c>
      <c r="Q20">
        <f t="shared" si="7"/>
        <v>62</v>
      </c>
    </row>
    <row r="21" spans="1:17">
      <c r="A21" t="s">
        <v>82</v>
      </c>
      <c r="B21">
        <f t="shared" ref="B21:Q21" si="8">B19+B4</f>
        <v>30</v>
      </c>
      <c r="C21">
        <f t="shared" si="8"/>
        <v>36</v>
      </c>
      <c r="D21">
        <f t="shared" si="8"/>
        <v>24</v>
      </c>
      <c r="E21">
        <f t="shared" si="8"/>
        <v>25</v>
      </c>
      <c r="F21">
        <f t="shared" si="8"/>
        <v>42</v>
      </c>
      <c r="G21">
        <f t="shared" si="8"/>
        <v>18</v>
      </c>
      <c r="H21">
        <f t="shared" si="8"/>
        <v>23</v>
      </c>
      <c r="I21">
        <f t="shared" si="8"/>
        <v>24</v>
      </c>
      <c r="J21">
        <f t="shared" si="8"/>
        <v>15</v>
      </c>
      <c r="K21">
        <f t="shared" si="8"/>
        <v>21</v>
      </c>
      <c r="L21">
        <f t="shared" si="8"/>
        <v>23</v>
      </c>
      <c r="M21">
        <f t="shared" si="8"/>
        <v>21</v>
      </c>
      <c r="N21">
        <f t="shared" si="8"/>
        <v>20</v>
      </c>
      <c r="O21">
        <f t="shared" si="8"/>
        <v>21</v>
      </c>
      <c r="P21">
        <f t="shared" si="8"/>
        <v>15</v>
      </c>
      <c r="Q21">
        <f t="shared" si="8"/>
        <v>14</v>
      </c>
    </row>
    <row r="22" spans="1:17">
      <c r="A22" t="s">
        <v>83</v>
      </c>
      <c r="B22">
        <f t="shared" ref="B22:Q22" si="9">B20+B4</f>
        <v>46</v>
      </c>
      <c r="C22">
        <f t="shared" si="9"/>
        <v>44</v>
      </c>
      <c r="D22">
        <f t="shared" si="9"/>
        <v>56</v>
      </c>
      <c r="E22">
        <f t="shared" si="9"/>
        <v>54</v>
      </c>
      <c r="F22">
        <f t="shared" si="9"/>
        <v>35</v>
      </c>
      <c r="G22">
        <f t="shared" si="9"/>
        <v>65</v>
      </c>
      <c r="H22">
        <f t="shared" si="9"/>
        <v>56</v>
      </c>
      <c r="I22">
        <f t="shared" si="9"/>
        <v>57</v>
      </c>
      <c r="J22">
        <f t="shared" si="9"/>
        <v>64</v>
      </c>
      <c r="K22">
        <f t="shared" si="9"/>
        <v>61</v>
      </c>
      <c r="L22">
        <f t="shared" si="9"/>
        <v>58</v>
      </c>
      <c r="M22">
        <f t="shared" si="9"/>
        <v>64</v>
      </c>
      <c r="N22">
        <f t="shared" si="9"/>
        <v>64</v>
      </c>
      <c r="O22">
        <f t="shared" si="9"/>
        <v>59</v>
      </c>
      <c r="P22">
        <f t="shared" si="9"/>
        <v>63</v>
      </c>
      <c r="Q22">
        <f t="shared" si="9"/>
        <v>65</v>
      </c>
    </row>
    <row r="23" spans="1:17">
      <c r="A23" t="s">
        <v>69</v>
      </c>
      <c r="B23">
        <f t="shared" ref="B23:Q23" si="10">B6</f>
        <v>0</v>
      </c>
      <c r="C23">
        <f t="shared" si="10"/>
        <v>2</v>
      </c>
      <c r="D23">
        <f t="shared" si="10"/>
        <v>5</v>
      </c>
      <c r="E23">
        <f t="shared" si="10"/>
        <v>3</v>
      </c>
      <c r="F23">
        <f t="shared" si="10"/>
        <v>24</v>
      </c>
      <c r="G23">
        <f t="shared" si="10"/>
        <v>15</v>
      </c>
      <c r="H23">
        <f t="shared" si="10"/>
        <v>6</v>
      </c>
      <c r="I23">
        <f t="shared" si="10"/>
        <v>15</v>
      </c>
      <c r="J23">
        <f t="shared" si="10"/>
        <v>5</v>
      </c>
      <c r="K23">
        <f t="shared" si="10"/>
        <v>8</v>
      </c>
      <c r="L23">
        <f t="shared" si="10"/>
        <v>6</v>
      </c>
      <c r="M23">
        <f t="shared" si="10"/>
        <v>7</v>
      </c>
      <c r="N23">
        <f t="shared" si="10"/>
        <v>13</v>
      </c>
      <c r="O23">
        <f t="shared" si="10"/>
        <v>5</v>
      </c>
      <c r="P23">
        <f t="shared" si="10"/>
        <v>9</v>
      </c>
      <c r="Q23">
        <f t="shared" si="10"/>
        <v>4</v>
      </c>
    </row>
    <row r="24" spans="1:17">
      <c r="A24" t="s">
        <v>70</v>
      </c>
      <c r="B24">
        <f t="shared" ref="B24:Q24" si="11">B7</f>
        <v>0</v>
      </c>
      <c r="C24">
        <f t="shared" si="11"/>
        <v>0</v>
      </c>
      <c r="D24">
        <f t="shared" si="11"/>
        <v>1</v>
      </c>
      <c r="E24">
        <f t="shared" si="11"/>
        <v>0</v>
      </c>
      <c r="F24">
        <f t="shared" si="11"/>
        <v>0</v>
      </c>
      <c r="G24">
        <f t="shared" si="11"/>
        <v>0</v>
      </c>
      <c r="H24">
        <f t="shared" si="11"/>
        <v>0</v>
      </c>
      <c r="I24">
        <f t="shared" si="11"/>
        <v>1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1</v>
      </c>
      <c r="Q24">
        <f t="shared" si="11"/>
        <v>1</v>
      </c>
    </row>
    <row r="26" spans="1:17">
      <c r="A26" s="7" t="s">
        <v>75</v>
      </c>
      <c r="B26" s="18">
        <f t="shared" ref="B26:Q26" si="12">B19/(B19+B22)</f>
        <v>0.39473684210526316</v>
      </c>
      <c r="C26" s="18">
        <f t="shared" si="12"/>
        <v>0.42105263157894735</v>
      </c>
      <c r="D26" s="18">
        <f t="shared" si="12"/>
        <v>0.26315789473684209</v>
      </c>
      <c r="E26" s="18">
        <f t="shared" si="12"/>
        <v>0.28947368421052633</v>
      </c>
      <c r="F26" s="18">
        <f t="shared" si="12"/>
        <v>0.53947368421052633</v>
      </c>
      <c r="G26" s="18">
        <f t="shared" si="12"/>
        <v>0.14473684210526316</v>
      </c>
      <c r="H26" s="18">
        <f t="shared" si="12"/>
        <v>0.26315789473684209</v>
      </c>
      <c r="I26" s="18">
        <f t="shared" si="12"/>
        <v>0.25</v>
      </c>
      <c r="J26" s="18">
        <f t="shared" si="12"/>
        <v>0.15789473684210525</v>
      </c>
      <c r="K26" s="18">
        <f t="shared" si="12"/>
        <v>0.19736842105263158</v>
      </c>
      <c r="L26" s="18">
        <f t="shared" si="12"/>
        <v>0.23684210526315788</v>
      </c>
      <c r="M26" s="18">
        <f t="shared" si="12"/>
        <v>0.15789473684210525</v>
      </c>
      <c r="N26" s="18">
        <f t="shared" si="12"/>
        <v>0.15789473684210525</v>
      </c>
      <c r="O26" s="18">
        <f t="shared" si="12"/>
        <v>0.22368421052631579</v>
      </c>
      <c r="P26" s="18">
        <f t="shared" si="12"/>
        <v>0.17105263157894737</v>
      </c>
      <c r="Q26" s="18">
        <f t="shared" si="12"/>
        <v>0.14473684210526316</v>
      </c>
    </row>
    <row r="27" spans="1:17">
      <c r="A27" s="7" t="s">
        <v>76</v>
      </c>
      <c r="B27" s="18">
        <f t="shared" ref="B27:Q27" si="13">B21/(B21+B20)</f>
        <v>0.39473684210526316</v>
      </c>
      <c r="C27" s="18">
        <f t="shared" si="13"/>
        <v>0.47368421052631576</v>
      </c>
      <c r="D27" s="18">
        <f t="shared" si="13"/>
        <v>0.31578947368421051</v>
      </c>
      <c r="E27" s="18">
        <f t="shared" si="13"/>
        <v>0.32894736842105265</v>
      </c>
      <c r="F27" s="18">
        <f>F21/(F21+F20)</f>
        <v>0.55263157894736847</v>
      </c>
      <c r="G27" s="18">
        <f t="shared" si="13"/>
        <v>0.23684210526315788</v>
      </c>
      <c r="H27" s="18">
        <f t="shared" si="13"/>
        <v>0.30263157894736842</v>
      </c>
      <c r="I27" s="18">
        <f t="shared" si="13"/>
        <v>0.31578947368421051</v>
      </c>
      <c r="J27" s="18">
        <f t="shared" si="13"/>
        <v>0.19736842105263158</v>
      </c>
      <c r="K27" s="18">
        <f t="shared" si="13"/>
        <v>0.27631578947368424</v>
      </c>
      <c r="L27" s="18">
        <f t="shared" si="13"/>
        <v>0.30263157894736842</v>
      </c>
      <c r="M27" s="18">
        <f t="shared" si="13"/>
        <v>0.27631578947368424</v>
      </c>
      <c r="N27" s="18">
        <f t="shared" si="13"/>
        <v>0.26315789473684209</v>
      </c>
      <c r="O27" s="18">
        <f t="shared" si="13"/>
        <v>0.27631578947368424</v>
      </c>
      <c r="P27" s="18">
        <f t="shared" si="13"/>
        <v>0.19736842105263158</v>
      </c>
      <c r="Q27" s="18">
        <f t="shared" si="13"/>
        <v>0.18421052631578946</v>
      </c>
    </row>
    <row r="28" spans="1:17">
      <c r="A28" s="7" t="s">
        <v>74</v>
      </c>
      <c r="B28" s="18">
        <f>B21/(B21+B23+B24)</f>
        <v>1</v>
      </c>
      <c r="C28" s="18">
        <f t="shared" ref="C28:Q28" si="14">C21/(C21+C23+C24)</f>
        <v>0.94736842105263153</v>
      </c>
      <c r="D28" s="18">
        <f t="shared" si="14"/>
        <v>0.8</v>
      </c>
      <c r="E28" s="18">
        <f t="shared" si="14"/>
        <v>0.8928571428571429</v>
      </c>
      <c r="F28" s="18">
        <f t="shared" si="14"/>
        <v>0.63636363636363635</v>
      </c>
      <c r="G28" s="18">
        <f t="shared" si="14"/>
        <v>0.54545454545454541</v>
      </c>
      <c r="H28" s="18">
        <f t="shared" si="14"/>
        <v>0.7931034482758621</v>
      </c>
      <c r="I28" s="18">
        <f t="shared" si="14"/>
        <v>0.6</v>
      </c>
      <c r="J28" s="18">
        <f t="shared" si="14"/>
        <v>0.75</v>
      </c>
      <c r="K28" s="18">
        <f t="shared" si="14"/>
        <v>0.72413793103448276</v>
      </c>
      <c r="L28" s="18">
        <f t="shared" si="14"/>
        <v>0.7931034482758621</v>
      </c>
      <c r="M28" s="18">
        <f t="shared" si="14"/>
        <v>0.75</v>
      </c>
      <c r="N28" s="18">
        <f t="shared" si="14"/>
        <v>0.60606060606060608</v>
      </c>
      <c r="O28" s="18">
        <f t="shared" si="14"/>
        <v>0.80769230769230771</v>
      </c>
      <c r="P28" s="18">
        <f t="shared" si="14"/>
        <v>0.6</v>
      </c>
      <c r="Q28" s="18">
        <f t="shared" si="14"/>
        <v>0.73684210526315785</v>
      </c>
    </row>
    <row r="29" spans="1:17">
      <c r="A29" s="7" t="s">
        <v>84</v>
      </c>
      <c r="B29" s="18">
        <f t="shared" ref="B29:Q29" si="15">B26/$B26</f>
        <v>1</v>
      </c>
      <c r="C29" s="18">
        <f t="shared" si="15"/>
        <v>1.0666666666666667</v>
      </c>
      <c r="D29" s="18">
        <f t="shared" si="15"/>
        <v>0.66666666666666663</v>
      </c>
      <c r="E29" s="18">
        <f t="shared" si="15"/>
        <v>0.73333333333333339</v>
      </c>
      <c r="F29" s="18">
        <f t="shared" si="15"/>
        <v>1.3666666666666667</v>
      </c>
      <c r="G29" s="18">
        <f t="shared" si="15"/>
        <v>0.3666666666666667</v>
      </c>
      <c r="H29" s="18">
        <f t="shared" si="15"/>
        <v>0.66666666666666663</v>
      </c>
      <c r="I29" s="18">
        <f t="shared" si="15"/>
        <v>0.6333333333333333</v>
      </c>
      <c r="J29" s="18">
        <f t="shared" si="15"/>
        <v>0.39999999999999997</v>
      </c>
      <c r="K29" s="18">
        <f t="shared" si="15"/>
        <v>0.5</v>
      </c>
      <c r="L29" s="18">
        <f t="shared" si="15"/>
        <v>0.6</v>
      </c>
      <c r="M29" s="18">
        <f t="shared" si="15"/>
        <v>0.39999999999999997</v>
      </c>
      <c r="N29" s="18">
        <f t="shared" si="15"/>
        <v>0.39999999999999997</v>
      </c>
      <c r="O29" s="18">
        <f t="shared" si="15"/>
        <v>0.56666666666666665</v>
      </c>
      <c r="P29" s="18">
        <f t="shared" si="15"/>
        <v>0.43333333333333335</v>
      </c>
      <c r="Q29" s="18">
        <f t="shared" si="15"/>
        <v>0.3666666666666667</v>
      </c>
    </row>
    <row r="30" spans="1:17">
      <c r="A30" s="7" t="s">
        <v>85</v>
      </c>
      <c r="B30" s="18">
        <f t="shared" ref="B30:Q30" si="16">B27/$B27</f>
        <v>1</v>
      </c>
      <c r="C30" s="18">
        <f t="shared" si="16"/>
        <v>1.2</v>
      </c>
      <c r="D30" s="18">
        <f t="shared" si="16"/>
        <v>0.79999999999999993</v>
      </c>
      <c r="E30" s="18">
        <f t="shared" si="16"/>
        <v>0.83333333333333337</v>
      </c>
      <c r="F30" s="18">
        <f t="shared" si="16"/>
        <v>1.4000000000000001</v>
      </c>
      <c r="G30" s="18">
        <f t="shared" si="16"/>
        <v>0.6</v>
      </c>
      <c r="H30" s="18">
        <f t="shared" si="16"/>
        <v>0.76666666666666661</v>
      </c>
      <c r="I30" s="18">
        <f t="shared" si="16"/>
        <v>0.79999999999999993</v>
      </c>
      <c r="J30" s="18">
        <f t="shared" si="16"/>
        <v>0.5</v>
      </c>
      <c r="K30" s="18">
        <f t="shared" si="16"/>
        <v>0.70000000000000007</v>
      </c>
      <c r="L30" s="18">
        <f t="shared" si="16"/>
        <v>0.76666666666666661</v>
      </c>
      <c r="M30" s="18">
        <f t="shared" si="16"/>
        <v>0.70000000000000007</v>
      </c>
      <c r="N30" s="18">
        <f t="shared" si="16"/>
        <v>0.66666666666666663</v>
      </c>
      <c r="O30" s="18">
        <f t="shared" si="16"/>
        <v>0.70000000000000007</v>
      </c>
      <c r="P30" s="18">
        <f t="shared" si="16"/>
        <v>0.5</v>
      </c>
      <c r="Q30" s="18">
        <f t="shared" si="16"/>
        <v>0.46666666666666662</v>
      </c>
    </row>
    <row r="32" spans="1:17">
      <c r="A32" s="7" t="s">
        <v>86</v>
      </c>
      <c r="B32" s="19">
        <f t="shared" ref="B32:Q32" si="17">HARMEAN(B26,B28)</f>
        <v>0.56603773584905659</v>
      </c>
      <c r="C32" s="19">
        <f t="shared" si="17"/>
        <v>0.58299595141700411</v>
      </c>
      <c r="D32" s="19">
        <f t="shared" si="17"/>
        <v>0.396039603960396</v>
      </c>
      <c r="E32" s="19">
        <f t="shared" si="17"/>
        <v>0.43720190779014312</v>
      </c>
      <c r="F32" s="19">
        <f t="shared" si="17"/>
        <v>0.58392675483214651</v>
      </c>
      <c r="G32" s="19">
        <f t="shared" si="17"/>
        <v>0.22876949740034663</v>
      </c>
      <c r="H32" s="19">
        <f t="shared" si="17"/>
        <v>0.3951890034364261</v>
      </c>
      <c r="I32" s="19">
        <f t="shared" si="17"/>
        <v>0.3529411764705882</v>
      </c>
      <c r="J32" s="19">
        <f t="shared" si="17"/>
        <v>0.2608695652173913</v>
      </c>
      <c r="K32" s="19">
        <f t="shared" si="17"/>
        <v>0.31019202363367798</v>
      </c>
      <c r="L32" s="19">
        <f t="shared" si="17"/>
        <v>0.36475770925110129</v>
      </c>
      <c r="M32" s="19">
        <f t="shared" si="17"/>
        <v>0.2608695652173913</v>
      </c>
      <c r="N32" s="19">
        <f t="shared" si="17"/>
        <v>0.25052192066805845</v>
      </c>
      <c r="O32" s="19">
        <f t="shared" si="17"/>
        <v>0.35034347399411186</v>
      </c>
      <c r="P32" s="19">
        <f t="shared" si="17"/>
        <v>0.26621160409556316</v>
      </c>
      <c r="Q32" s="19">
        <f t="shared" si="17"/>
        <v>0.24194815396700708</v>
      </c>
    </row>
    <row r="33" spans="1:17">
      <c r="A33" s="7" t="s">
        <v>87</v>
      </c>
      <c r="B33" s="19">
        <f t="shared" ref="B33:Q33" si="18">HARMEAN(B27,B28)</f>
        <v>0.56603773584905659</v>
      </c>
      <c r="C33" s="19">
        <f t="shared" si="18"/>
        <v>0.63157894736842102</v>
      </c>
      <c r="D33" s="19">
        <f t="shared" si="18"/>
        <v>0.45283018867924524</v>
      </c>
      <c r="E33" s="19">
        <f t="shared" si="18"/>
        <v>0.48076923076923084</v>
      </c>
      <c r="F33" s="19">
        <f t="shared" si="18"/>
        <v>0.59154929577464799</v>
      </c>
      <c r="G33" s="19">
        <f t="shared" si="18"/>
        <v>0.33027522935779818</v>
      </c>
      <c r="H33" s="19">
        <f t="shared" si="18"/>
        <v>0.43809523809523809</v>
      </c>
      <c r="I33" s="19">
        <f t="shared" si="18"/>
        <v>0.4137931034482758</v>
      </c>
      <c r="J33" s="19">
        <f t="shared" si="18"/>
        <v>0.3125</v>
      </c>
      <c r="K33" s="19">
        <f t="shared" si="18"/>
        <v>0.4</v>
      </c>
      <c r="L33" s="19">
        <f t="shared" si="18"/>
        <v>0.43809523809523809</v>
      </c>
      <c r="M33" s="19">
        <f t="shared" si="18"/>
        <v>0.40384615384615391</v>
      </c>
      <c r="N33" s="19">
        <f t="shared" si="18"/>
        <v>0.36697247706422015</v>
      </c>
      <c r="O33" s="19">
        <f t="shared" si="18"/>
        <v>0.41176470588235298</v>
      </c>
      <c r="P33" s="19">
        <f t="shared" si="18"/>
        <v>0.29702970297029702</v>
      </c>
      <c r="Q33" s="19">
        <f t="shared" si="18"/>
        <v>0.29473684210526313</v>
      </c>
    </row>
    <row r="34" spans="1:17">
      <c r="A34" s="7" t="s">
        <v>88</v>
      </c>
      <c r="B34" s="19">
        <f t="shared" ref="B34:Q34" si="19">(1+2^2)*B28*B26/(2^2*B28+B26)</f>
        <v>0.44910179640718567</v>
      </c>
      <c r="C34" s="19">
        <f t="shared" si="19"/>
        <v>0.47368421052631576</v>
      </c>
      <c r="D34" s="19">
        <f t="shared" si="19"/>
        <v>0.303951367781155</v>
      </c>
      <c r="E34" s="19">
        <f t="shared" si="19"/>
        <v>0.33471275559883157</v>
      </c>
      <c r="F34" s="19">
        <f t="shared" si="19"/>
        <v>0.55641721597518423</v>
      </c>
      <c r="G34" s="19">
        <f t="shared" si="19"/>
        <v>0.16966580976863754</v>
      </c>
      <c r="H34" s="19">
        <f t="shared" si="19"/>
        <v>0.30375066032752246</v>
      </c>
      <c r="I34" s="19">
        <f t="shared" si="19"/>
        <v>0.28301886792452829</v>
      </c>
      <c r="J34" s="19">
        <f t="shared" si="19"/>
        <v>0.18749999999999997</v>
      </c>
      <c r="K34" s="19">
        <f t="shared" si="19"/>
        <v>0.23097228332600089</v>
      </c>
      <c r="L34" s="19">
        <f t="shared" si="19"/>
        <v>0.27548575991482566</v>
      </c>
      <c r="M34" s="19">
        <f t="shared" si="19"/>
        <v>0.18749999999999997</v>
      </c>
      <c r="N34" s="19">
        <f t="shared" si="19"/>
        <v>0.18529956763434216</v>
      </c>
      <c r="O34" s="19">
        <f t="shared" si="19"/>
        <v>0.26150014649868147</v>
      </c>
      <c r="P34" s="19">
        <f t="shared" si="19"/>
        <v>0.19959058341862848</v>
      </c>
      <c r="Q34" s="19">
        <f t="shared" si="19"/>
        <v>0.17245240761478164</v>
      </c>
    </row>
    <row r="35" spans="1:17">
      <c r="A35" s="7" t="s">
        <v>89</v>
      </c>
      <c r="B35" s="19">
        <f t="shared" ref="B35:Q35" si="20">(1+2^2)*B28*B27/(2^2*B28+B27)</f>
        <v>0.44910179640718567</v>
      </c>
      <c r="C35" s="19">
        <f t="shared" si="20"/>
        <v>0.52631578947368429</v>
      </c>
      <c r="D35" s="19">
        <f t="shared" si="20"/>
        <v>0.35928143712574845</v>
      </c>
      <c r="E35" s="19">
        <f t="shared" si="20"/>
        <v>0.37650602409638556</v>
      </c>
      <c r="F35" s="19">
        <f t="shared" si="20"/>
        <v>0.56756756756756754</v>
      </c>
      <c r="G35" s="19">
        <f t="shared" si="20"/>
        <v>0.26706231454005935</v>
      </c>
      <c r="H35" s="19">
        <f t="shared" si="20"/>
        <v>0.34534534534534533</v>
      </c>
      <c r="I35" s="19">
        <f t="shared" si="20"/>
        <v>0.34883720930232553</v>
      </c>
      <c r="J35" s="19">
        <f t="shared" si="20"/>
        <v>0.23148148148148151</v>
      </c>
      <c r="K35" s="19">
        <f t="shared" si="20"/>
        <v>0.31531531531531531</v>
      </c>
      <c r="L35" s="19">
        <f t="shared" si="20"/>
        <v>0.34534534534534533</v>
      </c>
      <c r="M35" s="19">
        <f t="shared" si="20"/>
        <v>0.3162650602409639</v>
      </c>
      <c r="N35" s="19">
        <f t="shared" si="20"/>
        <v>0.29673590504451036</v>
      </c>
      <c r="O35" s="19">
        <f t="shared" si="20"/>
        <v>0.31818181818181818</v>
      </c>
      <c r="P35" s="19">
        <f t="shared" si="20"/>
        <v>0.22796352583586627</v>
      </c>
      <c r="Q35" s="19">
        <f t="shared" si="20"/>
        <v>0.21671826625386997</v>
      </c>
    </row>
    <row r="36" spans="1:17">
      <c r="A36" s="7" t="s">
        <v>90</v>
      </c>
      <c r="B36" s="19">
        <f t="shared" ref="B36:Q36" si="21">(1+0.5^2)*B28*B26/(0.5^2*B28+B26)</f>
        <v>0.76530612244897966</v>
      </c>
      <c r="C36" s="19">
        <f t="shared" si="21"/>
        <v>0.75789473684210529</v>
      </c>
      <c r="D36" s="19">
        <f t="shared" si="21"/>
        <v>0.56818181818181812</v>
      </c>
      <c r="E36" s="19">
        <f t="shared" si="21"/>
        <v>0.63015582034830431</v>
      </c>
      <c r="F36" s="19">
        <f t="shared" si="21"/>
        <v>0.61429794520547942</v>
      </c>
      <c r="G36" s="19">
        <f t="shared" si="21"/>
        <v>0.35106382978723405</v>
      </c>
      <c r="H36" s="19">
        <f t="shared" si="21"/>
        <v>0.56538839724680434</v>
      </c>
      <c r="I36" s="19">
        <f t="shared" si="21"/>
        <v>0.46875</v>
      </c>
      <c r="J36" s="19">
        <f t="shared" si="21"/>
        <v>0.42857142857142855</v>
      </c>
      <c r="K36" s="19">
        <f t="shared" si="21"/>
        <v>0.47212230215827333</v>
      </c>
      <c r="L36" s="19">
        <f t="shared" si="21"/>
        <v>0.53962460896767472</v>
      </c>
      <c r="M36" s="19">
        <f t="shared" si="21"/>
        <v>0.42857142857142855</v>
      </c>
      <c r="N36" s="19">
        <f t="shared" si="21"/>
        <v>0.3865979381443298</v>
      </c>
      <c r="O36" s="19">
        <f t="shared" si="21"/>
        <v>0.53061831153388817</v>
      </c>
      <c r="P36" s="19">
        <f t="shared" si="21"/>
        <v>0.39959016393442626</v>
      </c>
      <c r="Q36" s="19">
        <f t="shared" si="21"/>
        <v>0.40526315789473683</v>
      </c>
    </row>
    <row r="37" spans="1:17">
      <c r="A37" s="7" t="s">
        <v>91</v>
      </c>
      <c r="B37" s="19">
        <f t="shared" ref="B37:Q37" si="22">(1+0.5^2)*B28*B27/(0.5^2*B28+B27)</f>
        <v>0.76530612244897966</v>
      </c>
      <c r="C37" s="19">
        <f t="shared" si="22"/>
        <v>0.78947368421052633</v>
      </c>
      <c r="D37" s="19">
        <f t="shared" si="22"/>
        <v>0.61224489795918358</v>
      </c>
      <c r="E37" s="19">
        <f t="shared" si="22"/>
        <v>0.66489361702127658</v>
      </c>
      <c r="F37" s="19">
        <f t="shared" si="22"/>
        <v>0.61764705882352944</v>
      </c>
      <c r="G37" s="19">
        <f t="shared" si="22"/>
        <v>0.43269230769230771</v>
      </c>
      <c r="H37" s="19">
        <f t="shared" si="22"/>
        <v>0.59895833333333348</v>
      </c>
      <c r="I37" s="19">
        <f t="shared" si="22"/>
        <v>0.50847457627118642</v>
      </c>
      <c r="J37" s="19">
        <f t="shared" si="22"/>
        <v>0.48076923076923078</v>
      </c>
      <c r="K37" s="19">
        <f t="shared" si="22"/>
        <v>0.54687499999999989</v>
      </c>
      <c r="L37" s="19">
        <f t="shared" si="22"/>
        <v>0.59895833333333348</v>
      </c>
      <c r="M37" s="19">
        <f t="shared" si="22"/>
        <v>0.5585106382978724</v>
      </c>
      <c r="N37" s="19">
        <f t="shared" si="22"/>
        <v>0.48076923076923067</v>
      </c>
      <c r="O37" s="19">
        <f t="shared" si="22"/>
        <v>0.58333333333333326</v>
      </c>
      <c r="P37" s="19">
        <f t="shared" si="22"/>
        <v>0.42613636363636365</v>
      </c>
      <c r="Q37" s="19">
        <f t="shared" si="22"/>
        <v>0.46052631578947367</v>
      </c>
    </row>
    <row r="38" spans="1:17">
      <c r="A38" s="7" t="s">
        <v>92</v>
      </c>
      <c r="B38" s="19">
        <f t="shared" ref="B38:Q38" si="23">(1+2^2)*B28*B29/(2^2*B28+B29)</f>
        <v>1</v>
      </c>
      <c r="C38" s="19">
        <f t="shared" si="23"/>
        <v>1.0404624277456647</v>
      </c>
      <c r="D38" s="19">
        <f t="shared" si="23"/>
        <v>0.68965517241379304</v>
      </c>
      <c r="E38" s="19">
        <f t="shared" si="23"/>
        <v>0.76050884955752207</v>
      </c>
      <c r="F38" s="19">
        <f t="shared" si="23"/>
        <v>1.1115414407436097</v>
      </c>
      <c r="G38" s="19">
        <f t="shared" si="23"/>
        <v>0.39239001189060646</v>
      </c>
      <c r="H38" s="19">
        <f t="shared" si="23"/>
        <v>0.68862275449101795</v>
      </c>
      <c r="I38" s="19">
        <f t="shared" si="23"/>
        <v>0.62637362637362637</v>
      </c>
      <c r="J38" s="19">
        <f t="shared" si="23"/>
        <v>0.44117647058823523</v>
      </c>
      <c r="K38" s="19">
        <f t="shared" si="23"/>
        <v>0.53299492385786795</v>
      </c>
      <c r="L38" s="19">
        <f t="shared" si="23"/>
        <v>0.63071297989031072</v>
      </c>
      <c r="M38" s="19">
        <f t="shared" si="23"/>
        <v>0.44117647058823523</v>
      </c>
      <c r="N38" s="19">
        <f t="shared" si="23"/>
        <v>0.42918454935622313</v>
      </c>
      <c r="O38" s="19">
        <f t="shared" si="23"/>
        <v>0.60263335584064825</v>
      </c>
      <c r="P38" s="19">
        <f t="shared" si="23"/>
        <v>0.4588235294117648</v>
      </c>
      <c r="Q38" s="19">
        <f t="shared" si="23"/>
        <v>0.40762308099523559</v>
      </c>
    </row>
    <row r="39" spans="1:17">
      <c r="A39" s="7" t="s">
        <v>93</v>
      </c>
      <c r="B39" s="19">
        <f t="shared" ref="B39:Q39" si="24">(1+2^2)*B28*B30/(2^2*B28+B30)</f>
        <v>1</v>
      </c>
      <c r="C39" s="19">
        <f t="shared" si="24"/>
        <v>1.1392405063291138</v>
      </c>
      <c r="D39" s="19">
        <f t="shared" si="24"/>
        <v>0.79999999999999993</v>
      </c>
      <c r="E39" s="19">
        <f t="shared" si="24"/>
        <v>0.84459459459459452</v>
      </c>
      <c r="F39" s="19">
        <f t="shared" si="24"/>
        <v>1.1290322580645162</v>
      </c>
      <c r="G39" s="19">
        <f t="shared" si="24"/>
        <v>0.58823529411764708</v>
      </c>
      <c r="H39" s="19">
        <f t="shared" si="24"/>
        <v>0.77181208053691264</v>
      </c>
      <c r="I39" s="19">
        <f t="shared" si="24"/>
        <v>0.75</v>
      </c>
      <c r="J39" s="19">
        <f t="shared" si="24"/>
        <v>0.5357142857142857</v>
      </c>
      <c r="K39" s="19">
        <f t="shared" si="24"/>
        <v>0.7046979865771813</v>
      </c>
      <c r="L39" s="19">
        <f t="shared" si="24"/>
        <v>0.77181208053691264</v>
      </c>
      <c r="M39" s="19">
        <f t="shared" si="24"/>
        <v>0.70945945945945954</v>
      </c>
      <c r="N39" s="19">
        <f t="shared" si="24"/>
        <v>0.65359477124182996</v>
      </c>
      <c r="O39" s="19">
        <f t="shared" si="24"/>
        <v>0.71917808219178081</v>
      </c>
      <c r="P39" s="19">
        <f t="shared" si="24"/>
        <v>0.51724137931034486</v>
      </c>
      <c r="Q39" s="19">
        <f t="shared" si="24"/>
        <v>0.50359712230215825</v>
      </c>
    </row>
    <row r="41" spans="1:17">
      <c r="A41" s="20" t="s">
        <v>94</v>
      </c>
      <c r="B41" s="53">
        <v>0.1</v>
      </c>
      <c r="C41" s="53"/>
      <c r="D41" s="21" t="s">
        <v>95</v>
      </c>
    </row>
    <row r="42" spans="1:17">
      <c r="A42" s="20" t="s">
        <v>96</v>
      </c>
      <c r="B42" s="45">
        <f>ABS(NORMSINV(B41/2))</f>
        <v>1.6448536269514726</v>
      </c>
      <c r="C42" s="45"/>
    </row>
    <row r="44" spans="1:17">
      <c r="A44" s="7" t="s">
        <v>97</v>
      </c>
      <c r="B44" s="22"/>
      <c r="C44" s="22">
        <f t="shared" ref="C44:Q44" si="25">(C26+$B$42^2/(2*C$17))/(1+($B$42^2/C$17))</f>
        <v>0.42376648789040544</v>
      </c>
      <c r="D44" s="22">
        <f t="shared" si="25"/>
        <v>0.27129946367121643</v>
      </c>
      <c r="E44" s="22">
        <f t="shared" si="25"/>
        <v>0.29671063437441464</v>
      </c>
      <c r="F44" s="22">
        <f t="shared" si="25"/>
        <v>0.53811675605479725</v>
      </c>
      <c r="G44" s="22">
        <f t="shared" si="25"/>
        <v>0.15694919550682471</v>
      </c>
      <c r="H44" s="22">
        <f t="shared" si="25"/>
        <v>0.27129946367121643</v>
      </c>
      <c r="I44" s="22">
        <f t="shared" si="25"/>
        <v>0.25859387831961739</v>
      </c>
      <c r="J44" s="22">
        <f t="shared" si="25"/>
        <v>0.16965478085842378</v>
      </c>
      <c r="K44" s="22">
        <f t="shared" si="25"/>
        <v>0.20777153691322106</v>
      </c>
      <c r="L44" s="22">
        <f t="shared" si="25"/>
        <v>0.24588829296801828</v>
      </c>
      <c r="M44" s="22">
        <f t="shared" si="25"/>
        <v>0.16965478085842378</v>
      </c>
      <c r="N44" s="22">
        <f t="shared" si="25"/>
        <v>0.16965478085842378</v>
      </c>
      <c r="O44" s="22">
        <f t="shared" si="25"/>
        <v>0.23318270761641921</v>
      </c>
      <c r="P44" s="22">
        <f t="shared" si="25"/>
        <v>0.18236036621002288</v>
      </c>
      <c r="Q44" s="22">
        <f t="shared" si="25"/>
        <v>0.15694919550682471</v>
      </c>
    </row>
    <row r="45" spans="1:17">
      <c r="A45" s="16" t="s">
        <v>98</v>
      </c>
      <c r="B45" s="23" t="s">
        <v>99</v>
      </c>
      <c r="C45" s="22">
        <f t="shared" ref="C45:Q45" si="26">1/(1+$B$42^2/C$17)*$B$42*SQRT((C26*(1-C26)/C$17)+$B$42^2/(4*C$17^2))</f>
        <v>9.1580519334813398E-2</v>
      </c>
      <c r="D45" s="22">
        <f t="shared" si="26"/>
        <v>8.2048139148722901E-2</v>
      </c>
      <c r="E45" s="22">
        <f t="shared" si="26"/>
        <v>8.4395991088063782E-2</v>
      </c>
      <c r="F45" s="22">
        <f t="shared" si="26"/>
        <v>9.2423788172318291E-2</v>
      </c>
      <c r="G45" s="22">
        <f t="shared" si="26"/>
        <v>6.6365809423653707E-2</v>
      </c>
      <c r="H45" s="22">
        <f t="shared" si="26"/>
        <v>8.2048139148722901E-2</v>
      </c>
      <c r="I45" s="22">
        <f t="shared" si="26"/>
        <v>8.074195615840267E-2</v>
      </c>
      <c r="J45" s="22">
        <f t="shared" si="26"/>
        <v>6.8622183016369076E-2</v>
      </c>
      <c r="K45" s="22">
        <f t="shared" si="26"/>
        <v>7.4523766412894238E-2</v>
      </c>
      <c r="L45" s="22">
        <f t="shared" si="26"/>
        <v>7.9341893850623291E-2</v>
      </c>
      <c r="M45" s="22">
        <f t="shared" si="26"/>
        <v>6.8622183016369076E-2</v>
      </c>
      <c r="N45" s="22">
        <f t="shared" si="26"/>
        <v>6.8622183016369076E-2</v>
      </c>
      <c r="O45" s="22">
        <f t="shared" si="26"/>
        <v>7.7842886921816179E-2</v>
      </c>
      <c r="P45" s="22">
        <f t="shared" si="26"/>
        <v>7.0725480785982023E-2</v>
      </c>
      <c r="Q45" s="22">
        <f t="shared" si="26"/>
        <v>6.6365809423653707E-2</v>
      </c>
    </row>
    <row r="46" spans="1:17">
      <c r="A46" s="16" t="s">
        <v>100</v>
      </c>
      <c r="B46" s="22"/>
      <c r="C46" s="22">
        <f t="shared" ref="C46:Q46" si="27">C44-C45</f>
        <v>0.33218596855559201</v>
      </c>
      <c r="D46" s="22">
        <f t="shared" si="27"/>
        <v>0.18925132452249355</v>
      </c>
      <c r="E46" s="22">
        <f t="shared" si="27"/>
        <v>0.21231464328635086</v>
      </c>
      <c r="F46" s="22">
        <f t="shared" si="27"/>
        <v>0.44569296788247897</v>
      </c>
      <c r="G46" s="22">
        <f t="shared" si="27"/>
        <v>9.0583386083171E-2</v>
      </c>
      <c r="H46" s="22">
        <f t="shared" si="27"/>
        <v>0.18925132452249355</v>
      </c>
      <c r="I46" s="22">
        <f t="shared" si="27"/>
        <v>0.1778519221612147</v>
      </c>
      <c r="J46" s="22">
        <f t="shared" si="27"/>
        <v>0.10103259784205471</v>
      </c>
      <c r="K46" s="22">
        <f t="shared" si="27"/>
        <v>0.13324777050032682</v>
      </c>
      <c r="L46" s="22">
        <f t="shared" si="27"/>
        <v>0.16654639911739499</v>
      </c>
      <c r="M46" s="22">
        <f t="shared" si="27"/>
        <v>0.10103259784205471</v>
      </c>
      <c r="N46" s="22">
        <f t="shared" si="27"/>
        <v>0.10103259784205471</v>
      </c>
      <c r="O46" s="22">
        <f t="shared" si="27"/>
        <v>0.15533982069460303</v>
      </c>
      <c r="P46" s="22">
        <f t="shared" si="27"/>
        <v>0.11163488542404086</v>
      </c>
      <c r="Q46" s="22">
        <f t="shared" si="27"/>
        <v>9.0583386083171E-2</v>
      </c>
    </row>
    <row r="47" spans="1:17">
      <c r="A47" s="16" t="s">
        <v>101</v>
      </c>
      <c r="B47" s="22"/>
      <c r="C47" s="22">
        <f t="shared" ref="C47:Q47" si="28">C44+C45</f>
        <v>0.51534700722521887</v>
      </c>
      <c r="D47" s="22">
        <f t="shared" si="28"/>
        <v>0.35334760281993932</v>
      </c>
      <c r="E47" s="22">
        <f t="shared" si="28"/>
        <v>0.38110662546247842</v>
      </c>
      <c r="F47" s="22">
        <f t="shared" si="28"/>
        <v>0.63054054422711558</v>
      </c>
      <c r="G47" s="22">
        <f t="shared" si="28"/>
        <v>0.2233150049304784</v>
      </c>
      <c r="H47" s="22">
        <f t="shared" si="28"/>
        <v>0.35334760281993932</v>
      </c>
      <c r="I47" s="22">
        <f t="shared" si="28"/>
        <v>0.33933583447802007</v>
      </c>
      <c r="J47" s="22">
        <f t="shared" si="28"/>
        <v>0.23827696387479286</v>
      </c>
      <c r="K47" s="22">
        <f t="shared" si="28"/>
        <v>0.2822953033261153</v>
      </c>
      <c r="L47" s="22">
        <f t="shared" si="28"/>
        <v>0.32523018681864158</v>
      </c>
      <c r="M47" s="22">
        <f t="shared" si="28"/>
        <v>0.23827696387479286</v>
      </c>
      <c r="N47" s="22">
        <f t="shared" si="28"/>
        <v>0.23827696387479286</v>
      </c>
      <c r="O47" s="22">
        <f t="shared" si="28"/>
        <v>0.31102559453823542</v>
      </c>
      <c r="P47" s="22">
        <f t="shared" si="28"/>
        <v>0.25308584699600489</v>
      </c>
      <c r="Q47" s="22">
        <f t="shared" si="28"/>
        <v>0.2233150049304784</v>
      </c>
    </row>
    <row r="49" spans="1:20">
      <c r="A49" s="7" t="s">
        <v>102</v>
      </c>
      <c r="C49" s="22">
        <f t="shared" ref="C49:Q49" si="29">(C27+$B$42^2/(2*C$17))/(1+($B$42^2/C$17))</f>
        <v>0.4745888292968018</v>
      </c>
      <c r="D49" s="22">
        <f t="shared" si="29"/>
        <v>0.32212180507761279</v>
      </c>
      <c r="E49" s="22">
        <f t="shared" si="29"/>
        <v>0.33482739042921189</v>
      </c>
      <c r="F49" s="22">
        <f t="shared" si="29"/>
        <v>0.55082234140639641</v>
      </c>
      <c r="G49" s="22">
        <f t="shared" si="29"/>
        <v>0.24588829296801828</v>
      </c>
      <c r="H49" s="22">
        <f t="shared" si="29"/>
        <v>0.30941621972601369</v>
      </c>
      <c r="I49" s="22">
        <f t="shared" si="29"/>
        <v>0.32212180507761279</v>
      </c>
      <c r="J49" s="22">
        <f t="shared" si="29"/>
        <v>0.20777153691322106</v>
      </c>
      <c r="K49" s="22">
        <f t="shared" si="29"/>
        <v>0.28400504902281554</v>
      </c>
      <c r="L49" s="22">
        <f t="shared" si="29"/>
        <v>0.30941621972601369</v>
      </c>
      <c r="M49" s="22">
        <f t="shared" si="29"/>
        <v>0.28400504902281554</v>
      </c>
      <c r="N49" s="22">
        <f t="shared" si="29"/>
        <v>0.27129946367121643</v>
      </c>
      <c r="O49" s="22">
        <f t="shared" si="29"/>
        <v>0.28400504902281554</v>
      </c>
      <c r="P49" s="22">
        <f t="shared" si="29"/>
        <v>0.20777153691322106</v>
      </c>
      <c r="Q49" s="22">
        <f t="shared" si="29"/>
        <v>0.19506595156162196</v>
      </c>
    </row>
    <row r="50" spans="1:20">
      <c r="A50" s="16" t="s">
        <v>98</v>
      </c>
      <c r="B50" s="23" t="s">
        <v>99</v>
      </c>
      <c r="C50" s="22">
        <f t="shared" ref="C50:Q50" si="30">1/(1+$B$42^2/C$17)*$B$42*SQRT((C27*(1-C27)/C$17)+$B$42^2/(4*C$17^2))</f>
        <v>9.2579106161267494E-2</v>
      </c>
      <c r="D50" s="22">
        <f t="shared" si="30"/>
        <v>8.6414666820561259E-2</v>
      </c>
      <c r="E50" s="22">
        <f t="shared" si="30"/>
        <v>8.7307844665849135E-2</v>
      </c>
      <c r="F50" s="22">
        <f t="shared" si="30"/>
        <v>9.2205903453221591E-2</v>
      </c>
      <c r="G50" s="22">
        <f t="shared" si="30"/>
        <v>7.9341893850623291E-2</v>
      </c>
      <c r="H50" s="22">
        <f t="shared" si="30"/>
        <v>8.5444928651278715E-2</v>
      </c>
      <c r="I50" s="22">
        <f t="shared" si="30"/>
        <v>8.6414666820561259E-2</v>
      </c>
      <c r="J50" s="22">
        <f t="shared" si="30"/>
        <v>7.4523766412894238E-2</v>
      </c>
      <c r="K50" s="22">
        <f t="shared" si="30"/>
        <v>8.3264861017429803E-2</v>
      </c>
      <c r="L50" s="22">
        <f t="shared" si="30"/>
        <v>8.5444928651278715E-2</v>
      </c>
      <c r="M50" s="22">
        <f t="shared" si="30"/>
        <v>8.3264861017429803E-2</v>
      </c>
      <c r="N50" s="22">
        <f t="shared" si="30"/>
        <v>8.2048139148722901E-2</v>
      </c>
      <c r="O50" s="22">
        <f t="shared" si="30"/>
        <v>8.3264861017429803E-2</v>
      </c>
      <c r="P50" s="22">
        <f t="shared" si="30"/>
        <v>7.4523766412894238E-2</v>
      </c>
      <c r="Q50" s="22">
        <f t="shared" si="30"/>
        <v>7.2688991958105326E-2</v>
      </c>
    </row>
    <row r="51" spans="1:20">
      <c r="A51" s="16" t="s">
        <v>100</v>
      </c>
      <c r="C51" s="22">
        <f t="shared" ref="C51:Q51" si="31">C49-C50</f>
        <v>0.38200972313553427</v>
      </c>
      <c r="D51" s="22">
        <f t="shared" si="31"/>
        <v>0.23570713825705153</v>
      </c>
      <c r="E51" s="22">
        <f t="shared" si="31"/>
        <v>0.24751954576336277</v>
      </c>
      <c r="F51" s="22">
        <f t="shared" si="31"/>
        <v>0.4586164379531748</v>
      </c>
      <c r="G51" s="22">
        <f t="shared" si="31"/>
        <v>0.16654639911739499</v>
      </c>
      <c r="H51" s="22">
        <f t="shared" si="31"/>
        <v>0.22397129107473496</v>
      </c>
      <c r="I51" s="22">
        <f t="shared" si="31"/>
        <v>0.23570713825705153</v>
      </c>
      <c r="J51" s="22">
        <f t="shared" si="31"/>
        <v>0.13324777050032682</v>
      </c>
      <c r="K51" s="22">
        <f t="shared" si="31"/>
        <v>0.20074018800538573</v>
      </c>
      <c r="L51" s="22">
        <f t="shared" si="31"/>
        <v>0.22397129107473496</v>
      </c>
      <c r="M51" s="22">
        <f t="shared" si="31"/>
        <v>0.20074018800538573</v>
      </c>
      <c r="N51" s="22">
        <f t="shared" si="31"/>
        <v>0.18925132452249355</v>
      </c>
      <c r="O51" s="22">
        <f t="shared" si="31"/>
        <v>0.20074018800538573</v>
      </c>
      <c r="P51" s="22">
        <f t="shared" si="31"/>
        <v>0.13324777050032682</v>
      </c>
      <c r="Q51" s="22">
        <f t="shared" si="31"/>
        <v>0.12237695960351663</v>
      </c>
    </row>
    <row r="52" spans="1:20">
      <c r="A52" s="16" t="s">
        <v>101</v>
      </c>
      <c r="C52" s="22">
        <f t="shared" ref="C52:Q52" si="32">C49+C50</f>
        <v>0.56716793545806932</v>
      </c>
      <c r="D52" s="22">
        <f t="shared" si="32"/>
        <v>0.40853647189817405</v>
      </c>
      <c r="E52" s="22">
        <f t="shared" si="32"/>
        <v>0.42213523509506101</v>
      </c>
      <c r="F52" s="22">
        <f t="shared" si="32"/>
        <v>0.64302824485961796</v>
      </c>
      <c r="G52" s="22">
        <f t="shared" si="32"/>
        <v>0.32523018681864158</v>
      </c>
      <c r="H52" s="22">
        <f t="shared" si="32"/>
        <v>0.39486114837729241</v>
      </c>
      <c r="I52" s="22">
        <f t="shared" si="32"/>
        <v>0.40853647189817405</v>
      </c>
      <c r="J52" s="22">
        <f t="shared" si="32"/>
        <v>0.2822953033261153</v>
      </c>
      <c r="K52" s="22">
        <f t="shared" si="32"/>
        <v>0.36726991004024534</v>
      </c>
      <c r="L52" s="22">
        <f t="shared" si="32"/>
        <v>0.39486114837729241</v>
      </c>
      <c r="M52" s="22">
        <f t="shared" si="32"/>
        <v>0.36726991004024534</v>
      </c>
      <c r="N52" s="22">
        <f t="shared" si="32"/>
        <v>0.35334760281993932</v>
      </c>
      <c r="O52" s="22">
        <f t="shared" si="32"/>
        <v>0.36726991004024534</v>
      </c>
      <c r="P52" s="22">
        <f t="shared" si="32"/>
        <v>0.2822953033261153</v>
      </c>
      <c r="Q52" s="22">
        <f t="shared" si="32"/>
        <v>0.26775494351972728</v>
      </c>
    </row>
    <row r="54" spans="1:20">
      <c r="A54" s="7" t="s">
        <v>103</v>
      </c>
      <c r="B54" s="22"/>
      <c r="C54" s="22">
        <f t="shared" ref="C54:Q54" si="33">(C28+$B$42^2/(2*C$17))/(1+($B$42^2/C$17))</f>
        <v>0.93198990195436893</v>
      </c>
      <c r="D54" s="22">
        <f t="shared" si="33"/>
        <v>0.78968734601645918</v>
      </c>
      <c r="E54" s="22">
        <f t="shared" si="33"/>
        <v>0.87935247692631557</v>
      </c>
      <c r="F54" s="22">
        <f t="shared" si="33"/>
        <v>0.63167606637111784</v>
      </c>
      <c r="G54" s="22">
        <f t="shared" si="33"/>
        <v>0.54389202212370591</v>
      </c>
      <c r="H54" s="22">
        <f t="shared" si="33"/>
        <v>0.78302786679768999</v>
      </c>
      <c r="I54" s="22">
        <f t="shared" si="33"/>
        <v>0.59656244867215302</v>
      </c>
      <c r="J54" s="22">
        <f t="shared" si="33"/>
        <v>0.74140612168038267</v>
      </c>
      <c r="K54" s="22">
        <f t="shared" si="33"/>
        <v>0.71643307460999828</v>
      </c>
      <c r="L54" s="22">
        <f t="shared" si="33"/>
        <v>0.78302786679768999</v>
      </c>
      <c r="M54" s="22">
        <f t="shared" si="33"/>
        <v>0.74140612168038267</v>
      </c>
      <c r="N54" s="22">
        <f t="shared" si="33"/>
        <v>0.60241471828864723</v>
      </c>
      <c r="O54" s="22">
        <f t="shared" si="33"/>
        <v>0.79711522668354784</v>
      </c>
      <c r="P54" s="22">
        <f t="shared" si="33"/>
        <v>0.59656244867215302</v>
      </c>
      <c r="Q54" s="22">
        <f t="shared" si="33"/>
        <v>0.72870053632878351</v>
      </c>
    </row>
    <row r="55" spans="1:20">
      <c r="A55" s="16" t="s">
        <v>98</v>
      </c>
      <c r="B55" s="23" t="s">
        <v>99</v>
      </c>
      <c r="C55" s="22">
        <f t="shared" ref="C55:Q55" si="34">1/(1+$B$42^2/C$17)*$B$42*SQRT((C28*(1-C28)/C$17)+$B$42^2/(4*C$17^2))</f>
        <v>4.4164616630912742E-2</v>
      </c>
      <c r="D55" s="22">
        <f t="shared" si="34"/>
        <v>7.4876117398936751E-2</v>
      </c>
      <c r="E55" s="22">
        <f t="shared" si="34"/>
        <v>5.8913918972477192E-2</v>
      </c>
      <c r="F55" s="22">
        <f t="shared" si="34"/>
        <v>8.9312023502791812E-2</v>
      </c>
      <c r="G55" s="22">
        <f t="shared" si="34"/>
        <v>9.2332529538680777E-2</v>
      </c>
      <c r="H55" s="22">
        <f t="shared" si="34"/>
        <v>7.5777358010846535E-2</v>
      </c>
      <c r="I55" s="22">
        <f t="shared" si="34"/>
        <v>9.0895214098236546E-2</v>
      </c>
      <c r="J55" s="22">
        <f t="shared" si="34"/>
        <v>8.074195615840267E-2</v>
      </c>
      <c r="K55" s="22">
        <f t="shared" si="34"/>
        <v>8.3224350728843696E-2</v>
      </c>
      <c r="L55" s="22">
        <f t="shared" si="34"/>
        <v>7.5777358010846535E-2</v>
      </c>
      <c r="M55" s="22">
        <f t="shared" si="34"/>
        <v>8.074195615840267E-2</v>
      </c>
      <c r="N55" s="22">
        <f t="shared" si="34"/>
        <v>9.0666894457349642E-2</v>
      </c>
      <c r="O55" s="22">
        <f t="shared" si="34"/>
        <v>7.3832692610045325E-2</v>
      </c>
      <c r="P55" s="22">
        <f t="shared" si="34"/>
        <v>9.0895214098236546E-2</v>
      </c>
      <c r="Q55" s="22">
        <f t="shared" si="34"/>
        <v>8.2048139148722901E-2</v>
      </c>
    </row>
    <row r="56" spans="1:20">
      <c r="A56" s="16" t="s">
        <v>100</v>
      </c>
      <c r="B56" s="22"/>
      <c r="C56" s="22">
        <f t="shared" ref="C56:Q56" si="35">C54-C55</f>
        <v>0.88782528532345617</v>
      </c>
      <c r="D56" s="22">
        <f t="shared" si="35"/>
        <v>0.71481122861752244</v>
      </c>
      <c r="E56" s="22">
        <f t="shared" si="35"/>
        <v>0.82043855795383835</v>
      </c>
      <c r="F56" s="22">
        <f t="shared" si="35"/>
        <v>0.54236404286832607</v>
      </c>
      <c r="G56" s="22">
        <f t="shared" si="35"/>
        <v>0.45155949258502515</v>
      </c>
      <c r="H56" s="22">
        <f t="shared" si="35"/>
        <v>0.70725050878684348</v>
      </c>
      <c r="I56" s="22">
        <f t="shared" si="35"/>
        <v>0.50566723457391649</v>
      </c>
      <c r="J56" s="22">
        <f t="shared" si="35"/>
        <v>0.66066416552198004</v>
      </c>
      <c r="K56" s="22">
        <f t="shared" si="35"/>
        <v>0.63320872388115457</v>
      </c>
      <c r="L56" s="22">
        <f t="shared" si="35"/>
        <v>0.70725050878684348</v>
      </c>
      <c r="M56" s="22">
        <f t="shared" si="35"/>
        <v>0.66066416552198004</v>
      </c>
      <c r="N56" s="22">
        <f t="shared" si="35"/>
        <v>0.51174782383129758</v>
      </c>
      <c r="O56" s="22">
        <f t="shared" si="35"/>
        <v>0.72328253407350251</v>
      </c>
      <c r="P56" s="22">
        <f t="shared" si="35"/>
        <v>0.50566723457391649</v>
      </c>
      <c r="Q56" s="22">
        <f t="shared" si="35"/>
        <v>0.64665239718006062</v>
      </c>
    </row>
    <row r="57" spans="1:20">
      <c r="A57" s="16" t="s">
        <v>101</v>
      </c>
      <c r="B57" s="22"/>
      <c r="C57" s="22">
        <f t="shared" ref="C57:Q57" si="36">C54+C55</f>
        <v>0.97615451858528168</v>
      </c>
      <c r="D57" s="22">
        <f t="shared" si="36"/>
        <v>0.86456346341539592</v>
      </c>
      <c r="E57" s="22">
        <f t="shared" si="36"/>
        <v>0.93826639589879279</v>
      </c>
      <c r="F57" s="22">
        <f t="shared" si="36"/>
        <v>0.72098808987390961</v>
      </c>
      <c r="G57" s="22">
        <f t="shared" si="36"/>
        <v>0.63622455166238667</v>
      </c>
      <c r="H57" s="22">
        <f t="shared" si="36"/>
        <v>0.85880522480853649</v>
      </c>
      <c r="I57" s="22">
        <f t="shared" si="36"/>
        <v>0.68745766277038955</v>
      </c>
      <c r="J57" s="22">
        <f t="shared" si="36"/>
        <v>0.8221480778387853</v>
      </c>
      <c r="K57" s="22">
        <f t="shared" si="36"/>
        <v>0.79965742533884199</v>
      </c>
      <c r="L57" s="22">
        <f t="shared" si="36"/>
        <v>0.85880522480853649</v>
      </c>
      <c r="M57" s="22">
        <f t="shared" si="36"/>
        <v>0.8221480778387853</v>
      </c>
      <c r="N57" s="22">
        <f t="shared" si="36"/>
        <v>0.69308161274599689</v>
      </c>
      <c r="O57" s="22">
        <f t="shared" si="36"/>
        <v>0.87094791929359316</v>
      </c>
      <c r="P57" s="22">
        <f t="shared" si="36"/>
        <v>0.68745766277038955</v>
      </c>
      <c r="Q57" s="22">
        <f t="shared" si="36"/>
        <v>0.8107486754775064</v>
      </c>
    </row>
    <row r="59" spans="1:20">
      <c r="A59" s="12" t="s">
        <v>104</v>
      </c>
    </row>
    <row r="60" spans="1:20">
      <c r="T60" s="20" t="s">
        <v>105</v>
      </c>
    </row>
    <row r="61" spans="1:20">
      <c r="A61" s="16" t="s">
        <v>106</v>
      </c>
      <c r="B61">
        <v>30</v>
      </c>
      <c r="C61">
        <f>'{C} L0'!D35</f>
        <v>14</v>
      </c>
      <c r="D61">
        <f>'{C} L1'!D40</f>
        <v>9</v>
      </c>
      <c r="E61">
        <f>'{C} L2'!D35</f>
        <v>9</v>
      </c>
      <c r="F61">
        <f>'{C} L3'!D127</f>
        <v>42</v>
      </c>
      <c r="G61">
        <f>'{C} L4'!D37</f>
        <v>18</v>
      </c>
      <c r="H61">
        <f>'{C} L5'!D42</f>
        <v>12</v>
      </c>
      <c r="I61">
        <f>'{C} Q0'!D41</f>
        <v>18</v>
      </c>
      <c r="J61">
        <f>'{C} Q1'!D23</f>
        <v>7</v>
      </c>
      <c r="K61">
        <f>'{C} Q2'!D30</f>
        <v>11</v>
      </c>
      <c r="L61">
        <f>'{C} M0'!D45</f>
        <v>11</v>
      </c>
      <c r="M61">
        <f>'{C} M1'!D35</f>
        <v>10</v>
      </c>
      <c r="N61">
        <f>'{C} M2'!D40</f>
        <v>15</v>
      </c>
      <c r="O61">
        <f>'{C} G0'!D25</f>
        <v>9</v>
      </c>
      <c r="P61">
        <f>'{C} G1'!D31</f>
        <v>10</v>
      </c>
      <c r="Q61">
        <f>'{C} G2'!D29</f>
        <v>4</v>
      </c>
      <c r="R61">
        <f>'{C} L0a'!D45</f>
        <v>19</v>
      </c>
      <c r="S61">
        <f>'{C} L0b'!D46</f>
        <v>22</v>
      </c>
      <c r="T61" s="40">
        <f t="shared" ref="T61:T70" si="37">SUM(B61:Q61)</f>
        <v>229</v>
      </c>
    </row>
    <row r="62" spans="1:20">
      <c r="A62" s="16" t="s">
        <v>107</v>
      </c>
      <c r="B62">
        <v>0</v>
      </c>
      <c r="C62">
        <f>'{C} L0'!D36</f>
        <v>17</v>
      </c>
      <c r="D62">
        <f>'{C} L1'!D41</f>
        <v>25</v>
      </c>
      <c r="E62">
        <f>'{C} L2'!D36</f>
        <v>23</v>
      </c>
      <c r="F62">
        <f>'{C} L3'!D128</f>
        <v>83</v>
      </c>
      <c r="G62">
        <f>'{C} L4'!D38</f>
        <v>17</v>
      </c>
      <c r="H62">
        <f>'{C} L5'!D43</f>
        <v>27</v>
      </c>
      <c r="I62">
        <f>'{C} Q0'!D42</f>
        <v>20</v>
      </c>
      <c r="J62">
        <f>'{C} Q1'!D24</f>
        <v>14</v>
      </c>
      <c r="K62">
        <f>'{C} Q2'!D31</f>
        <v>17</v>
      </c>
      <c r="L62">
        <f>'{C} M0'!D46</f>
        <v>31</v>
      </c>
      <c r="M62">
        <f>'{C} M1'!D36</f>
        <v>23</v>
      </c>
      <c r="N62">
        <f>'{C} M2'!D41</f>
        <v>23</v>
      </c>
      <c r="O62">
        <f>'{C} G0'!D26</f>
        <v>13</v>
      </c>
      <c r="P62">
        <f>'{C} G1'!D32</f>
        <v>18</v>
      </c>
      <c r="Q62">
        <f>'{C} G2'!D30</f>
        <v>22</v>
      </c>
      <c r="R62">
        <f>'{C} L0a'!D46</f>
        <v>24</v>
      </c>
      <c r="S62">
        <f>'{C} L0b'!D47</f>
        <v>22</v>
      </c>
      <c r="T62" s="40">
        <f t="shared" si="37"/>
        <v>373</v>
      </c>
    </row>
    <row r="63" spans="1:20">
      <c r="A63" s="16" t="s">
        <v>108</v>
      </c>
      <c r="B63">
        <v>0</v>
      </c>
      <c r="C63">
        <f>'{C} L0'!D37</f>
        <v>2</v>
      </c>
      <c r="D63">
        <f>'{C} L1'!D42</f>
        <v>4</v>
      </c>
      <c r="E63">
        <f>'{C} L2'!D37</f>
        <v>1</v>
      </c>
      <c r="F63">
        <f>'{C} L3'!D129</f>
        <v>0</v>
      </c>
      <c r="G63">
        <f>'{C} L4'!D39</f>
        <v>0</v>
      </c>
      <c r="H63">
        <f>'{C} L5'!D44</f>
        <v>1</v>
      </c>
      <c r="I63">
        <f>'{C} Q0'!D43</f>
        <v>1</v>
      </c>
      <c r="J63">
        <f>'{C} Q1'!D25</f>
        <v>0</v>
      </c>
      <c r="K63">
        <f>'{C} Q2'!D32</f>
        <v>0</v>
      </c>
      <c r="L63">
        <f>'{C} M0'!D47</f>
        <v>1</v>
      </c>
      <c r="M63">
        <f>'{C} M1'!D37</f>
        <v>0</v>
      </c>
      <c r="N63">
        <f>'{C} M2'!D42</f>
        <v>0</v>
      </c>
      <c r="O63">
        <f>'{C} G0'!D27</f>
        <v>1</v>
      </c>
      <c r="P63">
        <f>'{C} G1'!D33</f>
        <v>1</v>
      </c>
      <c r="Q63">
        <f>'{C} G2'!D31</f>
        <v>1</v>
      </c>
      <c r="R63">
        <f>'{C} L0a'!D47</f>
        <v>0</v>
      </c>
      <c r="S63">
        <f>'{C} L0b'!D48</f>
        <v>0</v>
      </c>
      <c r="T63" s="40">
        <f t="shared" si="37"/>
        <v>13</v>
      </c>
    </row>
    <row r="64" spans="1:20">
      <c r="A64" s="16" t="s">
        <v>109</v>
      </c>
      <c r="B64">
        <v>0</v>
      </c>
      <c r="C64">
        <f>'{C} L0'!F35</f>
        <v>2</v>
      </c>
      <c r="D64">
        <f>'{C} L1'!F40</f>
        <v>5</v>
      </c>
      <c r="E64">
        <f>'{C} L2'!F35</f>
        <v>3</v>
      </c>
      <c r="F64">
        <f>'{C} L3'!F127</f>
        <v>24</v>
      </c>
      <c r="G64">
        <f>'{C} L4'!F37</f>
        <v>15</v>
      </c>
      <c r="H64">
        <f>'{C} L5'!F42</f>
        <v>6</v>
      </c>
      <c r="I64">
        <f>'{C} Q0'!F41</f>
        <v>15</v>
      </c>
      <c r="J64">
        <f>'{C} Q1'!F23</f>
        <v>5</v>
      </c>
      <c r="K64">
        <f>'{C} Q2'!F30</f>
        <v>8</v>
      </c>
      <c r="L64">
        <f>'{C} M0'!F45</f>
        <v>6</v>
      </c>
      <c r="M64">
        <f>'{C} M1'!F35</f>
        <v>7</v>
      </c>
      <c r="N64">
        <f>'{C} M2'!F40</f>
        <v>13</v>
      </c>
      <c r="O64">
        <f>'{C} G0'!F25</f>
        <v>5</v>
      </c>
      <c r="P64">
        <f>'{C} G1'!F31</f>
        <v>9</v>
      </c>
      <c r="Q64">
        <f>'{C} G2'!F29</f>
        <v>4</v>
      </c>
      <c r="R64">
        <f>'{C} L0a'!F45</f>
        <v>17</v>
      </c>
      <c r="S64">
        <f>'{C} L0b'!F46</f>
        <v>18</v>
      </c>
      <c r="T64" s="40">
        <f t="shared" si="37"/>
        <v>127</v>
      </c>
    </row>
    <row r="65" spans="1:21" ht="15">
      <c r="A65" s="10" t="s">
        <v>110</v>
      </c>
      <c r="B65">
        <v>0</v>
      </c>
      <c r="C65">
        <f>'{C} L0'!F37</f>
        <v>0</v>
      </c>
      <c r="D65">
        <f>'{C} L1'!F42</f>
        <v>2</v>
      </c>
      <c r="E65">
        <f>'{C} L2'!F37</f>
        <v>2</v>
      </c>
      <c r="F65">
        <f>'{C} L3'!F129</f>
        <v>4</v>
      </c>
      <c r="G65">
        <f>'{C} L4'!F39</f>
        <v>0</v>
      </c>
      <c r="H65">
        <f>'{C} L5'!F44</f>
        <v>1</v>
      </c>
      <c r="I65">
        <f>'{C} Q0'!F43</f>
        <v>12</v>
      </c>
      <c r="J65">
        <f>'{C} Q1'!F25</f>
        <v>3</v>
      </c>
      <c r="K65">
        <f>'{C} Q2'!F32</f>
        <v>3</v>
      </c>
      <c r="L65">
        <f>'{C} M0'!F47</f>
        <v>1</v>
      </c>
      <c r="M65">
        <f>'{C} M1'!F37</f>
        <v>0</v>
      </c>
      <c r="N65">
        <f>'{C} M2'!F42</f>
        <v>0</v>
      </c>
      <c r="O65">
        <f>'{C} G0'!F27</f>
        <v>4</v>
      </c>
      <c r="P65">
        <f>'{C} G1'!F33</f>
        <v>5</v>
      </c>
      <c r="Q65">
        <f>'{C} G2'!F31</f>
        <v>1</v>
      </c>
      <c r="R65">
        <f>'{C} L0a'!F47</f>
        <v>16</v>
      </c>
      <c r="S65">
        <f>'{C} L0b'!F48</f>
        <v>14</v>
      </c>
      <c r="T65" s="40">
        <f t="shared" si="37"/>
        <v>38</v>
      </c>
      <c r="U65" s="41">
        <f>T65/$T$64</f>
        <v>0.29921259842519687</v>
      </c>
    </row>
    <row r="66" spans="1:21" ht="15">
      <c r="A66" s="10" t="s">
        <v>111</v>
      </c>
      <c r="B66">
        <v>0</v>
      </c>
      <c r="C66">
        <f>'{C} L0'!F38</f>
        <v>0</v>
      </c>
      <c r="D66">
        <f>'{C} L1'!F43</f>
        <v>0</v>
      </c>
      <c r="E66">
        <f>'{C} L2'!F38</f>
        <v>0</v>
      </c>
      <c r="F66">
        <f>'{C} L3'!F130</f>
        <v>6</v>
      </c>
      <c r="G66">
        <f>'{C} L4'!F40</f>
        <v>3</v>
      </c>
      <c r="H66">
        <f>'{C} L5'!F45</f>
        <v>0</v>
      </c>
      <c r="I66">
        <f>'{C} Q0'!F44</f>
        <v>3</v>
      </c>
      <c r="J66">
        <f>'{C} Q1'!F26</f>
        <v>0</v>
      </c>
      <c r="K66">
        <f>'{C} Q2'!F33</f>
        <v>0</v>
      </c>
      <c r="L66">
        <f>'{C} M0'!F48</f>
        <v>0</v>
      </c>
      <c r="M66">
        <f>'{C} M1'!F38</f>
        <v>0</v>
      </c>
      <c r="N66">
        <f>'{C} M2'!F43</f>
        <v>0</v>
      </c>
      <c r="O66">
        <f>'{C} G0'!F28</f>
        <v>0</v>
      </c>
      <c r="P66">
        <f>'{C} G1'!F34</f>
        <v>1</v>
      </c>
      <c r="Q66">
        <f>'{C} G2'!F32</f>
        <v>0</v>
      </c>
      <c r="R66">
        <f>'{C} L0a'!F48</f>
        <v>0</v>
      </c>
      <c r="S66">
        <f>'{C} L0b'!F49</f>
        <v>0</v>
      </c>
      <c r="T66" s="40">
        <f t="shared" si="37"/>
        <v>13</v>
      </c>
      <c r="U66" s="41">
        <f t="shared" ref="U66:U69" si="38">T66/$T$64</f>
        <v>0.10236220472440945</v>
      </c>
    </row>
    <row r="67" spans="1:21" ht="15">
      <c r="A67" s="10" t="s">
        <v>112</v>
      </c>
      <c r="B67">
        <v>0</v>
      </c>
      <c r="C67">
        <f>'{C} L0'!F39</f>
        <v>1</v>
      </c>
      <c r="D67">
        <f>'{C} L1'!F44</f>
        <v>3</v>
      </c>
      <c r="E67">
        <f>'{C} L2'!F39</f>
        <v>1</v>
      </c>
      <c r="F67">
        <f>'{C} L3'!F131</f>
        <v>9</v>
      </c>
      <c r="G67">
        <f>'{C} L4'!F41</f>
        <v>5</v>
      </c>
      <c r="H67">
        <f>'{C} L5'!F46</f>
        <v>1</v>
      </c>
      <c r="I67">
        <f>'{C} Q0'!F45</f>
        <v>0</v>
      </c>
      <c r="J67">
        <f>'{C} Q1'!F27</f>
        <v>2</v>
      </c>
      <c r="K67">
        <f>'{C} Q2'!F34</f>
        <v>3</v>
      </c>
      <c r="L67">
        <f>'{C} M0'!F49</f>
        <v>1</v>
      </c>
      <c r="M67">
        <f>'{C} M1'!F39</f>
        <v>0</v>
      </c>
      <c r="N67">
        <f>'{C} M2'!F44</f>
        <v>0</v>
      </c>
      <c r="O67">
        <f>'{C} G0'!F29</f>
        <v>0</v>
      </c>
      <c r="P67">
        <f>'{C} G1'!F35</f>
        <v>0</v>
      </c>
      <c r="Q67">
        <f>'{C} G2'!F33</f>
        <v>0</v>
      </c>
      <c r="R67">
        <f>'{C} L0a'!F49</f>
        <v>1</v>
      </c>
      <c r="S67">
        <f>'{C} L0b'!F50</f>
        <v>0</v>
      </c>
      <c r="T67" s="40">
        <f t="shared" si="37"/>
        <v>26</v>
      </c>
      <c r="U67" s="41">
        <f t="shared" si="38"/>
        <v>0.20472440944881889</v>
      </c>
    </row>
    <row r="68" spans="1:21" ht="15">
      <c r="A68" s="10" t="s">
        <v>113</v>
      </c>
      <c r="B68">
        <v>0</v>
      </c>
      <c r="C68">
        <f>'{C} L0'!F40</f>
        <v>1</v>
      </c>
      <c r="D68">
        <f>'{C} L1'!F45</f>
        <v>0</v>
      </c>
      <c r="E68">
        <f>'{C} L2'!F40</f>
        <v>0</v>
      </c>
      <c r="F68">
        <f>'{C} L3'!F132</f>
        <v>1</v>
      </c>
      <c r="G68">
        <f>'{C} L4'!F42</f>
        <v>1</v>
      </c>
      <c r="H68">
        <f>'{C} L5'!F47</f>
        <v>0</v>
      </c>
      <c r="I68">
        <f>'{C} Q0'!F46</f>
        <v>0</v>
      </c>
      <c r="J68">
        <f>'{C} Q1'!F28</f>
        <v>0</v>
      </c>
      <c r="K68">
        <f>'{C} Q2'!F35</f>
        <v>0</v>
      </c>
      <c r="L68">
        <f>'{C} M0'!F50</f>
        <v>0</v>
      </c>
      <c r="M68">
        <f>'{C} M1'!F40</f>
        <v>0</v>
      </c>
      <c r="N68">
        <f>'{C} M2'!F45</f>
        <v>0</v>
      </c>
      <c r="O68">
        <f>'{C} G0'!F30</f>
        <v>0</v>
      </c>
      <c r="P68">
        <f>'{C} G1'!F36</f>
        <v>0</v>
      </c>
      <c r="Q68">
        <f>'{C} G2'!F34</f>
        <v>0</v>
      </c>
      <c r="R68">
        <f>'{C} L0a'!F50</f>
        <v>0</v>
      </c>
      <c r="S68">
        <f>'{C} L0b'!F51</f>
        <v>0</v>
      </c>
      <c r="T68" s="40">
        <f t="shared" si="37"/>
        <v>3</v>
      </c>
      <c r="U68" s="41">
        <f t="shared" si="38"/>
        <v>2.3622047244094488E-2</v>
      </c>
    </row>
    <row r="69" spans="1:21" ht="15">
      <c r="A69" s="10" t="s">
        <v>114</v>
      </c>
      <c r="B69">
        <v>0</v>
      </c>
      <c r="C69">
        <f>'{C} L0'!F41</f>
        <v>0</v>
      </c>
      <c r="D69">
        <f>'{C} L1'!F46</f>
        <v>0</v>
      </c>
      <c r="E69">
        <f>'{C} L2'!F41</f>
        <v>0</v>
      </c>
      <c r="F69">
        <f>'{C} L3'!F133</f>
        <v>4</v>
      </c>
      <c r="G69">
        <f>'{C} L4'!F43</f>
        <v>6</v>
      </c>
      <c r="H69">
        <f>'{C} L5'!F48</f>
        <v>4</v>
      </c>
      <c r="I69">
        <f>'{C} Q0'!F47</f>
        <v>0</v>
      </c>
      <c r="J69">
        <f>'{C} Q1'!F29</f>
        <v>0</v>
      </c>
      <c r="K69">
        <f>'{C} Q2'!F36</f>
        <v>2</v>
      </c>
      <c r="L69">
        <f>'{C} M0'!F51</f>
        <v>4</v>
      </c>
      <c r="M69">
        <f>'{C} M1'!F41</f>
        <v>7</v>
      </c>
      <c r="N69">
        <f>'{C} M2'!F46</f>
        <v>13</v>
      </c>
      <c r="O69">
        <f>'{C} G0'!F31</f>
        <v>1</v>
      </c>
      <c r="P69">
        <f>'{C} G1'!F37</f>
        <v>3</v>
      </c>
      <c r="Q69">
        <f>'{C} G2'!F35</f>
        <v>3</v>
      </c>
      <c r="R69">
        <f>'{C} L0a'!F51</f>
        <v>0</v>
      </c>
      <c r="S69">
        <f>'{C} L0b'!F52</f>
        <v>4</v>
      </c>
      <c r="T69" s="40">
        <f t="shared" si="37"/>
        <v>47</v>
      </c>
      <c r="U69" s="41">
        <f t="shared" si="38"/>
        <v>0.37007874015748032</v>
      </c>
    </row>
    <row r="70" spans="1:21">
      <c r="A70" s="16" t="s">
        <v>115</v>
      </c>
      <c r="B70">
        <v>30</v>
      </c>
      <c r="C70">
        <f>'{C} L0'!F43</f>
        <v>14</v>
      </c>
      <c r="D70">
        <f>'{C} L1'!F48</f>
        <v>8</v>
      </c>
      <c r="E70">
        <f>'{C} L2'!F43</f>
        <v>7</v>
      </c>
      <c r="F70">
        <f>'{C} L3'!F135</f>
        <v>18</v>
      </c>
      <c r="G70">
        <f>'{C} L4'!F45</f>
        <v>4</v>
      </c>
      <c r="H70">
        <f>'{C} L5'!F50</f>
        <v>7</v>
      </c>
      <c r="I70">
        <f>'{C} Q0'!F49</f>
        <v>4</v>
      </c>
      <c r="J70">
        <f>'{C} Q1'!F31</f>
        <v>2</v>
      </c>
      <c r="K70">
        <f>'{C} Q2'!F38</f>
        <v>5</v>
      </c>
      <c r="L70">
        <f>'{C} M0'!F53</f>
        <v>7</v>
      </c>
      <c r="M70">
        <f>'{C} M1'!F43</f>
        <v>3</v>
      </c>
      <c r="N70">
        <f>'{C} M2'!F48</f>
        <v>2</v>
      </c>
      <c r="O70">
        <f>'{C} G0'!F33</f>
        <v>5</v>
      </c>
      <c r="P70">
        <f>'{C} G1'!F39</f>
        <v>2</v>
      </c>
      <c r="Q70">
        <f>'{C} G2'!F37</f>
        <v>1</v>
      </c>
      <c r="R70">
        <f>'{C} L0a'!F53</f>
        <v>2</v>
      </c>
      <c r="S70">
        <f>'{C} L0b'!F54</f>
        <v>4</v>
      </c>
      <c r="T70" s="40">
        <f t="shared" si="37"/>
        <v>119</v>
      </c>
    </row>
    <row r="71" spans="1:21">
      <c r="A71" s="16" t="s">
        <v>116</v>
      </c>
      <c r="B71">
        <f>B61+B62+B63</f>
        <v>30</v>
      </c>
      <c r="C71">
        <f t="shared" ref="C71:T71" si="39">C61+C62+C63</f>
        <v>33</v>
      </c>
      <c r="D71">
        <f t="shared" si="39"/>
        <v>38</v>
      </c>
      <c r="E71">
        <f t="shared" si="39"/>
        <v>33</v>
      </c>
      <c r="F71">
        <f t="shared" si="39"/>
        <v>125</v>
      </c>
      <c r="G71">
        <f t="shared" si="39"/>
        <v>35</v>
      </c>
      <c r="H71">
        <f t="shared" si="39"/>
        <v>40</v>
      </c>
      <c r="I71">
        <f t="shared" si="39"/>
        <v>39</v>
      </c>
      <c r="J71">
        <f t="shared" si="39"/>
        <v>21</v>
      </c>
      <c r="K71">
        <f t="shared" si="39"/>
        <v>28</v>
      </c>
      <c r="L71">
        <f t="shared" si="39"/>
        <v>43</v>
      </c>
      <c r="M71">
        <f t="shared" si="39"/>
        <v>33</v>
      </c>
      <c r="N71">
        <f t="shared" si="39"/>
        <v>38</v>
      </c>
      <c r="O71">
        <f t="shared" si="39"/>
        <v>23</v>
      </c>
      <c r="P71">
        <f t="shared" si="39"/>
        <v>29</v>
      </c>
      <c r="Q71">
        <f t="shared" si="39"/>
        <v>27</v>
      </c>
      <c r="R71">
        <f t="shared" si="39"/>
        <v>43</v>
      </c>
      <c r="S71">
        <f t="shared" si="39"/>
        <v>44</v>
      </c>
      <c r="T71">
        <f t="shared" si="39"/>
        <v>615</v>
      </c>
    </row>
    <row r="72" spans="1:21">
      <c r="A72" s="16" t="s">
        <v>117</v>
      </c>
      <c r="B72" s="41">
        <f t="shared" ref="B72:Q72" si="40">B63/B61</f>
        <v>0</v>
      </c>
      <c r="C72" s="41">
        <f t="shared" si="40"/>
        <v>0.14285714285714285</v>
      </c>
      <c r="D72" s="41">
        <f t="shared" si="40"/>
        <v>0.44444444444444442</v>
      </c>
      <c r="E72" s="41">
        <f t="shared" si="40"/>
        <v>0.1111111111111111</v>
      </c>
      <c r="F72" s="41">
        <f t="shared" si="40"/>
        <v>0</v>
      </c>
      <c r="G72" s="41">
        <f t="shared" si="40"/>
        <v>0</v>
      </c>
      <c r="H72" s="41">
        <f t="shared" si="40"/>
        <v>8.3333333333333329E-2</v>
      </c>
      <c r="I72" s="41">
        <f t="shared" si="40"/>
        <v>5.5555555555555552E-2</v>
      </c>
      <c r="J72" s="41">
        <f t="shared" si="40"/>
        <v>0</v>
      </c>
      <c r="K72" s="41">
        <f t="shared" si="40"/>
        <v>0</v>
      </c>
      <c r="L72" s="41">
        <f t="shared" si="40"/>
        <v>9.0909090909090912E-2</v>
      </c>
      <c r="M72" s="41">
        <f t="shared" si="40"/>
        <v>0</v>
      </c>
      <c r="N72" s="41">
        <f t="shared" si="40"/>
        <v>0</v>
      </c>
      <c r="O72" s="41">
        <f t="shared" si="40"/>
        <v>0.1111111111111111</v>
      </c>
      <c r="P72" s="41">
        <f t="shared" si="40"/>
        <v>0.1</v>
      </c>
      <c r="Q72" s="41">
        <f t="shared" si="40"/>
        <v>0.25</v>
      </c>
      <c r="R72" s="41">
        <f t="shared" ref="R72:S72" si="41">R63/R61</f>
        <v>0</v>
      </c>
      <c r="S72" s="41">
        <f t="shared" si="41"/>
        <v>0</v>
      </c>
      <c r="T72" s="42">
        <f>T63/T61</f>
        <v>5.6768558951965066E-2</v>
      </c>
    </row>
    <row r="73" spans="1:21">
      <c r="A73" s="16" t="s">
        <v>118</v>
      </c>
      <c r="B73" s="41">
        <f>B63/B71</f>
        <v>0</v>
      </c>
      <c r="C73" s="41">
        <f t="shared" ref="C73:S73" si="42">C63/C71</f>
        <v>6.0606060606060608E-2</v>
      </c>
      <c r="D73" s="41">
        <f t="shared" si="42"/>
        <v>0.10526315789473684</v>
      </c>
      <c r="E73" s="41">
        <f t="shared" si="42"/>
        <v>3.0303030303030304E-2</v>
      </c>
      <c r="F73" s="41">
        <f t="shared" si="42"/>
        <v>0</v>
      </c>
      <c r="G73" s="41">
        <f t="shared" si="42"/>
        <v>0</v>
      </c>
      <c r="H73" s="41">
        <f t="shared" si="42"/>
        <v>2.5000000000000001E-2</v>
      </c>
      <c r="I73" s="41">
        <f t="shared" si="42"/>
        <v>2.564102564102564E-2</v>
      </c>
      <c r="J73" s="41">
        <f t="shared" si="42"/>
        <v>0</v>
      </c>
      <c r="K73" s="41">
        <f t="shared" si="42"/>
        <v>0</v>
      </c>
      <c r="L73" s="41">
        <f t="shared" si="42"/>
        <v>2.3255813953488372E-2</v>
      </c>
      <c r="M73" s="41">
        <f t="shared" si="42"/>
        <v>0</v>
      </c>
      <c r="N73" s="41">
        <f t="shared" si="42"/>
        <v>0</v>
      </c>
      <c r="O73" s="41">
        <f t="shared" si="42"/>
        <v>4.3478260869565216E-2</v>
      </c>
      <c r="P73" s="41">
        <f t="shared" si="42"/>
        <v>3.4482758620689655E-2</v>
      </c>
      <c r="Q73" s="41">
        <f>Q63/Q71</f>
        <v>3.7037037037037035E-2</v>
      </c>
      <c r="R73" s="41">
        <f t="shared" si="42"/>
        <v>0</v>
      </c>
      <c r="S73" s="41">
        <f t="shared" si="42"/>
        <v>0</v>
      </c>
      <c r="T73" s="41">
        <f>T63/T71</f>
        <v>2.113821138211382E-2</v>
      </c>
    </row>
    <row r="74" spans="1:21">
      <c r="A74" s="7"/>
    </row>
    <row r="75" spans="1:21">
      <c r="A75" s="16" t="s">
        <v>119</v>
      </c>
      <c r="B75">
        <f>B4</f>
        <v>0</v>
      </c>
      <c r="C75">
        <f t="shared" ref="C75:O75" si="43">C4</f>
        <v>4</v>
      </c>
      <c r="D75">
        <f t="shared" si="43"/>
        <v>4</v>
      </c>
      <c r="E75">
        <f t="shared" si="43"/>
        <v>3</v>
      </c>
      <c r="F75">
        <f t="shared" si="43"/>
        <v>1</v>
      </c>
      <c r="G75">
        <f t="shared" si="43"/>
        <v>7</v>
      </c>
      <c r="H75">
        <f t="shared" si="43"/>
        <v>3</v>
      </c>
      <c r="I75">
        <f t="shared" si="43"/>
        <v>5</v>
      </c>
      <c r="J75">
        <f t="shared" si="43"/>
        <v>3</v>
      </c>
      <c r="K75">
        <f t="shared" si="43"/>
        <v>6</v>
      </c>
      <c r="L75">
        <f t="shared" si="43"/>
        <v>5</v>
      </c>
      <c r="M75">
        <f t="shared" si="43"/>
        <v>9</v>
      </c>
      <c r="N75">
        <f t="shared" si="43"/>
        <v>8</v>
      </c>
      <c r="O75">
        <f t="shared" si="43"/>
        <v>4</v>
      </c>
      <c r="P75">
        <f>P4</f>
        <v>2</v>
      </c>
      <c r="Q75">
        <f t="shared" ref="Q75:S75" si="44">Q4</f>
        <v>3</v>
      </c>
      <c r="R75">
        <f t="shared" si="44"/>
        <v>6</v>
      </c>
      <c r="S75">
        <f t="shared" si="44"/>
        <v>9</v>
      </c>
      <c r="T75" s="40">
        <f>SUM(B75:Q75)</f>
        <v>67</v>
      </c>
    </row>
    <row r="76" spans="1:21">
      <c r="A76" s="16" t="s">
        <v>120</v>
      </c>
      <c r="B76">
        <f>$B$2</f>
        <v>30</v>
      </c>
      <c r="C76">
        <f t="shared" ref="C76:S76" si="45">$B$2</f>
        <v>30</v>
      </c>
      <c r="D76">
        <f t="shared" si="45"/>
        <v>30</v>
      </c>
      <c r="E76">
        <f t="shared" si="45"/>
        <v>30</v>
      </c>
      <c r="F76">
        <f t="shared" si="45"/>
        <v>30</v>
      </c>
      <c r="G76">
        <f t="shared" si="45"/>
        <v>30</v>
      </c>
      <c r="H76">
        <f t="shared" si="45"/>
        <v>30</v>
      </c>
      <c r="I76">
        <f t="shared" si="45"/>
        <v>30</v>
      </c>
      <c r="J76">
        <f t="shared" si="45"/>
        <v>30</v>
      </c>
      <c r="K76">
        <f t="shared" si="45"/>
        <v>30</v>
      </c>
      <c r="L76">
        <f t="shared" si="45"/>
        <v>30</v>
      </c>
      <c r="M76">
        <f t="shared" si="45"/>
        <v>30</v>
      </c>
      <c r="N76">
        <f t="shared" si="45"/>
        <v>30</v>
      </c>
      <c r="O76">
        <f t="shared" si="45"/>
        <v>30</v>
      </c>
      <c r="P76">
        <f>$B$2</f>
        <v>30</v>
      </c>
      <c r="Q76">
        <f t="shared" si="45"/>
        <v>30</v>
      </c>
      <c r="R76">
        <f t="shared" si="45"/>
        <v>30</v>
      </c>
      <c r="S76">
        <f t="shared" si="45"/>
        <v>30</v>
      </c>
      <c r="T76" s="40">
        <f t="shared" ref="T75:T76" si="46">SUM(B76:Q76)</f>
        <v>480</v>
      </c>
    </row>
    <row r="77" spans="1:21">
      <c r="A77" s="16" t="s">
        <v>121</v>
      </c>
      <c r="B77" s="41">
        <f>B75/B76</f>
        <v>0</v>
      </c>
      <c r="C77" s="41">
        <f t="shared" ref="C77:O77" si="47">C75/C76</f>
        <v>0.13333333333333333</v>
      </c>
      <c r="D77" s="41">
        <f t="shared" si="47"/>
        <v>0.13333333333333333</v>
      </c>
      <c r="E77" s="41">
        <f t="shared" si="47"/>
        <v>0.1</v>
      </c>
      <c r="F77" s="41">
        <f t="shared" si="47"/>
        <v>3.3333333333333333E-2</v>
      </c>
      <c r="G77" s="41">
        <f t="shared" si="47"/>
        <v>0.23333333333333334</v>
      </c>
      <c r="H77" s="41">
        <f t="shared" si="47"/>
        <v>0.1</v>
      </c>
      <c r="I77" s="41">
        <f t="shared" si="47"/>
        <v>0.16666666666666666</v>
      </c>
      <c r="J77" s="41">
        <f t="shared" si="47"/>
        <v>0.1</v>
      </c>
      <c r="K77" s="41">
        <f t="shared" si="47"/>
        <v>0.2</v>
      </c>
      <c r="L77" s="41">
        <f t="shared" si="47"/>
        <v>0.16666666666666666</v>
      </c>
      <c r="M77" s="41">
        <f t="shared" si="47"/>
        <v>0.3</v>
      </c>
      <c r="N77" s="41">
        <f t="shared" si="47"/>
        <v>0.26666666666666666</v>
      </c>
      <c r="O77" s="41">
        <f t="shared" si="47"/>
        <v>0.13333333333333333</v>
      </c>
      <c r="P77" s="41">
        <f>P75/P76</f>
        <v>6.6666666666666666E-2</v>
      </c>
      <c r="Q77" s="41">
        <f t="shared" ref="Q77" si="48">Q75/Q76</f>
        <v>0.1</v>
      </c>
      <c r="R77" s="41">
        <f t="shared" ref="R77" si="49">R75/R76</f>
        <v>0.2</v>
      </c>
      <c r="S77" s="41">
        <f t="shared" ref="S77" si="50">S75/S76</f>
        <v>0.3</v>
      </c>
      <c r="T77" s="41">
        <f>T75/T76</f>
        <v>0.13958333333333334</v>
      </c>
    </row>
    <row r="78" spans="1:21" ht="15">
      <c r="A78" s="16"/>
    </row>
    <row r="79" spans="1:21" ht="15">
      <c r="A79" s="16"/>
    </row>
    <row r="81" spans="1:20" ht="15">
      <c r="A81" s="7"/>
    </row>
    <row r="82" spans="1:20" ht="15">
      <c r="A82" s="16" t="s">
        <v>122</v>
      </c>
      <c r="C82" t="s">
        <v>123</v>
      </c>
      <c r="I82" t="s">
        <v>124</v>
      </c>
      <c r="L82" t="s">
        <v>125</v>
      </c>
      <c r="O82" t="s">
        <v>126</v>
      </c>
      <c r="T82" t="s">
        <v>127</v>
      </c>
    </row>
    <row r="83" spans="1:20">
      <c r="A83" s="6" t="str">
        <f>A64</f>
        <v>Hallucinations (*)</v>
      </c>
      <c r="C83">
        <f>SUM(C64:H64)</f>
        <v>55</v>
      </c>
      <c r="I83">
        <f>SUM(I64:K64)</f>
        <v>28</v>
      </c>
      <c r="L83">
        <f>SUM(L64:N64)</f>
        <v>26</v>
      </c>
      <c r="O83">
        <f>SUM(O64:Q64)</f>
        <v>18</v>
      </c>
      <c r="T83">
        <f>SUM(C83:Q83)</f>
        <v>127</v>
      </c>
    </row>
    <row r="84" spans="1:20" ht="15">
      <c r="A84" s="43" t="str">
        <f t="shared" ref="A84:A88" si="51">A65</f>
        <v>Template drift</v>
      </c>
      <c r="C84">
        <f t="shared" ref="C84:C88" si="52">SUM(C65:H65)</f>
        <v>9</v>
      </c>
      <c r="I84">
        <f t="shared" ref="I84:I88" si="53">SUM(I65:K65)</f>
        <v>18</v>
      </c>
      <c r="L84">
        <f t="shared" ref="L84:L88" si="54">SUM(L65:N65)</f>
        <v>1</v>
      </c>
      <c r="O84">
        <f t="shared" ref="O84:O88" si="55">SUM(O65:Q65)</f>
        <v>10</v>
      </c>
      <c r="T84">
        <f t="shared" ref="T84:T88" si="56">SUM(C84:Q84)</f>
        <v>38</v>
      </c>
    </row>
    <row r="85" spans="1:20" ht="15">
      <c r="A85" s="43" t="str">
        <f t="shared" si="51"/>
        <v>Contextual misfit</v>
      </c>
      <c r="C85">
        <f t="shared" si="52"/>
        <v>9</v>
      </c>
      <c r="I85">
        <f t="shared" si="53"/>
        <v>3</v>
      </c>
      <c r="L85">
        <f t="shared" si="54"/>
        <v>0</v>
      </c>
      <c r="O85">
        <f t="shared" si="55"/>
        <v>1</v>
      </c>
      <c r="T85">
        <f t="shared" si="56"/>
        <v>13</v>
      </c>
    </row>
    <row r="86" spans="1:20" ht="15">
      <c r="A86" s="43" t="str">
        <f t="shared" si="51"/>
        <v>Scope misalignment</v>
      </c>
      <c r="C86">
        <f t="shared" si="52"/>
        <v>20</v>
      </c>
      <c r="I86">
        <f t="shared" si="53"/>
        <v>5</v>
      </c>
      <c r="L86">
        <f t="shared" si="54"/>
        <v>1</v>
      </c>
      <c r="O86">
        <f t="shared" si="55"/>
        <v>0</v>
      </c>
      <c r="T86">
        <f t="shared" si="56"/>
        <v>26</v>
      </c>
    </row>
    <row r="87" spans="1:20" ht="15">
      <c r="A87" s="43" t="str">
        <f t="shared" si="51"/>
        <v>Responsiibility leakage</v>
      </c>
      <c r="C87">
        <f t="shared" si="52"/>
        <v>3</v>
      </c>
      <c r="I87">
        <f t="shared" si="53"/>
        <v>0</v>
      </c>
      <c r="L87">
        <f t="shared" si="54"/>
        <v>0</v>
      </c>
      <c r="O87">
        <f t="shared" si="55"/>
        <v>0</v>
      </c>
      <c r="T87">
        <f t="shared" si="56"/>
        <v>3</v>
      </c>
    </row>
    <row r="88" spans="1:20" ht="15">
      <c r="A88" s="43" t="str">
        <f t="shared" si="51"/>
        <v>Architectural infeasibility</v>
      </c>
      <c r="C88">
        <f t="shared" si="52"/>
        <v>14</v>
      </c>
      <c r="I88">
        <f t="shared" si="53"/>
        <v>2</v>
      </c>
      <c r="L88">
        <f t="shared" si="54"/>
        <v>24</v>
      </c>
      <c r="O88">
        <f t="shared" si="55"/>
        <v>7</v>
      </c>
      <c r="T88">
        <f t="shared" si="56"/>
        <v>47</v>
      </c>
    </row>
  </sheetData>
  <mergeCells count="2">
    <mergeCell ref="B41:C41"/>
    <mergeCell ref="B42:C42"/>
  </mergeCells>
  <conditionalFormatting sqref="B32:Q39 C44:Q44 C49:Q49 C54:Q54 B12:S14 B26:Q3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paperSize="8" fitToWidth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2"/>
  <sheetViews>
    <sheetView topLeftCell="A32" zoomScale="85" zoomScaleNormal="85" workbookViewId="0">
      <selection activeCell="D64" sqref="D64"/>
    </sheetView>
  </sheetViews>
  <sheetFormatPr defaultColWidth="8.7109375" defaultRowHeight="14.45"/>
  <cols>
    <col min="1" max="1" width="12.7109375" customWidth="1"/>
    <col min="2" max="37" width="10.7109375" customWidth="1"/>
  </cols>
  <sheetData>
    <row r="1" spans="1:7" ht="14.25" customHeight="1">
      <c r="A1" s="46" t="s">
        <v>48</v>
      </c>
      <c r="B1" s="54" t="s">
        <v>128</v>
      </c>
      <c r="C1" s="54"/>
      <c r="D1" s="54"/>
      <c r="E1" s="54" t="s">
        <v>129</v>
      </c>
      <c r="F1" s="54"/>
      <c r="G1" s="54"/>
    </row>
    <row r="2" spans="1:7" ht="14.25" customHeight="1">
      <c r="A2" s="46"/>
      <c r="B2" t="s">
        <v>130</v>
      </c>
      <c r="C2" t="s">
        <v>131</v>
      </c>
      <c r="D2" t="s">
        <v>132</v>
      </c>
      <c r="E2" t="s">
        <v>130</v>
      </c>
      <c r="F2" t="s">
        <v>131</v>
      </c>
      <c r="G2" t="s">
        <v>132</v>
      </c>
    </row>
    <row r="3" spans="1:7">
      <c r="A3" t="s">
        <v>133</v>
      </c>
      <c r="B3">
        <f>'{V} L0'!H61</f>
        <v>25</v>
      </c>
      <c r="C3">
        <f>'{V} L0'!I61</f>
        <v>46</v>
      </c>
      <c r="D3" s="24">
        <f t="shared" ref="D3:D8" si="0">B3/C3</f>
        <v>0.54347826086956519</v>
      </c>
      <c r="E3">
        <f>'{V} L0'!V61</f>
        <v>24</v>
      </c>
      <c r="F3">
        <f>'{V} L0'!W61</f>
        <v>40</v>
      </c>
      <c r="G3" s="24">
        <f t="shared" ref="G3:G8" si="1">E3/F3</f>
        <v>0.6</v>
      </c>
    </row>
    <row r="4" spans="1:7">
      <c r="A4" t="s">
        <v>134</v>
      </c>
      <c r="B4">
        <f>'{V} L0'!J61</f>
        <v>25</v>
      </c>
      <c r="C4">
        <f>'{V} L0'!K61</f>
        <v>52</v>
      </c>
      <c r="D4" s="24">
        <f t="shared" si="0"/>
        <v>0.48076923076923078</v>
      </c>
      <c r="E4">
        <f>'{V} L0'!X61</f>
        <v>25</v>
      </c>
      <c r="F4">
        <f>'{V} L0'!Y61</f>
        <v>44</v>
      </c>
      <c r="G4" s="24">
        <f t="shared" si="1"/>
        <v>0.56818181818181823</v>
      </c>
    </row>
    <row r="5" spans="1:7">
      <c r="A5" t="s">
        <v>135</v>
      </c>
      <c r="B5">
        <f>'{V} L0'!L61</f>
        <v>28</v>
      </c>
      <c r="C5">
        <f>'{V} L0'!M61</f>
        <v>43</v>
      </c>
      <c r="D5" s="24">
        <f t="shared" si="0"/>
        <v>0.65116279069767447</v>
      </c>
      <c r="E5">
        <f>'{V} L0'!Z61</f>
        <v>27</v>
      </c>
      <c r="F5">
        <f>'{V} L0'!AA61</f>
        <v>39</v>
      </c>
      <c r="G5" s="24">
        <f t="shared" si="1"/>
        <v>0.69230769230769229</v>
      </c>
    </row>
    <row r="6" spans="1:7">
      <c r="A6" t="s">
        <v>136</v>
      </c>
      <c r="B6">
        <f>'{V} L0'!N61</f>
        <v>28</v>
      </c>
      <c r="C6">
        <f>'{V} L0'!O61</f>
        <v>44</v>
      </c>
      <c r="D6" s="24">
        <f t="shared" si="0"/>
        <v>0.63636363636363635</v>
      </c>
      <c r="E6">
        <f>'{V} L0'!AB61</f>
        <v>27</v>
      </c>
      <c r="F6">
        <f>'{V} L0'!AC61</f>
        <v>34</v>
      </c>
      <c r="G6" s="24">
        <f t="shared" si="1"/>
        <v>0.79411764705882348</v>
      </c>
    </row>
    <row r="7" spans="1:7">
      <c r="A7" t="s">
        <v>137</v>
      </c>
      <c r="B7">
        <f>'{V} L0'!P61</f>
        <v>26</v>
      </c>
      <c r="C7">
        <f>'{V} L0'!Q61</f>
        <v>40</v>
      </c>
      <c r="D7" s="24">
        <f t="shared" si="0"/>
        <v>0.65</v>
      </c>
      <c r="E7">
        <f>'{V} L0'!AD61</f>
        <v>26</v>
      </c>
      <c r="F7">
        <f>'{V} L0'!AE61</f>
        <v>32</v>
      </c>
      <c r="G7" s="24">
        <f t="shared" si="1"/>
        <v>0.8125</v>
      </c>
    </row>
    <row r="8" spans="1:7">
      <c r="A8" t="s">
        <v>138</v>
      </c>
      <c r="B8">
        <f>'{V} L0'!R61</f>
        <v>28</v>
      </c>
      <c r="C8">
        <f>'{V} L0'!S61</f>
        <v>44</v>
      </c>
      <c r="D8" s="24">
        <f t="shared" si="0"/>
        <v>0.63636363636363635</v>
      </c>
      <c r="E8">
        <f>'{V} L0'!AF61</f>
        <v>28</v>
      </c>
      <c r="F8">
        <f>'{V} L0'!AG61</f>
        <v>35</v>
      </c>
      <c r="G8" s="24">
        <f t="shared" si="1"/>
        <v>0.8</v>
      </c>
    </row>
    <row r="9" spans="1:7">
      <c r="A9" s="16" t="s">
        <v>139</v>
      </c>
      <c r="B9" s="7"/>
      <c r="C9" s="7"/>
      <c r="D9" s="25">
        <f>AVERAGE(D3:D8)</f>
        <v>0.59968959251062381</v>
      </c>
      <c r="E9" s="7"/>
      <c r="F9" s="7"/>
      <c r="G9" s="25">
        <f>AVERAGE(G3:G8)</f>
        <v>0.71118452625805562</v>
      </c>
    </row>
    <row r="10" spans="1:7">
      <c r="A10" s="16" t="s">
        <v>140</v>
      </c>
      <c r="B10" s="7"/>
      <c r="C10" s="7"/>
      <c r="D10" s="25">
        <f>GEOMEAN(D3:D8)</f>
        <v>0.59592107864136867</v>
      </c>
      <c r="E10" s="7"/>
      <c r="F10" s="7"/>
      <c r="G10" s="25">
        <f>GEOMEAN(G3:G8)</f>
        <v>0.70408105258323417</v>
      </c>
    </row>
    <row r="11" spans="1:7" ht="14.25" customHeight="1"/>
    <row r="12" spans="1:7" ht="14.25" customHeight="1">
      <c r="A12" s="46" t="s">
        <v>60</v>
      </c>
      <c r="B12" s="54" t="s">
        <v>128</v>
      </c>
      <c r="C12" s="54"/>
      <c r="D12" s="54"/>
      <c r="E12" s="54" t="s">
        <v>129</v>
      </c>
      <c r="F12" s="54"/>
      <c r="G12" s="54"/>
    </row>
    <row r="13" spans="1:7">
      <c r="A13" s="46"/>
      <c r="B13" t="s">
        <v>130</v>
      </c>
      <c r="C13" t="s">
        <v>131</v>
      </c>
      <c r="D13" t="s">
        <v>132</v>
      </c>
      <c r="E13" t="s">
        <v>130</v>
      </c>
      <c r="F13" t="s">
        <v>131</v>
      </c>
      <c r="G13" t="s">
        <v>132</v>
      </c>
    </row>
    <row r="14" spans="1:7">
      <c r="A14" t="s">
        <v>141</v>
      </c>
      <c r="B14">
        <f>'{V} G0'!H43</f>
        <v>16</v>
      </c>
      <c r="C14">
        <f>'{V} G0'!I43</f>
        <v>28</v>
      </c>
      <c r="D14" s="24">
        <f t="shared" ref="D14:D19" si="2">B14/C14</f>
        <v>0.5714285714285714</v>
      </c>
      <c r="E14">
        <f>'{V} G0'!V43</f>
        <v>16</v>
      </c>
      <c r="F14">
        <f>'{V} G0'!W43</f>
        <v>23</v>
      </c>
      <c r="G14" s="24">
        <f t="shared" ref="G14:G19" si="3">E14/F14</f>
        <v>0.69565217391304346</v>
      </c>
    </row>
    <row r="15" spans="1:7">
      <c r="A15" t="s">
        <v>142</v>
      </c>
      <c r="B15">
        <f>'{V} G0'!J43</f>
        <v>18</v>
      </c>
      <c r="C15">
        <f>'{V} G0'!K43</f>
        <v>33</v>
      </c>
      <c r="D15" s="24">
        <f t="shared" si="2"/>
        <v>0.54545454545454541</v>
      </c>
      <c r="E15">
        <f>'{V} G0'!X43</f>
        <v>17</v>
      </c>
      <c r="F15">
        <f>'{V} G0'!Y43</f>
        <v>25</v>
      </c>
      <c r="G15" s="24">
        <f t="shared" si="3"/>
        <v>0.68</v>
      </c>
    </row>
    <row r="16" spans="1:7">
      <c r="A16" t="s">
        <v>143</v>
      </c>
      <c r="B16">
        <f>'{V} G0'!L43</f>
        <v>19</v>
      </c>
      <c r="C16">
        <f>'{V} G0'!M43</f>
        <v>34</v>
      </c>
      <c r="D16" s="24">
        <f t="shared" si="2"/>
        <v>0.55882352941176472</v>
      </c>
      <c r="E16">
        <f>'{V} G0'!Z43</f>
        <v>18</v>
      </c>
      <c r="F16">
        <f>'{V} G0'!AA43</f>
        <v>24</v>
      </c>
      <c r="G16" s="24">
        <f t="shared" si="3"/>
        <v>0.75</v>
      </c>
    </row>
    <row r="17" spans="1:9">
      <c r="A17" t="s">
        <v>144</v>
      </c>
      <c r="B17">
        <f>'{V} G0'!N43</f>
        <v>15</v>
      </c>
      <c r="C17">
        <f>'{V} G0'!O43</f>
        <v>28</v>
      </c>
      <c r="D17" s="24">
        <f t="shared" si="2"/>
        <v>0.5357142857142857</v>
      </c>
      <c r="E17">
        <f>'{V} G0'!AB43</f>
        <v>15</v>
      </c>
      <c r="F17">
        <f>'{V} G0'!AC43</f>
        <v>24</v>
      </c>
      <c r="G17" s="24">
        <f t="shared" si="3"/>
        <v>0.625</v>
      </c>
    </row>
    <row r="18" spans="1:9">
      <c r="A18" t="s">
        <v>145</v>
      </c>
      <c r="B18">
        <f>'{V} G0'!P43</f>
        <v>17</v>
      </c>
      <c r="C18">
        <f>'{V} G0'!Q43</f>
        <v>28</v>
      </c>
      <c r="D18" s="24">
        <f t="shared" si="2"/>
        <v>0.6071428571428571</v>
      </c>
      <c r="E18">
        <f>'{V} G0'!AD43</f>
        <v>17</v>
      </c>
      <c r="F18">
        <f>'{V} G0'!AE43</f>
        <v>22</v>
      </c>
      <c r="G18" s="24">
        <f t="shared" si="3"/>
        <v>0.77272727272727271</v>
      </c>
    </row>
    <row r="19" spans="1:9">
      <c r="A19" t="s">
        <v>146</v>
      </c>
      <c r="B19">
        <f>'{V} G0'!R43</f>
        <v>18</v>
      </c>
      <c r="C19">
        <f>'{V} G0'!S43</f>
        <v>34</v>
      </c>
      <c r="D19" s="24">
        <f t="shared" si="2"/>
        <v>0.52941176470588236</v>
      </c>
      <c r="E19">
        <f>'{V} G0'!AF43</f>
        <v>17</v>
      </c>
      <c r="F19">
        <f>'{V} G0'!AG43</f>
        <v>25</v>
      </c>
      <c r="G19" s="24">
        <f t="shared" si="3"/>
        <v>0.68</v>
      </c>
    </row>
    <row r="20" spans="1:9">
      <c r="A20" s="16" t="s">
        <v>139</v>
      </c>
      <c r="B20" s="7"/>
      <c r="C20" s="7"/>
      <c r="D20" s="25">
        <f>AVERAGE(D14:D19)</f>
        <v>0.55799592564298439</v>
      </c>
      <c r="E20" s="7"/>
      <c r="F20" s="7"/>
      <c r="G20" s="25">
        <f>AVERAGE(G14:G19)</f>
        <v>0.7005632411067193</v>
      </c>
    </row>
    <row r="21" spans="1:9">
      <c r="A21" s="16" t="s">
        <v>140</v>
      </c>
      <c r="B21" s="7"/>
      <c r="C21" s="7"/>
      <c r="D21" s="25">
        <f>GEOMEAN(D14:D19)</f>
        <v>0.55740237868526332</v>
      </c>
      <c r="E21" s="7"/>
      <c r="F21" s="7"/>
      <c r="G21" s="25">
        <f>GEOMEAN(G14:G19)</f>
        <v>0.69886975979654109</v>
      </c>
    </row>
    <row r="22" spans="1:9" ht="14.25" customHeight="1">
      <c r="I22" s="26"/>
    </row>
    <row r="23" spans="1:9" ht="14.25" customHeight="1">
      <c r="A23" s="46" t="s">
        <v>57</v>
      </c>
      <c r="B23" s="54" t="s">
        <v>128</v>
      </c>
      <c r="C23" s="54"/>
      <c r="D23" s="54"/>
      <c r="E23" s="54" t="s">
        <v>129</v>
      </c>
      <c r="F23" s="54"/>
      <c r="G23" s="54"/>
    </row>
    <row r="24" spans="1:9">
      <c r="A24" s="46"/>
      <c r="B24" t="s">
        <v>130</v>
      </c>
      <c r="C24" t="s">
        <v>131</v>
      </c>
      <c r="D24" t="s">
        <v>132</v>
      </c>
      <c r="E24" t="s">
        <v>130</v>
      </c>
      <c r="F24" t="s">
        <v>131</v>
      </c>
      <c r="G24" t="s">
        <v>132</v>
      </c>
    </row>
    <row r="25" spans="1:9">
      <c r="A25" t="s">
        <v>147</v>
      </c>
      <c r="B25">
        <f>'{V} M0'!H57</f>
        <v>17</v>
      </c>
      <c r="C25">
        <f>'{V} M0'!I57</f>
        <v>42</v>
      </c>
      <c r="D25" s="24">
        <f t="shared" ref="D25:D30" si="4">B25/C25</f>
        <v>0.40476190476190477</v>
      </c>
      <c r="E25">
        <f>'{V} M0'!V57</f>
        <v>15</v>
      </c>
      <c r="F25">
        <f>'{V} M0'!W57</f>
        <v>23</v>
      </c>
      <c r="G25" s="24">
        <f t="shared" ref="G25:G30" si="5">E25/F25</f>
        <v>0.65217391304347827</v>
      </c>
    </row>
    <row r="26" spans="1:9">
      <c r="A26" t="s">
        <v>148</v>
      </c>
      <c r="B26">
        <f>'{V} M0'!J57</f>
        <v>17</v>
      </c>
      <c r="C26">
        <f>'{V} M0'!K57</f>
        <v>37</v>
      </c>
      <c r="D26" s="24">
        <f t="shared" si="4"/>
        <v>0.45945945945945948</v>
      </c>
      <c r="E26">
        <f>'{V} M0'!X57</f>
        <v>14</v>
      </c>
      <c r="F26">
        <f>'{V} M0'!Y57</f>
        <v>24</v>
      </c>
      <c r="G26" s="24">
        <f t="shared" si="5"/>
        <v>0.58333333333333337</v>
      </c>
    </row>
    <row r="27" spans="1:9">
      <c r="A27" t="s">
        <v>149</v>
      </c>
      <c r="B27">
        <f>'{V} M0'!L57</f>
        <v>15</v>
      </c>
      <c r="C27">
        <f>'{V} M0'!M57</f>
        <v>37</v>
      </c>
      <c r="D27" s="24">
        <f t="shared" si="4"/>
        <v>0.40540540540540543</v>
      </c>
      <c r="E27">
        <f>'{V} M0'!Z57</f>
        <v>15</v>
      </c>
      <c r="F27">
        <f>'{V} M0'!AA57</f>
        <v>25</v>
      </c>
      <c r="G27" s="24">
        <f t="shared" si="5"/>
        <v>0.6</v>
      </c>
    </row>
    <row r="28" spans="1:9">
      <c r="A28" t="s">
        <v>150</v>
      </c>
      <c r="B28">
        <f>'{V} M0'!N57</f>
        <v>16</v>
      </c>
      <c r="C28">
        <f>'{V} M0'!O57</f>
        <v>39</v>
      </c>
      <c r="D28" s="24">
        <f t="shared" si="4"/>
        <v>0.41025641025641024</v>
      </c>
      <c r="E28">
        <f>'{V} M0'!AB57</f>
        <v>13</v>
      </c>
      <c r="F28">
        <f>'{V} M0'!AC57</f>
        <v>17</v>
      </c>
      <c r="G28" s="24">
        <f t="shared" si="5"/>
        <v>0.76470588235294112</v>
      </c>
    </row>
    <row r="29" spans="1:9">
      <c r="A29" t="s">
        <v>151</v>
      </c>
      <c r="B29">
        <f>'{V} M0'!P57</f>
        <v>14</v>
      </c>
      <c r="C29">
        <f>'{V} M0'!Q57</f>
        <v>39</v>
      </c>
      <c r="D29" s="24">
        <f t="shared" si="4"/>
        <v>0.35897435897435898</v>
      </c>
      <c r="E29">
        <f>'{V} M0'!AD57</f>
        <v>12</v>
      </c>
      <c r="F29">
        <f>'{V} M0'!AE57</f>
        <v>20</v>
      </c>
      <c r="G29" s="24">
        <f t="shared" si="5"/>
        <v>0.6</v>
      </c>
    </row>
    <row r="30" spans="1:9">
      <c r="A30" t="s">
        <v>152</v>
      </c>
      <c r="B30">
        <f>'{V} M0'!R57</f>
        <v>13</v>
      </c>
      <c r="C30">
        <f>'{V} M0'!S57</f>
        <v>35</v>
      </c>
      <c r="D30" s="24">
        <f t="shared" si="4"/>
        <v>0.37142857142857144</v>
      </c>
      <c r="E30">
        <f>'{V} M0'!AF57</f>
        <v>13</v>
      </c>
      <c r="F30">
        <f>'{V} M0'!AG57</f>
        <v>19</v>
      </c>
      <c r="G30" s="24">
        <f t="shared" si="5"/>
        <v>0.68421052631578949</v>
      </c>
    </row>
    <row r="31" spans="1:9">
      <c r="A31" s="16" t="s">
        <v>139</v>
      </c>
      <c r="B31" s="7"/>
      <c r="C31" s="7"/>
      <c r="D31" s="25">
        <f>AVERAGE(D25:D30)</f>
        <v>0.40171435171435177</v>
      </c>
      <c r="E31" s="7"/>
      <c r="F31" s="7"/>
      <c r="G31" s="25">
        <f>AVERAGE(G25:G30)</f>
        <v>0.64740394250759037</v>
      </c>
    </row>
    <row r="32" spans="1:9">
      <c r="A32" s="16" t="s">
        <v>140</v>
      </c>
      <c r="B32" s="7"/>
      <c r="C32" s="7"/>
      <c r="D32" s="25">
        <f>GEOMEAN(D25:D30)</f>
        <v>0.40045625284099484</v>
      </c>
      <c r="E32" s="7"/>
      <c r="F32" s="7"/>
      <c r="G32" s="25">
        <f>GEOMEAN(G25:G30)</f>
        <v>0.64448253087371599</v>
      </c>
    </row>
    <row r="34" spans="1:7" ht="14.25" customHeight="1">
      <c r="A34" s="46" t="s">
        <v>54</v>
      </c>
      <c r="B34" s="54" t="s">
        <v>128</v>
      </c>
      <c r="C34" s="54"/>
      <c r="D34" s="54"/>
      <c r="E34" s="54" t="s">
        <v>129</v>
      </c>
      <c r="F34" s="54"/>
      <c r="G34" s="54"/>
    </row>
    <row r="35" spans="1:7">
      <c r="A35" s="46"/>
      <c r="B35" t="s">
        <v>130</v>
      </c>
      <c r="C35" t="s">
        <v>131</v>
      </c>
      <c r="D35" t="s">
        <v>132</v>
      </c>
      <c r="E35" t="s">
        <v>130</v>
      </c>
      <c r="F35" t="s">
        <v>131</v>
      </c>
      <c r="G35" t="s">
        <v>132</v>
      </c>
    </row>
    <row r="36" spans="1:7">
      <c r="A36" t="s">
        <v>153</v>
      </c>
      <c r="B36">
        <f>'{V} Q0'!H63</f>
        <v>19</v>
      </c>
      <c r="C36">
        <f>'{V} Q0'!I63</f>
        <v>48</v>
      </c>
      <c r="D36" s="24">
        <f t="shared" ref="D36:D41" si="6">B36/C36</f>
        <v>0.39583333333333331</v>
      </c>
      <c r="E36">
        <f>'{V} Q0'!V63</f>
        <v>19</v>
      </c>
      <c r="F36">
        <f>'{V} Q0'!W63</f>
        <v>28</v>
      </c>
      <c r="G36" s="24">
        <f t="shared" ref="G36:G41" si="7">E36/F36</f>
        <v>0.6785714285714286</v>
      </c>
    </row>
    <row r="37" spans="1:7">
      <c r="A37" t="s">
        <v>154</v>
      </c>
      <c r="B37">
        <f>'{V} Q0'!J63</f>
        <v>21</v>
      </c>
      <c r="C37">
        <f>'{V} Q0'!K63</f>
        <v>53</v>
      </c>
      <c r="D37" s="24">
        <f t="shared" si="6"/>
        <v>0.39622641509433965</v>
      </c>
      <c r="E37">
        <f>'{V} Q0'!X63</f>
        <v>21</v>
      </c>
      <c r="F37">
        <f>'{V} Q0'!Y63</f>
        <v>27</v>
      </c>
      <c r="G37" s="24">
        <f t="shared" si="7"/>
        <v>0.77777777777777779</v>
      </c>
    </row>
    <row r="38" spans="1:7">
      <c r="A38" t="s">
        <v>155</v>
      </c>
      <c r="B38">
        <f>'{V} Q0'!L63</f>
        <v>21</v>
      </c>
      <c r="C38">
        <f>'{V} Q0'!M63</f>
        <v>46</v>
      </c>
      <c r="D38" s="24">
        <f t="shared" si="6"/>
        <v>0.45652173913043476</v>
      </c>
      <c r="E38">
        <f>'{V} Q0'!Z63</f>
        <v>21</v>
      </c>
      <c r="F38">
        <f>'{V} Q0'!AA63</f>
        <v>29</v>
      </c>
      <c r="G38" s="24">
        <f t="shared" si="7"/>
        <v>0.72413793103448276</v>
      </c>
    </row>
    <row r="39" spans="1:7">
      <c r="A39" t="s">
        <v>156</v>
      </c>
      <c r="B39">
        <f>'{V} Q0'!N63</f>
        <v>24</v>
      </c>
      <c r="C39">
        <f>'{V} Q0'!O63</f>
        <v>39</v>
      </c>
      <c r="D39" s="24">
        <f t="shared" si="6"/>
        <v>0.61538461538461542</v>
      </c>
      <c r="E39">
        <f>'{V} Q0'!AB63</f>
        <v>22</v>
      </c>
      <c r="F39">
        <f>'{V} Q0'!AC63</f>
        <v>25</v>
      </c>
      <c r="G39" s="24">
        <f t="shared" si="7"/>
        <v>0.88</v>
      </c>
    </row>
    <row r="40" spans="1:7">
      <c r="A40" t="s">
        <v>157</v>
      </c>
      <c r="B40">
        <f>'{V} Q0'!P63</f>
        <v>23</v>
      </c>
      <c r="C40">
        <f>'{V} Q0'!Q63</f>
        <v>33</v>
      </c>
      <c r="D40" s="24">
        <f t="shared" si="6"/>
        <v>0.69696969696969702</v>
      </c>
      <c r="E40">
        <f>'{V} Q0'!AD63</f>
        <v>22</v>
      </c>
      <c r="F40">
        <f>'{V} Q0'!AE63</f>
        <v>27</v>
      </c>
      <c r="G40" s="24">
        <f t="shared" si="7"/>
        <v>0.81481481481481477</v>
      </c>
    </row>
    <row r="41" spans="1:7">
      <c r="A41" t="s">
        <v>158</v>
      </c>
      <c r="B41">
        <f>'{V} Q0'!R63</f>
        <v>24</v>
      </c>
      <c r="C41">
        <f>'{V} Q0'!S63</f>
        <v>39</v>
      </c>
      <c r="D41" s="24">
        <f t="shared" si="6"/>
        <v>0.61538461538461542</v>
      </c>
      <c r="E41">
        <f>'{V} Q0'!AF63</f>
        <v>23</v>
      </c>
      <c r="F41">
        <f>'{V} Q0'!AG63</f>
        <v>27</v>
      </c>
      <c r="G41" s="24">
        <f t="shared" si="7"/>
        <v>0.85185185185185186</v>
      </c>
    </row>
    <row r="42" spans="1:7">
      <c r="A42" s="16" t="s">
        <v>139</v>
      </c>
      <c r="B42" s="7"/>
      <c r="C42" s="7"/>
      <c r="D42" s="25">
        <f>AVERAGE(D36:D41)</f>
        <v>0.52938673588283935</v>
      </c>
      <c r="E42" s="7"/>
      <c r="F42" s="7"/>
      <c r="G42" s="25">
        <f>AVERAGE(G36:G41)</f>
        <v>0.78785896734172589</v>
      </c>
    </row>
    <row r="43" spans="1:7">
      <c r="A43" s="16" t="s">
        <v>140</v>
      </c>
      <c r="B43" s="7"/>
      <c r="C43" s="7"/>
      <c r="D43" s="25">
        <f>GEOMEAN(D36:D41)</f>
        <v>0.51610421135259776</v>
      </c>
      <c r="E43" s="7"/>
      <c r="F43" s="7"/>
      <c r="G43" s="25">
        <f>GEOMEAN(G36:G41)</f>
        <v>0.78468679273500486</v>
      </c>
    </row>
    <row r="45" spans="1:7" ht="14.25" customHeight="1">
      <c r="A45" s="46" t="s">
        <v>51</v>
      </c>
      <c r="B45" s="54" t="s">
        <v>128</v>
      </c>
      <c r="C45" s="54"/>
      <c r="D45" s="54"/>
      <c r="E45" s="54" t="s">
        <v>129</v>
      </c>
      <c r="F45" s="54"/>
      <c r="G45" s="54"/>
    </row>
    <row r="46" spans="1:7" ht="14.25" customHeight="1">
      <c r="A46" s="46"/>
      <c r="B46" t="s">
        <v>130</v>
      </c>
      <c r="C46" t="s">
        <v>131</v>
      </c>
      <c r="D46" t="s">
        <v>132</v>
      </c>
      <c r="E46" t="s">
        <v>130</v>
      </c>
      <c r="F46" t="s">
        <v>131</v>
      </c>
      <c r="G46" t="s">
        <v>132</v>
      </c>
    </row>
    <row r="47" spans="1:7" ht="14.25" customHeight="1">
      <c r="A47" t="s">
        <v>159</v>
      </c>
      <c r="B47">
        <f>'{V} L3'!H69</f>
        <v>27</v>
      </c>
      <c r="C47">
        <f>'{V} L3'!I69</f>
        <v>43</v>
      </c>
      <c r="D47" s="24">
        <f t="shared" ref="D47:D52" si="8">B47/C47</f>
        <v>0.62790697674418605</v>
      </c>
      <c r="E47">
        <f>'{V} L3'!V69</f>
        <v>26</v>
      </c>
      <c r="F47">
        <f>'{V} L3'!W69</f>
        <v>33</v>
      </c>
      <c r="G47" s="24">
        <f t="shared" ref="G47:G52" si="9">E47/F47</f>
        <v>0.78787878787878785</v>
      </c>
    </row>
    <row r="48" spans="1:7" ht="14.25" customHeight="1">
      <c r="A48" t="s">
        <v>160</v>
      </c>
      <c r="B48">
        <f>'{V} L3'!J69</f>
        <v>27</v>
      </c>
      <c r="C48">
        <f>'{V} L3'!K69</f>
        <v>49</v>
      </c>
      <c r="D48" s="24">
        <f t="shared" si="8"/>
        <v>0.55102040816326525</v>
      </c>
      <c r="E48">
        <f>'{V} L3'!X69</f>
        <v>25</v>
      </c>
      <c r="F48">
        <f>'{V} L3'!Y69</f>
        <v>33</v>
      </c>
      <c r="G48" s="24">
        <f t="shared" si="9"/>
        <v>0.75757575757575757</v>
      </c>
    </row>
    <row r="49" spans="1:7" ht="14.25" customHeight="1">
      <c r="A49" t="s">
        <v>161</v>
      </c>
      <c r="B49">
        <f>'{V} L3'!L69</f>
        <v>27</v>
      </c>
      <c r="C49">
        <f>'{V} L3'!M69</f>
        <v>52</v>
      </c>
      <c r="D49" s="24">
        <f t="shared" si="8"/>
        <v>0.51923076923076927</v>
      </c>
      <c r="E49">
        <f>'{V} L3'!Z69</f>
        <v>25</v>
      </c>
      <c r="F49">
        <f>'{V} L3'!AA69</f>
        <v>37</v>
      </c>
      <c r="G49" s="24">
        <f t="shared" si="9"/>
        <v>0.67567567567567566</v>
      </c>
    </row>
    <row r="50" spans="1:7" ht="14.25" customHeight="1">
      <c r="A50" t="s">
        <v>162</v>
      </c>
      <c r="B50">
        <f>'{V} L3'!N69</f>
        <v>28</v>
      </c>
      <c r="C50">
        <f>'{V} L3'!O69</f>
        <v>48</v>
      </c>
      <c r="D50" s="24">
        <f t="shared" si="8"/>
        <v>0.58333333333333337</v>
      </c>
      <c r="E50">
        <f>'{V} L3'!AB69</f>
        <v>25</v>
      </c>
      <c r="F50">
        <f>'{V} L3'!AC69</f>
        <v>34</v>
      </c>
      <c r="G50" s="24">
        <f t="shared" si="9"/>
        <v>0.73529411764705888</v>
      </c>
    </row>
    <row r="51" spans="1:7" ht="14.25" customHeight="1">
      <c r="A51" t="s">
        <v>163</v>
      </c>
      <c r="B51">
        <f>'{V} L3'!P69</f>
        <v>30</v>
      </c>
      <c r="C51">
        <f>'{V} L3'!Q69</f>
        <v>49</v>
      </c>
      <c r="D51" s="24">
        <f t="shared" si="8"/>
        <v>0.61224489795918369</v>
      </c>
      <c r="E51">
        <f>'{V} L3'!AD69</f>
        <v>27</v>
      </c>
      <c r="F51">
        <f>'{V} L3'!AE69</f>
        <v>36</v>
      </c>
      <c r="G51" s="24">
        <f t="shared" si="9"/>
        <v>0.75</v>
      </c>
    </row>
    <row r="52" spans="1:7" ht="14.25" customHeight="1">
      <c r="A52" t="s">
        <v>164</v>
      </c>
      <c r="B52">
        <f>'{V} L3'!R69</f>
        <v>28</v>
      </c>
      <c r="C52">
        <f>'{V} L3'!S69</f>
        <v>57</v>
      </c>
      <c r="D52" s="24">
        <f t="shared" si="8"/>
        <v>0.49122807017543857</v>
      </c>
      <c r="E52">
        <f>'{V} L3'!AF69</f>
        <v>25</v>
      </c>
      <c r="F52">
        <f>'{V} L3'!AG69</f>
        <v>37</v>
      </c>
      <c r="G52" s="24">
        <f t="shared" si="9"/>
        <v>0.67567567567567566</v>
      </c>
    </row>
    <row r="53" spans="1:7" ht="14.25" customHeight="1">
      <c r="A53" s="16" t="s">
        <v>139</v>
      </c>
      <c r="B53" s="7"/>
      <c r="C53" s="7"/>
      <c r="D53" s="25">
        <f>AVERAGE(D47:D52)</f>
        <v>0.56416074260102933</v>
      </c>
      <c r="E53" s="7"/>
      <c r="F53" s="7"/>
      <c r="G53" s="25">
        <f>AVERAGE(G47:G52)</f>
        <v>0.73035000240882597</v>
      </c>
    </row>
    <row r="54" spans="1:7" ht="14.25" customHeight="1">
      <c r="A54" s="16" t="s">
        <v>140</v>
      </c>
      <c r="B54" s="7"/>
      <c r="C54" s="7"/>
      <c r="D54" s="25">
        <f>GEOMEAN(D47:D52)</f>
        <v>0.56202818175797997</v>
      </c>
      <c r="E54" s="7"/>
      <c r="F54" s="7"/>
      <c r="G54" s="25">
        <f>GEOMEAN(G47:G52)</f>
        <v>0.72914527672017448</v>
      </c>
    </row>
    <row r="55" spans="1:7" ht="14.25" customHeight="1"/>
    <row r="56" spans="1:7" ht="14.25" customHeight="1">
      <c r="A56" s="46" t="s">
        <v>165</v>
      </c>
      <c r="B56" s="54" t="s">
        <v>128</v>
      </c>
      <c r="C56" s="54"/>
      <c r="D56" s="54"/>
      <c r="E56" s="54" t="s">
        <v>129</v>
      </c>
      <c r="F56" s="54"/>
      <c r="G56" s="54"/>
    </row>
    <row r="57" spans="1:7" ht="14.25" customHeight="1">
      <c r="A57" s="46"/>
      <c r="B57" t="s">
        <v>130</v>
      </c>
      <c r="C57" t="s">
        <v>131</v>
      </c>
      <c r="D57" t="s">
        <v>132</v>
      </c>
      <c r="E57" t="s">
        <v>130</v>
      </c>
      <c r="F57" t="s">
        <v>131</v>
      </c>
      <c r="G57" t="s">
        <v>132</v>
      </c>
    </row>
    <row r="58" spans="1:7" ht="14.25" customHeight="1">
      <c r="A58" t="s">
        <v>166</v>
      </c>
      <c r="B58">
        <f>'{V} InterModel'!Z157</f>
        <v>23</v>
      </c>
      <c r="C58">
        <f>'{V} InterModel'!AA157</f>
        <v>95</v>
      </c>
      <c r="D58" s="24">
        <f>'{V} InterModel'!Z158</f>
        <v>0.24210526315789474</v>
      </c>
      <c r="E58">
        <f>'{V} InterModel'!AM157</f>
        <v>21</v>
      </c>
      <c r="F58">
        <f>'{V} InterModel'!AN157</f>
        <v>54</v>
      </c>
      <c r="G58" s="24">
        <f>'{V} InterModel'!AM158</f>
        <v>0.3888888888888889</v>
      </c>
    </row>
    <row r="59" spans="1:7" ht="14.25" customHeight="1">
      <c r="A59" t="s">
        <v>167</v>
      </c>
      <c r="B59">
        <f>'{V} InterModel'!AB157</f>
        <v>23</v>
      </c>
      <c r="C59">
        <f>'{V} InterModel'!AC157</f>
        <v>88</v>
      </c>
      <c r="D59" s="24">
        <f>'{V} InterModel'!AB158</f>
        <v>0.26136363636363635</v>
      </c>
      <c r="E59">
        <f>'{V} InterModel'!AO157</f>
        <v>20</v>
      </c>
      <c r="F59">
        <f>'{V} InterModel'!AP157</f>
        <v>51</v>
      </c>
      <c r="G59" s="24">
        <f>'{V} InterModel'!AO158</f>
        <v>0.39215686274509803</v>
      </c>
    </row>
    <row r="60" spans="1:7" ht="14.25" customHeight="1">
      <c r="A60" t="s">
        <v>168</v>
      </c>
      <c r="B60">
        <f>'{V} InterModel'!AD157</f>
        <v>21</v>
      </c>
      <c r="C60">
        <f>'{V} InterModel'!AE157</f>
        <v>75</v>
      </c>
      <c r="D60" s="24">
        <f>'{V} InterModel'!AD158</f>
        <v>0.28000000000000003</v>
      </c>
      <c r="E60">
        <f>'{V} InterModel'!AQ157</f>
        <v>20</v>
      </c>
      <c r="F60">
        <f>'{V} InterModel'!AR157</f>
        <v>52</v>
      </c>
      <c r="G60" s="24">
        <f>'{V} InterModel'!AQ158</f>
        <v>0.38461538461538464</v>
      </c>
    </row>
    <row r="61" spans="1:7" ht="14.25" customHeight="1">
      <c r="A61" t="s">
        <v>169</v>
      </c>
      <c r="B61">
        <f>'{V} InterModel'!AF157</f>
        <v>16</v>
      </c>
      <c r="C61">
        <f>'{V} InterModel'!AG157</f>
        <v>97</v>
      </c>
      <c r="D61" s="24">
        <f>'{V} InterModel'!AF158</f>
        <v>0.16494845360824742</v>
      </c>
      <c r="E61">
        <f>'{V} InterModel'!AS157</f>
        <v>14</v>
      </c>
      <c r="F61">
        <f>'{V} InterModel'!AT157</f>
        <v>42</v>
      </c>
      <c r="G61" s="24">
        <f>'{V} InterModel'!AS158</f>
        <v>0.33333333333333331</v>
      </c>
    </row>
    <row r="62" spans="1:7" ht="14.25" customHeight="1">
      <c r="A62" t="s">
        <v>170</v>
      </c>
      <c r="B62">
        <f>'{V} InterModel'!AH157</f>
        <v>18</v>
      </c>
      <c r="C62">
        <f>'{V} InterModel'!AI157</f>
        <v>80</v>
      </c>
      <c r="D62" s="24">
        <f>'{V} InterModel'!AJ158</f>
        <v>0.18181818181818182</v>
      </c>
      <c r="E62">
        <f>'{V} InterModel'!AU157</f>
        <v>18</v>
      </c>
      <c r="F62">
        <f>'{V} InterModel'!AV157</f>
        <v>39</v>
      </c>
      <c r="G62" s="24">
        <f>'{V} InterModel'!AU158</f>
        <v>0.46153846153846156</v>
      </c>
    </row>
    <row r="63" spans="1:7" ht="14.25" customHeight="1">
      <c r="A63" t="s">
        <v>171</v>
      </c>
      <c r="B63">
        <f>'{V} InterModel'!AJ157</f>
        <v>14</v>
      </c>
      <c r="C63">
        <f>'{V} InterModel'!AK157</f>
        <v>77</v>
      </c>
      <c r="D63" s="24">
        <f>'{V} InterModel'!AJ158</f>
        <v>0.18181818181818182</v>
      </c>
      <c r="E63">
        <f>'{V} InterModel'!AW157</f>
        <v>14</v>
      </c>
      <c r="F63">
        <f>'{V} InterModel'!AX157</f>
        <v>39</v>
      </c>
      <c r="G63" s="24">
        <f>'{V} InterModel'!AW158</f>
        <v>0.35897435897435898</v>
      </c>
    </row>
    <row r="64" spans="1:7" ht="14.25" customHeight="1">
      <c r="A64" s="16" t="s">
        <v>139</v>
      </c>
      <c r="B64" s="7"/>
      <c r="C64" s="7"/>
      <c r="D64" s="25">
        <f>AVERAGE(D58:D63)</f>
        <v>0.21867561946102368</v>
      </c>
      <c r="E64" s="7"/>
      <c r="F64" s="7"/>
      <c r="G64" s="25">
        <f>AVERAGE(G58:G63)</f>
        <v>0.38658454834925426</v>
      </c>
    </row>
    <row r="65" spans="1:7" ht="14.25" customHeight="1">
      <c r="A65" s="16" t="s">
        <v>140</v>
      </c>
      <c r="B65" s="7"/>
      <c r="C65" s="7"/>
      <c r="D65" s="25">
        <f>GEOMEAN(D58:D63)</f>
        <v>0.21420932986400962</v>
      </c>
      <c r="E65" s="7"/>
      <c r="F65" s="7"/>
      <c r="G65" s="25">
        <f>GEOMEAN(G58:G63)</f>
        <v>0.38465998743924174</v>
      </c>
    </row>
    <row r="66" spans="1:7" ht="14.25" customHeight="1"/>
    <row r="69" spans="1:7">
      <c r="A69" t="s">
        <v>128</v>
      </c>
    </row>
    <row r="70" spans="1:7" ht="29.1">
      <c r="A70" s="3" t="s">
        <v>172</v>
      </c>
      <c r="B70" t="s">
        <v>48</v>
      </c>
      <c r="C70" t="s">
        <v>60</v>
      </c>
      <c r="D70" t="s">
        <v>57</v>
      </c>
      <c r="E70" t="s">
        <v>54</v>
      </c>
      <c r="F70" t="s">
        <v>51</v>
      </c>
    </row>
    <row r="71" spans="1:7">
      <c r="A71" t="s">
        <v>48</v>
      </c>
      <c r="B71" s="24">
        <f>D9</f>
        <v>0.59968959251062381</v>
      </c>
      <c r="C71" s="24">
        <f>D60</f>
        <v>0.28000000000000003</v>
      </c>
      <c r="D71" s="24">
        <f>D59</f>
        <v>0.26136363636363635</v>
      </c>
      <c r="E71" s="24">
        <f>D58</f>
        <v>0.24210526315789474</v>
      </c>
    </row>
    <row r="72" spans="1:7">
      <c r="A72" t="s">
        <v>60</v>
      </c>
      <c r="C72" s="24">
        <f>D20</f>
        <v>0.55799592564298439</v>
      </c>
      <c r="D72" s="24">
        <f>D63</f>
        <v>0.18181818181818182</v>
      </c>
      <c r="E72" s="24">
        <f>D62</f>
        <v>0.18181818181818182</v>
      </c>
    </row>
    <row r="73" spans="1:7">
      <c r="A73" t="s">
        <v>57</v>
      </c>
      <c r="D73" s="24">
        <f>D31</f>
        <v>0.40171435171435177</v>
      </c>
      <c r="E73" s="24">
        <f>D61</f>
        <v>0.16494845360824742</v>
      </c>
    </row>
    <row r="74" spans="1:7">
      <c r="A74" t="s">
        <v>54</v>
      </c>
      <c r="E74" s="24">
        <f>D42</f>
        <v>0.52938673588283935</v>
      </c>
    </row>
    <row r="75" spans="1:7">
      <c r="A75" t="s">
        <v>51</v>
      </c>
      <c r="F75" s="24">
        <f>D53</f>
        <v>0.56416074260102933</v>
      </c>
    </row>
    <row r="76" spans="1:7">
      <c r="A76" t="s">
        <v>129</v>
      </c>
    </row>
    <row r="77" spans="1:7" ht="29.1">
      <c r="A77" s="3" t="s">
        <v>172</v>
      </c>
      <c r="B77" t="s">
        <v>48</v>
      </c>
      <c r="C77" t="s">
        <v>60</v>
      </c>
      <c r="D77" t="s">
        <v>57</v>
      </c>
      <c r="E77" t="s">
        <v>54</v>
      </c>
      <c r="F77" t="s">
        <v>51</v>
      </c>
    </row>
    <row r="78" spans="1:7">
      <c r="A78" t="s">
        <v>48</v>
      </c>
      <c r="B78" s="24">
        <f>G9</f>
        <v>0.71118452625805562</v>
      </c>
      <c r="C78" s="24">
        <f>G60</f>
        <v>0.38461538461538464</v>
      </c>
      <c r="D78" s="24">
        <f>G59</f>
        <v>0.39215686274509803</v>
      </c>
      <c r="E78" s="24">
        <f>G58</f>
        <v>0.3888888888888889</v>
      </c>
    </row>
    <row r="79" spans="1:7">
      <c r="A79" t="s">
        <v>60</v>
      </c>
      <c r="C79" s="24">
        <f>G20</f>
        <v>0.7005632411067193</v>
      </c>
      <c r="D79" s="24">
        <f>G63</f>
        <v>0.35897435897435898</v>
      </c>
      <c r="E79" s="24">
        <f>G62</f>
        <v>0.46153846153846156</v>
      </c>
    </row>
    <row r="80" spans="1:7">
      <c r="A80" t="s">
        <v>57</v>
      </c>
      <c r="D80" s="24">
        <f>G31</f>
        <v>0.64740394250759037</v>
      </c>
      <c r="E80" s="24">
        <f>G61</f>
        <v>0.33333333333333331</v>
      </c>
    </row>
    <row r="81" spans="1:6">
      <c r="A81" t="s">
        <v>54</v>
      </c>
      <c r="E81" s="24">
        <f>G42</f>
        <v>0.78785896734172589</v>
      </c>
    </row>
    <row r="82" spans="1:6">
      <c r="A82" t="s">
        <v>51</v>
      </c>
      <c r="F82" s="24">
        <f>G53</f>
        <v>0.73035000240882597</v>
      </c>
    </row>
  </sheetData>
  <mergeCells count="18">
    <mergeCell ref="A23:A24"/>
    <mergeCell ref="B23:D23"/>
    <mergeCell ref="E23:G23"/>
    <mergeCell ref="A34:A35"/>
    <mergeCell ref="A1:A2"/>
    <mergeCell ref="B1:D1"/>
    <mergeCell ref="E1:G1"/>
    <mergeCell ref="A12:A13"/>
    <mergeCell ref="B12:D12"/>
    <mergeCell ref="E12:G12"/>
    <mergeCell ref="B34:D34"/>
    <mergeCell ref="E34:G34"/>
    <mergeCell ref="A56:A57"/>
    <mergeCell ref="B56:D56"/>
    <mergeCell ref="E56:G56"/>
    <mergeCell ref="A45:A46"/>
    <mergeCell ref="B45:D45"/>
    <mergeCell ref="E45:G45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71"/>
  <sheetViews>
    <sheetView zoomScale="85" zoomScaleNormal="85" workbookViewId="0"/>
  </sheetViews>
  <sheetFormatPr defaultColWidth="8.7109375" defaultRowHeight="14.45"/>
  <cols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174</v>
      </c>
      <c r="C1" s="27" t="s">
        <v>175</v>
      </c>
      <c r="D1" s="27" t="s">
        <v>176</v>
      </c>
      <c r="E1" s="27" t="s">
        <v>177</v>
      </c>
      <c r="F1" t="s">
        <v>178</v>
      </c>
      <c r="H1" t="s">
        <v>179</v>
      </c>
      <c r="I1" t="s">
        <v>180</v>
      </c>
      <c r="J1" t="s">
        <v>181</v>
      </c>
      <c r="K1" t="s">
        <v>182</v>
      </c>
      <c r="L1" t="s">
        <v>183</v>
      </c>
      <c r="M1" t="s">
        <v>184</v>
      </c>
      <c r="N1" t="s">
        <v>185</v>
      </c>
      <c r="O1" t="s">
        <v>186</v>
      </c>
      <c r="P1" t="s">
        <v>187</v>
      </c>
      <c r="Q1" t="s">
        <v>188</v>
      </c>
      <c r="R1" t="s">
        <v>189</v>
      </c>
      <c r="S1" t="s">
        <v>190</v>
      </c>
      <c r="V1" t="s">
        <v>179</v>
      </c>
      <c r="W1" t="s">
        <v>180</v>
      </c>
      <c r="X1" t="s">
        <v>181</v>
      </c>
      <c r="Y1" t="s">
        <v>182</v>
      </c>
      <c r="Z1" t="s">
        <v>183</v>
      </c>
      <c r="AA1" t="s">
        <v>184</v>
      </c>
      <c r="AB1" t="s">
        <v>185</v>
      </c>
      <c r="AC1" t="s">
        <v>186</v>
      </c>
      <c r="AD1" t="s">
        <v>187</v>
      </c>
      <c r="AE1" t="s">
        <v>188</v>
      </c>
      <c r="AF1" t="s">
        <v>189</v>
      </c>
      <c r="AG1" t="s">
        <v>190</v>
      </c>
    </row>
    <row r="2" spans="1:33">
      <c r="A2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3" si="0">AND(B2&lt;&gt;"",C2&lt;&gt;"")</f>
        <v>1</v>
      </c>
      <c r="I2" t="b">
        <f t="shared" ref="I2:I33" si="1">OR(B2&lt;&gt;"",C2&lt;&gt;"")</f>
        <v>1</v>
      </c>
      <c r="J2" t="b">
        <f t="shared" ref="J2:J33" si="2">AND(B2&lt;&gt;"",D2&lt;&gt;"")</f>
        <v>1</v>
      </c>
      <c r="K2" t="b">
        <f t="shared" ref="K2:K33" si="3">OR(B2&lt;&gt;"",D2&lt;&gt;"")</f>
        <v>1</v>
      </c>
      <c r="L2" t="b">
        <f t="shared" ref="L2:L33" si="4">AND(B2&lt;&gt;"",E2&lt;&gt;"")</f>
        <v>1</v>
      </c>
      <c r="M2" t="b">
        <f t="shared" ref="M2:M33" si="5">OR(B2&lt;&gt;"",E2&lt;&gt;"")</f>
        <v>1</v>
      </c>
      <c r="N2" t="b">
        <f t="shared" ref="N2:N33" si="6">AND(C2&lt;&gt;"",D2&lt;&gt;"")</f>
        <v>1</v>
      </c>
      <c r="O2" t="b">
        <f t="shared" ref="O2:O33" si="7">OR(C2&lt;&gt;"",D2&lt;&gt;"")</f>
        <v>1</v>
      </c>
      <c r="P2" t="b">
        <f t="shared" ref="P2:P33" si="8">AND(C2&lt;&gt;"",E2&lt;&gt;"")</f>
        <v>1</v>
      </c>
      <c r="Q2" t="b">
        <f t="shared" ref="Q2:Q33" si="9">OR(C2&lt;&gt;"",E2&lt;&gt;"")</f>
        <v>1</v>
      </c>
      <c r="R2" t="b">
        <f t="shared" ref="R2:R33" si="10">AND(D2&lt;&gt;"",E2&lt;&gt;"")</f>
        <v>1</v>
      </c>
      <c r="S2" t="b">
        <f t="shared" ref="S2:S33" si="11">OR(D2&lt;&gt;"",E2&lt;&gt;"")</f>
        <v>1</v>
      </c>
      <c r="V2" t="b">
        <f t="shared" ref="V2:V33" si="12">AND(B2&lt;&gt;"",C2&lt;&gt;"",F2="No")</f>
        <v>1</v>
      </c>
      <c r="W2" t="b">
        <f t="shared" ref="W2:W33" si="13">AND(OR(B2&lt;&gt;"",C2&lt;&gt;""),F2="No")</f>
        <v>1</v>
      </c>
      <c r="X2" t="b">
        <f t="shared" ref="X2:X33" si="14">AND(B2&lt;&gt;"",D2&lt;&gt;"",F2="No")</f>
        <v>1</v>
      </c>
      <c r="Y2" t="b">
        <f t="shared" ref="Y2:Y33" si="15">AND(OR(B2&lt;&gt;"",D2&lt;&gt;""),F2="No")</f>
        <v>1</v>
      </c>
      <c r="Z2" t="b">
        <f t="shared" ref="Z2:Z33" si="16">AND(B2&lt;&gt;"",E2&lt;&gt;"",F2="No")</f>
        <v>1</v>
      </c>
      <c r="AA2" t="b">
        <f t="shared" ref="AA2:AA33" si="17">AND(OR(B2&lt;&gt;"",E2&lt;&gt;""),F2="No")</f>
        <v>1</v>
      </c>
      <c r="AB2" t="b">
        <f t="shared" ref="AB2:AB33" si="18">AND(C2&lt;&gt;"",D2&lt;&gt;"",F2="No")</f>
        <v>1</v>
      </c>
      <c r="AC2" t="b">
        <f t="shared" ref="AC2:AC33" si="19">AND(OR(C2&lt;&gt;"",D2&lt;&gt;""),F2="No")</f>
        <v>1</v>
      </c>
      <c r="AD2" t="b">
        <f t="shared" ref="AD2:AD33" si="20">AND(C2&lt;&gt;"",E2&lt;&gt;"",F2="No")</f>
        <v>1</v>
      </c>
      <c r="AE2" t="b">
        <f t="shared" ref="AE2:AE33" si="21">AND(OR(C2&lt;&gt;"",E2&lt;&gt;""),F2="No")</f>
        <v>1</v>
      </c>
      <c r="AF2" t="b">
        <f t="shared" ref="AF2:AF33" si="22">AND(D2&lt;&gt;"",E2&lt;&gt;"",F2="No")</f>
        <v>1</v>
      </c>
      <c r="AG2" t="b">
        <f t="shared" ref="AG2:AG33" si="23">AND(OR(D2&lt;&gt;"",E2&lt;&gt;""),F2="No")</f>
        <v>1</v>
      </c>
    </row>
    <row r="3" spans="1:33">
      <c r="A3" s="3" t="s">
        <v>194</v>
      </c>
      <c r="C3" s="27" t="s">
        <v>192</v>
      </c>
      <c r="E3" s="27" t="s">
        <v>192</v>
      </c>
      <c r="F3" s="6" t="s">
        <v>193</v>
      </c>
      <c r="H3" t="b">
        <f t="shared" ref="H3:H66" si="24">AND(B3&lt;&gt;"",C3&lt;&gt;"")</f>
        <v>0</v>
      </c>
      <c r="I3" t="b">
        <f t="shared" ref="I3:I66" si="25">OR(B3&lt;&gt;"",C3&lt;&gt;"")</f>
        <v>1</v>
      </c>
      <c r="J3" t="b">
        <f t="shared" ref="J3:J66" si="26">AND(B3&lt;&gt;"",D3&lt;&gt;"")</f>
        <v>0</v>
      </c>
      <c r="K3" t="b">
        <f t="shared" ref="K3:K66" si="27">OR(B3&lt;&gt;"",D3&lt;&gt;"")</f>
        <v>0</v>
      </c>
      <c r="L3" t="b">
        <f t="shared" ref="L3:L66" si="28">AND(B3&lt;&gt;"",E3&lt;&gt;"")</f>
        <v>0</v>
      </c>
      <c r="M3" t="b">
        <f t="shared" ref="M3:M66" si="29">OR(B3&lt;&gt;"",E3&lt;&gt;"")</f>
        <v>1</v>
      </c>
      <c r="N3" t="b">
        <f t="shared" ref="N3:N66" si="30">AND(C3&lt;&gt;"",D3&lt;&gt;"")</f>
        <v>0</v>
      </c>
      <c r="O3" t="b">
        <f t="shared" ref="O3:O66" si="31">OR(C3&lt;&gt;"",D3&lt;&gt;"")</f>
        <v>1</v>
      </c>
      <c r="P3" t="b">
        <f t="shared" ref="P3:P66" si="32">AND(C3&lt;&gt;"",E3&lt;&gt;"")</f>
        <v>1</v>
      </c>
      <c r="Q3" t="b">
        <f t="shared" ref="Q3:Q66" si="33">OR(C3&lt;&gt;"",E3&lt;&gt;"")</f>
        <v>1</v>
      </c>
      <c r="R3" t="b">
        <f t="shared" ref="R3:R66" si="34">AND(D3&lt;&gt;"",E3&lt;&gt;"")</f>
        <v>0</v>
      </c>
      <c r="S3" t="b">
        <f t="shared" ref="S3:S66" si="35">OR(D3&lt;&gt;"",E3&lt;&gt;"")</f>
        <v>1</v>
      </c>
      <c r="V3" t="b">
        <f t="shared" ref="V3:V66" si="36">AND(B3&lt;&gt;"",C3&lt;&gt;"",F3="No")</f>
        <v>0</v>
      </c>
      <c r="W3" t="b">
        <f t="shared" ref="W3:W66" si="37">AND(OR(B3&lt;&gt;"",C3&lt;&gt;""),F3="No")</f>
        <v>1</v>
      </c>
      <c r="X3" t="b">
        <f t="shared" ref="X3:X66" si="38">AND(B3&lt;&gt;"",D3&lt;&gt;"",F3="No")</f>
        <v>0</v>
      </c>
      <c r="Y3" t="b">
        <f t="shared" ref="Y3:Y66" si="39">AND(OR(B3&lt;&gt;"",D3&lt;&gt;""),F3="No")</f>
        <v>0</v>
      </c>
      <c r="Z3" t="b">
        <f t="shared" ref="Z3:Z66" si="40">AND(B3&lt;&gt;"",E3&lt;&gt;"",F3="No")</f>
        <v>0</v>
      </c>
      <c r="AA3" t="b">
        <f t="shared" ref="AA3:AA66" si="41">AND(OR(B3&lt;&gt;"",E3&lt;&gt;""),F3="No")</f>
        <v>1</v>
      </c>
      <c r="AB3" t="b">
        <f t="shared" ref="AB3:AB66" si="42">AND(C3&lt;&gt;"",D3&lt;&gt;"",F3="No")</f>
        <v>0</v>
      </c>
      <c r="AC3" t="b">
        <f t="shared" ref="AC3:AC66" si="43">AND(OR(C3&lt;&gt;"",D3&lt;&gt;""),F3="No")</f>
        <v>1</v>
      </c>
      <c r="AD3" t="b">
        <f t="shared" ref="AD3:AD66" si="44">AND(C3&lt;&gt;"",E3&lt;&gt;"",F3="No")</f>
        <v>1</v>
      </c>
      <c r="AE3" t="b">
        <f t="shared" ref="AE3:AE66" si="45">AND(OR(C3&lt;&gt;"",E3&lt;&gt;""),F3="No")</f>
        <v>1</v>
      </c>
      <c r="AF3" t="b">
        <f t="shared" ref="AF3:AF66" si="46">AND(D3&lt;&gt;"",E3&lt;&gt;"",F3="No")</f>
        <v>0</v>
      </c>
      <c r="AG3" t="b">
        <f t="shared" ref="AG3:AG66" si="47">AND(OR(D3&lt;&gt;"",E3&lt;&gt;""),F3="No")</f>
        <v>1</v>
      </c>
    </row>
    <row r="4" spans="1:33">
      <c r="A4" t="s">
        <v>195</v>
      </c>
      <c r="D4" s="27" t="s">
        <v>192</v>
      </c>
      <c r="F4" s="6" t="s">
        <v>196</v>
      </c>
      <c r="H4" t="b">
        <f t="shared" si="24"/>
        <v>0</v>
      </c>
      <c r="I4" t="b">
        <f t="shared" si="25"/>
        <v>0</v>
      </c>
      <c r="J4" t="b">
        <f t="shared" si="26"/>
        <v>0</v>
      </c>
      <c r="K4" t="b">
        <f t="shared" si="27"/>
        <v>1</v>
      </c>
      <c r="L4" t="b">
        <f t="shared" si="28"/>
        <v>0</v>
      </c>
      <c r="M4" t="b">
        <f t="shared" si="29"/>
        <v>0</v>
      </c>
      <c r="N4" t="b">
        <f t="shared" si="30"/>
        <v>0</v>
      </c>
      <c r="O4" t="b">
        <f t="shared" si="31"/>
        <v>1</v>
      </c>
      <c r="P4" t="b">
        <f t="shared" si="32"/>
        <v>0</v>
      </c>
      <c r="Q4" t="b">
        <f t="shared" si="33"/>
        <v>0</v>
      </c>
      <c r="R4" t="b">
        <f t="shared" si="34"/>
        <v>0</v>
      </c>
      <c r="S4" t="b">
        <f t="shared" si="35"/>
        <v>1</v>
      </c>
      <c r="V4" t="b">
        <f t="shared" si="36"/>
        <v>0</v>
      </c>
      <c r="W4" t="b">
        <f t="shared" si="37"/>
        <v>0</v>
      </c>
      <c r="X4" t="b">
        <f t="shared" si="38"/>
        <v>0</v>
      </c>
      <c r="Y4" t="b">
        <f t="shared" si="39"/>
        <v>0</v>
      </c>
      <c r="Z4" t="b">
        <f t="shared" si="40"/>
        <v>0</v>
      </c>
      <c r="AA4" t="b">
        <f t="shared" si="41"/>
        <v>0</v>
      </c>
      <c r="AB4" t="b">
        <f t="shared" si="42"/>
        <v>0</v>
      </c>
      <c r="AC4" t="b">
        <f t="shared" si="43"/>
        <v>0</v>
      </c>
      <c r="AD4" t="b">
        <f t="shared" si="44"/>
        <v>0</v>
      </c>
      <c r="AE4" t="b">
        <f t="shared" si="45"/>
        <v>0</v>
      </c>
      <c r="AF4" t="b">
        <f t="shared" si="46"/>
        <v>0</v>
      </c>
      <c r="AG4" t="b">
        <f t="shared" si="47"/>
        <v>0</v>
      </c>
    </row>
    <row r="5" spans="1:33">
      <c r="A5" t="s">
        <v>197</v>
      </c>
      <c r="C5" s="27" t="s">
        <v>192</v>
      </c>
      <c r="F5" s="6" t="s">
        <v>196</v>
      </c>
      <c r="H5" t="b">
        <f t="shared" si="24"/>
        <v>0</v>
      </c>
      <c r="I5" t="b">
        <f t="shared" si="25"/>
        <v>1</v>
      </c>
      <c r="J5" t="b">
        <f t="shared" si="26"/>
        <v>0</v>
      </c>
      <c r="K5" t="b">
        <f t="shared" si="27"/>
        <v>0</v>
      </c>
      <c r="L5" t="b">
        <f t="shared" si="28"/>
        <v>0</v>
      </c>
      <c r="M5" t="b">
        <f t="shared" si="29"/>
        <v>0</v>
      </c>
      <c r="N5" t="b">
        <f t="shared" si="30"/>
        <v>0</v>
      </c>
      <c r="O5" t="b">
        <f t="shared" si="31"/>
        <v>1</v>
      </c>
      <c r="P5" t="b">
        <f t="shared" si="32"/>
        <v>0</v>
      </c>
      <c r="Q5" t="b">
        <f t="shared" si="33"/>
        <v>1</v>
      </c>
      <c r="R5" t="b">
        <f t="shared" si="34"/>
        <v>0</v>
      </c>
      <c r="S5" t="b">
        <f t="shared" si="35"/>
        <v>0</v>
      </c>
      <c r="V5" t="b">
        <f t="shared" si="36"/>
        <v>0</v>
      </c>
      <c r="W5" t="b">
        <f t="shared" si="37"/>
        <v>0</v>
      </c>
      <c r="X5" t="b">
        <f t="shared" si="38"/>
        <v>0</v>
      </c>
      <c r="Y5" t="b">
        <f t="shared" si="39"/>
        <v>0</v>
      </c>
      <c r="Z5" t="b">
        <f t="shared" si="40"/>
        <v>0</v>
      </c>
      <c r="AA5" t="b">
        <f t="shared" si="41"/>
        <v>0</v>
      </c>
      <c r="AB5" t="b">
        <f t="shared" si="42"/>
        <v>0</v>
      </c>
      <c r="AC5" t="b">
        <f t="shared" si="43"/>
        <v>0</v>
      </c>
      <c r="AD5" t="b">
        <f t="shared" si="44"/>
        <v>0</v>
      </c>
      <c r="AE5" t="b">
        <f t="shared" si="45"/>
        <v>0</v>
      </c>
      <c r="AF5" t="b">
        <f t="shared" si="46"/>
        <v>0</v>
      </c>
      <c r="AG5" t="b">
        <f t="shared" si="47"/>
        <v>0</v>
      </c>
    </row>
    <row r="6" spans="1:33">
      <c r="A6" t="s">
        <v>198</v>
      </c>
      <c r="E6" s="27" t="s">
        <v>192</v>
      </c>
      <c r="F6" s="6" t="s">
        <v>196</v>
      </c>
      <c r="H6" t="b">
        <f t="shared" si="24"/>
        <v>0</v>
      </c>
      <c r="I6" t="b">
        <f t="shared" si="25"/>
        <v>0</v>
      </c>
      <c r="J6" t="b">
        <f t="shared" si="26"/>
        <v>0</v>
      </c>
      <c r="K6" t="b">
        <f t="shared" si="27"/>
        <v>0</v>
      </c>
      <c r="L6" t="b">
        <f t="shared" si="28"/>
        <v>0</v>
      </c>
      <c r="M6" t="b">
        <f t="shared" si="29"/>
        <v>1</v>
      </c>
      <c r="N6" t="b">
        <f t="shared" si="30"/>
        <v>0</v>
      </c>
      <c r="O6" t="b">
        <f t="shared" si="31"/>
        <v>0</v>
      </c>
      <c r="P6" t="b">
        <f t="shared" si="32"/>
        <v>0</v>
      </c>
      <c r="Q6" t="b">
        <f t="shared" si="33"/>
        <v>1</v>
      </c>
      <c r="R6" t="b">
        <f t="shared" si="34"/>
        <v>0</v>
      </c>
      <c r="S6" t="b">
        <f t="shared" si="35"/>
        <v>1</v>
      </c>
      <c r="V6" t="b">
        <f t="shared" si="36"/>
        <v>0</v>
      </c>
      <c r="W6" t="b">
        <f t="shared" si="37"/>
        <v>0</v>
      </c>
      <c r="X6" t="b">
        <f t="shared" si="38"/>
        <v>0</v>
      </c>
      <c r="Y6" t="b">
        <f t="shared" si="39"/>
        <v>0</v>
      </c>
      <c r="Z6" t="b">
        <f t="shared" si="40"/>
        <v>0</v>
      </c>
      <c r="AA6" t="b">
        <f t="shared" si="41"/>
        <v>0</v>
      </c>
      <c r="AB6" t="b">
        <f t="shared" si="42"/>
        <v>0</v>
      </c>
      <c r="AC6" t="b">
        <f t="shared" si="43"/>
        <v>0</v>
      </c>
      <c r="AD6" t="b">
        <f t="shared" si="44"/>
        <v>0</v>
      </c>
      <c r="AE6" t="b">
        <f t="shared" si="45"/>
        <v>0</v>
      </c>
      <c r="AF6" t="b">
        <f t="shared" si="46"/>
        <v>0</v>
      </c>
      <c r="AG6" t="b">
        <f t="shared" si="47"/>
        <v>0</v>
      </c>
    </row>
    <row r="7" spans="1:33">
      <c r="A7" t="s">
        <v>199</v>
      </c>
      <c r="B7" s="27" t="s">
        <v>192</v>
      </c>
      <c r="C7" s="27" t="s">
        <v>192</v>
      </c>
      <c r="D7" s="27" t="s">
        <v>192</v>
      </c>
      <c r="E7" s="27" t="s">
        <v>192</v>
      </c>
      <c r="F7" s="6" t="s">
        <v>193</v>
      </c>
      <c r="H7" t="b">
        <f t="shared" si="24"/>
        <v>1</v>
      </c>
      <c r="I7" t="b">
        <f t="shared" si="25"/>
        <v>1</v>
      </c>
      <c r="J7" t="b">
        <f t="shared" si="26"/>
        <v>1</v>
      </c>
      <c r="K7" t="b">
        <f t="shared" si="27"/>
        <v>1</v>
      </c>
      <c r="L7" t="b">
        <f t="shared" si="28"/>
        <v>1</v>
      </c>
      <c r="M7" t="b">
        <f t="shared" si="29"/>
        <v>1</v>
      </c>
      <c r="N7" t="b">
        <f t="shared" si="30"/>
        <v>1</v>
      </c>
      <c r="O7" t="b">
        <f t="shared" si="31"/>
        <v>1</v>
      </c>
      <c r="P7" t="b">
        <f t="shared" si="32"/>
        <v>1</v>
      </c>
      <c r="Q7" t="b">
        <f t="shared" si="33"/>
        <v>1</v>
      </c>
      <c r="R7" t="b">
        <f t="shared" si="34"/>
        <v>1</v>
      </c>
      <c r="S7" t="b">
        <f t="shared" si="35"/>
        <v>1</v>
      </c>
      <c r="V7" t="b">
        <f t="shared" si="36"/>
        <v>1</v>
      </c>
      <c r="W7" t="b">
        <f t="shared" si="37"/>
        <v>1</v>
      </c>
      <c r="X7" t="b">
        <f t="shared" si="38"/>
        <v>1</v>
      </c>
      <c r="Y7" t="b">
        <f t="shared" si="39"/>
        <v>1</v>
      </c>
      <c r="Z7" t="b">
        <f t="shared" si="40"/>
        <v>1</v>
      </c>
      <c r="AA7" t="b">
        <f t="shared" si="41"/>
        <v>1</v>
      </c>
      <c r="AB7" t="b">
        <f t="shared" si="42"/>
        <v>1</v>
      </c>
      <c r="AC7" t="b">
        <f t="shared" si="43"/>
        <v>1</v>
      </c>
      <c r="AD7" t="b">
        <f t="shared" si="44"/>
        <v>1</v>
      </c>
      <c r="AE7" t="b">
        <f t="shared" si="45"/>
        <v>1</v>
      </c>
      <c r="AF7" t="b">
        <f t="shared" si="46"/>
        <v>1</v>
      </c>
      <c r="AG7" t="b">
        <f t="shared" si="47"/>
        <v>1</v>
      </c>
    </row>
    <row r="8" spans="1:33">
      <c r="A8" t="s">
        <v>200</v>
      </c>
      <c r="B8" s="27" t="s">
        <v>192</v>
      </c>
      <c r="F8" s="6" t="s">
        <v>196</v>
      </c>
      <c r="H8" t="b">
        <f t="shared" si="24"/>
        <v>0</v>
      </c>
      <c r="I8" t="b">
        <f t="shared" si="25"/>
        <v>1</v>
      </c>
      <c r="J8" t="b">
        <f t="shared" si="26"/>
        <v>0</v>
      </c>
      <c r="K8" t="b">
        <f t="shared" si="27"/>
        <v>1</v>
      </c>
      <c r="L8" t="b">
        <f t="shared" si="28"/>
        <v>0</v>
      </c>
      <c r="M8" t="b">
        <f t="shared" si="29"/>
        <v>1</v>
      </c>
      <c r="N8" t="b">
        <f t="shared" si="30"/>
        <v>0</v>
      </c>
      <c r="O8" t="b">
        <f t="shared" si="31"/>
        <v>0</v>
      </c>
      <c r="P8" t="b">
        <f t="shared" si="32"/>
        <v>0</v>
      </c>
      <c r="Q8" t="b">
        <f t="shared" si="33"/>
        <v>0</v>
      </c>
      <c r="R8" t="b">
        <f t="shared" si="34"/>
        <v>0</v>
      </c>
      <c r="S8" t="b">
        <f t="shared" si="35"/>
        <v>0</v>
      </c>
      <c r="V8" t="b">
        <f t="shared" si="36"/>
        <v>0</v>
      </c>
      <c r="W8" t="b">
        <f t="shared" si="37"/>
        <v>0</v>
      </c>
      <c r="X8" t="b">
        <f t="shared" si="38"/>
        <v>0</v>
      </c>
      <c r="Y8" t="b">
        <f t="shared" si="39"/>
        <v>0</v>
      </c>
      <c r="Z8" t="b">
        <f t="shared" si="40"/>
        <v>0</v>
      </c>
      <c r="AA8" t="b">
        <f t="shared" si="41"/>
        <v>0</v>
      </c>
      <c r="AB8" t="b">
        <f t="shared" si="42"/>
        <v>0</v>
      </c>
      <c r="AC8" t="b">
        <f t="shared" si="43"/>
        <v>0</v>
      </c>
      <c r="AD8" t="b">
        <f t="shared" si="44"/>
        <v>0</v>
      </c>
      <c r="AE8" t="b">
        <f t="shared" si="45"/>
        <v>0</v>
      </c>
      <c r="AF8" t="b">
        <f t="shared" si="46"/>
        <v>0</v>
      </c>
      <c r="AG8" t="b">
        <f t="shared" si="47"/>
        <v>0</v>
      </c>
    </row>
    <row r="9" spans="1:33">
      <c r="A9" t="s">
        <v>201</v>
      </c>
      <c r="B9" s="27" t="s">
        <v>192</v>
      </c>
      <c r="F9" s="6" t="s">
        <v>196</v>
      </c>
      <c r="H9" t="b">
        <f t="shared" si="24"/>
        <v>0</v>
      </c>
      <c r="I9" t="b">
        <f t="shared" si="25"/>
        <v>1</v>
      </c>
      <c r="J9" t="b">
        <f t="shared" si="26"/>
        <v>0</v>
      </c>
      <c r="K9" t="b">
        <f t="shared" si="27"/>
        <v>1</v>
      </c>
      <c r="L9" t="b">
        <f t="shared" si="28"/>
        <v>0</v>
      </c>
      <c r="M9" t="b">
        <f t="shared" si="29"/>
        <v>1</v>
      </c>
      <c r="N9" t="b">
        <f t="shared" si="30"/>
        <v>0</v>
      </c>
      <c r="O9" t="b">
        <f t="shared" si="31"/>
        <v>0</v>
      </c>
      <c r="P9" t="b">
        <f t="shared" si="32"/>
        <v>0</v>
      </c>
      <c r="Q9" t="b">
        <f t="shared" si="33"/>
        <v>0</v>
      </c>
      <c r="R9" t="b">
        <f t="shared" si="34"/>
        <v>0</v>
      </c>
      <c r="S9" t="b">
        <f t="shared" si="35"/>
        <v>0</v>
      </c>
      <c r="V9" t="b">
        <f t="shared" si="36"/>
        <v>0</v>
      </c>
      <c r="W9" t="b">
        <f t="shared" si="37"/>
        <v>0</v>
      </c>
      <c r="X9" t="b">
        <f t="shared" si="38"/>
        <v>0</v>
      </c>
      <c r="Y9" t="b">
        <f t="shared" si="39"/>
        <v>0</v>
      </c>
      <c r="Z9" t="b">
        <f t="shared" si="40"/>
        <v>0</v>
      </c>
      <c r="AA9" t="b">
        <f t="shared" si="41"/>
        <v>0</v>
      </c>
      <c r="AB9" t="b">
        <f t="shared" si="42"/>
        <v>0</v>
      </c>
      <c r="AC9" t="b">
        <f t="shared" si="43"/>
        <v>0</v>
      </c>
      <c r="AD9" t="b">
        <f t="shared" si="44"/>
        <v>0</v>
      </c>
      <c r="AE9" t="b">
        <f t="shared" si="45"/>
        <v>0</v>
      </c>
      <c r="AF9" t="b">
        <f t="shared" si="46"/>
        <v>0</v>
      </c>
      <c r="AG9" t="b">
        <f t="shared" si="47"/>
        <v>0</v>
      </c>
    </row>
    <row r="10" spans="1:33">
      <c r="A10" t="s">
        <v>202</v>
      </c>
      <c r="B10" s="27" t="s">
        <v>192</v>
      </c>
      <c r="C10" s="27" t="s">
        <v>192</v>
      </c>
      <c r="D10" s="27" t="s">
        <v>192</v>
      </c>
      <c r="E10" s="27" t="s">
        <v>192</v>
      </c>
      <c r="F10" s="6" t="s">
        <v>193</v>
      </c>
      <c r="H10" t="b">
        <f t="shared" si="24"/>
        <v>1</v>
      </c>
      <c r="I10" t="b">
        <f t="shared" si="25"/>
        <v>1</v>
      </c>
      <c r="J10" t="b">
        <f t="shared" si="26"/>
        <v>1</v>
      </c>
      <c r="K10" t="b">
        <f t="shared" si="27"/>
        <v>1</v>
      </c>
      <c r="L10" t="b">
        <f t="shared" si="28"/>
        <v>1</v>
      </c>
      <c r="M10" t="b">
        <f t="shared" si="29"/>
        <v>1</v>
      </c>
      <c r="N10" t="b">
        <f t="shared" si="30"/>
        <v>1</v>
      </c>
      <c r="O10" t="b">
        <f t="shared" si="31"/>
        <v>1</v>
      </c>
      <c r="P10" t="b">
        <f t="shared" si="32"/>
        <v>1</v>
      </c>
      <c r="Q10" t="b">
        <f t="shared" si="33"/>
        <v>1</v>
      </c>
      <c r="R10" t="b">
        <f t="shared" si="34"/>
        <v>1</v>
      </c>
      <c r="S10" t="b">
        <f t="shared" si="35"/>
        <v>1</v>
      </c>
      <c r="V10" t="b">
        <f t="shared" si="36"/>
        <v>1</v>
      </c>
      <c r="W10" t="b">
        <f t="shared" si="37"/>
        <v>1</v>
      </c>
      <c r="X10" t="b">
        <f t="shared" si="38"/>
        <v>1</v>
      </c>
      <c r="Y10" t="b">
        <f t="shared" si="39"/>
        <v>1</v>
      </c>
      <c r="Z10" t="b">
        <f t="shared" si="40"/>
        <v>1</v>
      </c>
      <c r="AA10" t="b">
        <f t="shared" si="41"/>
        <v>1</v>
      </c>
      <c r="AB10" t="b">
        <f t="shared" si="42"/>
        <v>1</v>
      </c>
      <c r="AC10" t="b">
        <f t="shared" si="43"/>
        <v>1</v>
      </c>
      <c r="AD10" t="b">
        <f t="shared" si="44"/>
        <v>1</v>
      </c>
      <c r="AE10" t="b">
        <f t="shared" si="45"/>
        <v>1</v>
      </c>
      <c r="AF10" t="b">
        <f t="shared" si="46"/>
        <v>1</v>
      </c>
      <c r="AG10" t="b">
        <f t="shared" si="47"/>
        <v>1</v>
      </c>
    </row>
    <row r="11" spans="1:33">
      <c r="A11" t="s">
        <v>203</v>
      </c>
      <c r="C11" s="27" t="s">
        <v>192</v>
      </c>
      <c r="F11" s="6" t="s">
        <v>193</v>
      </c>
      <c r="H11" t="b">
        <f t="shared" si="24"/>
        <v>0</v>
      </c>
      <c r="I11" t="b">
        <f t="shared" si="25"/>
        <v>1</v>
      </c>
      <c r="J11" t="b">
        <f t="shared" si="26"/>
        <v>0</v>
      </c>
      <c r="K11" t="b">
        <f t="shared" si="27"/>
        <v>0</v>
      </c>
      <c r="L11" t="b">
        <f t="shared" si="28"/>
        <v>0</v>
      </c>
      <c r="M11" t="b">
        <f t="shared" si="29"/>
        <v>0</v>
      </c>
      <c r="N11" t="b">
        <f t="shared" si="30"/>
        <v>0</v>
      </c>
      <c r="O11" t="b">
        <f t="shared" si="31"/>
        <v>1</v>
      </c>
      <c r="P11" t="b">
        <f t="shared" si="32"/>
        <v>0</v>
      </c>
      <c r="Q11" t="b">
        <f t="shared" si="33"/>
        <v>1</v>
      </c>
      <c r="R11" t="b">
        <f t="shared" si="34"/>
        <v>0</v>
      </c>
      <c r="S11" t="b">
        <f t="shared" si="35"/>
        <v>0</v>
      </c>
      <c r="V11" t="b">
        <f t="shared" si="36"/>
        <v>0</v>
      </c>
      <c r="W11" t="b">
        <f t="shared" si="37"/>
        <v>1</v>
      </c>
      <c r="X11" t="b">
        <f t="shared" si="38"/>
        <v>0</v>
      </c>
      <c r="Y11" t="b">
        <f t="shared" si="39"/>
        <v>0</v>
      </c>
      <c r="Z11" t="b">
        <f t="shared" si="40"/>
        <v>0</v>
      </c>
      <c r="AA11" t="b">
        <f t="shared" si="41"/>
        <v>0</v>
      </c>
      <c r="AB11" t="b">
        <f t="shared" si="42"/>
        <v>0</v>
      </c>
      <c r="AC11" t="b">
        <f t="shared" si="43"/>
        <v>1</v>
      </c>
      <c r="AD11" t="b">
        <f t="shared" si="44"/>
        <v>0</v>
      </c>
      <c r="AE11" t="b">
        <f t="shared" si="45"/>
        <v>1</v>
      </c>
      <c r="AF11" t="b">
        <f t="shared" si="46"/>
        <v>0</v>
      </c>
      <c r="AG11" t="b">
        <f t="shared" si="47"/>
        <v>0</v>
      </c>
    </row>
    <row r="12" spans="1:33">
      <c r="A12" t="s">
        <v>204</v>
      </c>
      <c r="B12" s="27" t="s">
        <v>192</v>
      </c>
      <c r="C12" s="27" t="s">
        <v>192</v>
      </c>
      <c r="D12" s="27" t="s">
        <v>192</v>
      </c>
      <c r="E12" s="27" t="s">
        <v>192</v>
      </c>
      <c r="F12" s="6" t="s">
        <v>193</v>
      </c>
      <c r="H12" t="b">
        <f t="shared" si="24"/>
        <v>1</v>
      </c>
      <c r="I12" t="b">
        <f t="shared" si="25"/>
        <v>1</v>
      </c>
      <c r="J12" t="b">
        <f t="shared" si="26"/>
        <v>1</v>
      </c>
      <c r="K12" t="b">
        <f t="shared" si="27"/>
        <v>1</v>
      </c>
      <c r="L12" t="b">
        <f t="shared" si="28"/>
        <v>1</v>
      </c>
      <c r="M12" t="b">
        <f t="shared" si="29"/>
        <v>1</v>
      </c>
      <c r="N12" t="b">
        <f t="shared" si="30"/>
        <v>1</v>
      </c>
      <c r="O12" t="b">
        <f t="shared" si="31"/>
        <v>1</v>
      </c>
      <c r="P12" t="b">
        <f t="shared" si="32"/>
        <v>1</v>
      </c>
      <c r="Q12" t="b">
        <f t="shared" si="33"/>
        <v>1</v>
      </c>
      <c r="R12" t="b">
        <f t="shared" si="34"/>
        <v>1</v>
      </c>
      <c r="S12" t="b">
        <f t="shared" si="35"/>
        <v>1</v>
      </c>
      <c r="V12" t="b">
        <f t="shared" si="36"/>
        <v>1</v>
      </c>
      <c r="W12" t="b">
        <f t="shared" si="37"/>
        <v>1</v>
      </c>
      <c r="X12" t="b">
        <f t="shared" si="38"/>
        <v>1</v>
      </c>
      <c r="Y12" t="b">
        <f t="shared" si="39"/>
        <v>1</v>
      </c>
      <c r="Z12" t="b">
        <f t="shared" si="40"/>
        <v>1</v>
      </c>
      <c r="AA12" t="b">
        <f t="shared" si="41"/>
        <v>1</v>
      </c>
      <c r="AB12" t="b">
        <f t="shared" si="42"/>
        <v>1</v>
      </c>
      <c r="AC12" t="b">
        <f t="shared" si="43"/>
        <v>1</v>
      </c>
      <c r="AD12" t="b">
        <f t="shared" si="44"/>
        <v>1</v>
      </c>
      <c r="AE12" t="b">
        <f t="shared" si="45"/>
        <v>1</v>
      </c>
      <c r="AF12" t="b">
        <f t="shared" si="46"/>
        <v>1</v>
      </c>
      <c r="AG12" t="b">
        <f t="shared" si="47"/>
        <v>1</v>
      </c>
    </row>
    <row r="13" spans="1:33">
      <c r="A13" t="s">
        <v>205</v>
      </c>
      <c r="C13" s="27" t="s">
        <v>192</v>
      </c>
      <c r="F13" s="6" t="s">
        <v>193</v>
      </c>
      <c r="H13" t="b">
        <f t="shared" si="24"/>
        <v>0</v>
      </c>
      <c r="I13" t="b">
        <f t="shared" si="25"/>
        <v>1</v>
      </c>
      <c r="J13" t="b">
        <f t="shared" si="26"/>
        <v>0</v>
      </c>
      <c r="K13" t="b">
        <f t="shared" si="27"/>
        <v>0</v>
      </c>
      <c r="L13" t="b">
        <f t="shared" si="28"/>
        <v>0</v>
      </c>
      <c r="M13" t="b">
        <f t="shared" si="29"/>
        <v>0</v>
      </c>
      <c r="N13" t="b">
        <f t="shared" si="30"/>
        <v>0</v>
      </c>
      <c r="O13" t="b">
        <f t="shared" si="31"/>
        <v>1</v>
      </c>
      <c r="P13" t="b">
        <f t="shared" si="32"/>
        <v>0</v>
      </c>
      <c r="Q13" t="b">
        <f t="shared" si="33"/>
        <v>1</v>
      </c>
      <c r="R13" t="b">
        <f t="shared" si="34"/>
        <v>0</v>
      </c>
      <c r="S13" t="b">
        <f t="shared" si="35"/>
        <v>0</v>
      </c>
      <c r="V13" t="b">
        <f t="shared" si="36"/>
        <v>0</v>
      </c>
      <c r="W13" t="b">
        <f t="shared" si="37"/>
        <v>1</v>
      </c>
      <c r="X13" t="b">
        <f t="shared" si="38"/>
        <v>0</v>
      </c>
      <c r="Y13" t="b">
        <f t="shared" si="39"/>
        <v>0</v>
      </c>
      <c r="Z13" t="b">
        <f t="shared" si="40"/>
        <v>0</v>
      </c>
      <c r="AA13" t="b">
        <f t="shared" si="41"/>
        <v>0</v>
      </c>
      <c r="AB13" t="b">
        <f t="shared" si="42"/>
        <v>0</v>
      </c>
      <c r="AC13" t="b">
        <f t="shared" si="43"/>
        <v>1</v>
      </c>
      <c r="AD13" t="b">
        <f t="shared" si="44"/>
        <v>0</v>
      </c>
      <c r="AE13" t="b">
        <f t="shared" si="45"/>
        <v>1</v>
      </c>
      <c r="AF13" t="b">
        <f t="shared" si="46"/>
        <v>0</v>
      </c>
      <c r="AG13" t="b">
        <f t="shared" si="47"/>
        <v>0</v>
      </c>
    </row>
    <row r="14" spans="1:33">
      <c r="A14" t="s">
        <v>206</v>
      </c>
      <c r="C14" s="27" t="s">
        <v>192</v>
      </c>
      <c r="E14" s="27" t="s">
        <v>192</v>
      </c>
      <c r="F14" s="6" t="s">
        <v>196</v>
      </c>
      <c r="H14" t="b">
        <f t="shared" si="24"/>
        <v>0</v>
      </c>
      <c r="I14" t="b">
        <f t="shared" si="25"/>
        <v>1</v>
      </c>
      <c r="J14" t="b">
        <f t="shared" si="26"/>
        <v>0</v>
      </c>
      <c r="K14" t="b">
        <f t="shared" si="27"/>
        <v>0</v>
      </c>
      <c r="L14" t="b">
        <f t="shared" si="28"/>
        <v>0</v>
      </c>
      <c r="M14" t="b">
        <f t="shared" si="29"/>
        <v>1</v>
      </c>
      <c r="N14" t="b">
        <f t="shared" si="30"/>
        <v>0</v>
      </c>
      <c r="O14" t="b">
        <f t="shared" si="31"/>
        <v>1</v>
      </c>
      <c r="P14" t="b">
        <f t="shared" si="32"/>
        <v>1</v>
      </c>
      <c r="Q14" t="b">
        <f t="shared" si="33"/>
        <v>1</v>
      </c>
      <c r="R14" t="b">
        <f t="shared" si="34"/>
        <v>0</v>
      </c>
      <c r="S14" t="b">
        <f t="shared" si="35"/>
        <v>1</v>
      </c>
      <c r="V14" t="b">
        <f t="shared" si="36"/>
        <v>0</v>
      </c>
      <c r="W14" t="b">
        <f t="shared" si="37"/>
        <v>0</v>
      </c>
      <c r="X14" t="b">
        <f t="shared" si="38"/>
        <v>0</v>
      </c>
      <c r="Y14" t="b">
        <f t="shared" si="39"/>
        <v>0</v>
      </c>
      <c r="Z14" t="b">
        <f t="shared" si="40"/>
        <v>0</v>
      </c>
      <c r="AA14" t="b">
        <f t="shared" si="41"/>
        <v>0</v>
      </c>
      <c r="AB14" t="b">
        <f t="shared" si="42"/>
        <v>0</v>
      </c>
      <c r="AC14" t="b">
        <f t="shared" si="43"/>
        <v>0</v>
      </c>
      <c r="AD14" t="b">
        <f t="shared" si="44"/>
        <v>0</v>
      </c>
      <c r="AE14" t="b">
        <f t="shared" si="45"/>
        <v>0</v>
      </c>
      <c r="AF14" t="b">
        <f t="shared" si="46"/>
        <v>0</v>
      </c>
      <c r="AG14" t="b">
        <f t="shared" si="47"/>
        <v>0</v>
      </c>
    </row>
    <row r="15" spans="1:33">
      <c r="A15" t="s">
        <v>207</v>
      </c>
      <c r="C15" s="27" t="s">
        <v>192</v>
      </c>
      <c r="D15" s="27" t="s">
        <v>192</v>
      </c>
      <c r="F15" s="6" t="s">
        <v>196</v>
      </c>
      <c r="H15" t="b">
        <f t="shared" si="24"/>
        <v>0</v>
      </c>
      <c r="I15" t="b">
        <f t="shared" si="25"/>
        <v>1</v>
      </c>
      <c r="J15" t="b">
        <f t="shared" si="26"/>
        <v>0</v>
      </c>
      <c r="K15" t="b">
        <f t="shared" si="27"/>
        <v>1</v>
      </c>
      <c r="L15" t="b">
        <f t="shared" si="28"/>
        <v>0</v>
      </c>
      <c r="M15" t="b">
        <f t="shared" si="29"/>
        <v>0</v>
      </c>
      <c r="N15" t="b">
        <f t="shared" si="30"/>
        <v>1</v>
      </c>
      <c r="O15" t="b">
        <f t="shared" si="31"/>
        <v>1</v>
      </c>
      <c r="P15" t="b">
        <f t="shared" si="32"/>
        <v>0</v>
      </c>
      <c r="Q15" t="b">
        <f t="shared" si="33"/>
        <v>1</v>
      </c>
      <c r="R15" t="b">
        <f t="shared" si="34"/>
        <v>0</v>
      </c>
      <c r="S15" t="b">
        <f t="shared" si="35"/>
        <v>1</v>
      </c>
      <c r="V15" t="b">
        <f t="shared" si="36"/>
        <v>0</v>
      </c>
      <c r="W15" t="b">
        <f t="shared" si="37"/>
        <v>0</v>
      </c>
      <c r="X15" t="b">
        <f t="shared" si="38"/>
        <v>0</v>
      </c>
      <c r="Y15" t="b">
        <f t="shared" si="39"/>
        <v>0</v>
      </c>
      <c r="Z15" t="b">
        <f t="shared" si="40"/>
        <v>0</v>
      </c>
      <c r="AA15" t="b">
        <f t="shared" si="41"/>
        <v>0</v>
      </c>
      <c r="AB15" t="b">
        <f t="shared" si="42"/>
        <v>0</v>
      </c>
      <c r="AC15" t="b">
        <f t="shared" si="43"/>
        <v>0</v>
      </c>
      <c r="AD15" t="b">
        <f t="shared" si="44"/>
        <v>0</v>
      </c>
      <c r="AE15" t="b">
        <f t="shared" si="45"/>
        <v>0</v>
      </c>
      <c r="AF15" t="b">
        <f t="shared" si="46"/>
        <v>0</v>
      </c>
      <c r="AG15" t="b">
        <f t="shared" si="47"/>
        <v>0</v>
      </c>
    </row>
    <row r="16" spans="1:33">
      <c r="A16" t="s">
        <v>208</v>
      </c>
      <c r="D16" s="27" t="s">
        <v>192</v>
      </c>
      <c r="F16" s="6" t="s">
        <v>196</v>
      </c>
      <c r="H16" t="b">
        <f t="shared" si="24"/>
        <v>0</v>
      </c>
      <c r="I16" t="b">
        <f t="shared" si="25"/>
        <v>0</v>
      </c>
      <c r="J16" t="b">
        <f t="shared" si="26"/>
        <v>0</v>
      </c>
      <c r="K16" t="b">
        <f t="shared" si="27"/>
        <v>1</v>
      </c>
      <c r="L16" t="b">
        <f t="shared" si="28"/>
        <v>0</v>
      </c>
      <c r="M16" t="b">
        <f t="shared" si="29"/>
        <v>0</v>
      </c>
      <c r="N16" t="b">
        <f t="shared" si="30"/>
        <v>0</v>
      </c>
      <c r="O16" t="b">
        <f t="shared" si="31"/>
        <v>1</v>
      </c>
      <c r="P16" t="b">
        <f t="shared" si="32"/>
        <v>0</v>
      </c>
      <c r="Q16" t="b">
        <f t="shared" si="33"/>
        <v>0</v>
      </c>
      <c r="R16" t="b">
        <f t="shared" si="34"/>
        <v>0</v>
      </c>
      <c r="S16" t="b">
        <f t="shared" si="35"/>
        <v>1</v>
      </c>
      <c r="V16" t="b">
        <f t="shared" si="36"/>
        <v>0</v>
      </c>
      <c r="W16" t="b">
        <f t="shared" si="37"/>
        <v>0</v>
      </c>
      <c r="X16" t="b">
        <f t="shared" si="38"/>
        <v>0</v>
      </c>
      <c r="Y16" t="b">
        <f t="shared" si="39"/>
        <v>0</v>
      </c>
      <c r="Z16" t="b">
        <f t="shared" si="40"/>
        <v>0</v>
      </c>
      <c r="AA16" t="b">
        <f t="shared" si="41"/>
        <v>0</v>
      </c>
      <c r="AB16" t="b">
        <f t="shared" si="42"/>
        <v>0</v>
      </c>
      <c r="AC16" t="b">
        <f t="shared" si="43"/>
        <v>0</v>
      </c>
      <c r="AD16" t="b">
        <f t="shared" si="44"/>
        <v>0</v>
      </c>
      <c r="AE16" t="b">
        <f t="shared" si="45"/>
        <v>0</v>
      </c>
      <c r="AF16" t="b">
        <f t="shared" si="46"/>
        <v>0</v>
      </c>
      <c r="AG16" t="b">
        <f t="shared" si="47"/>
        <v>0</v>
      </c>
    </row>
    <row r="17" spans="1:33">
      <c r="A17" t="s">
        <v>209</v>
      </c>
      <c r="B17" s="27" t="s">
        <v>192</v>
      </c>
      <c r="F17" s="6" t="s">
        <v>196</v>
      </c>
      <c r="H17" t="b">
        <f t="shared" si="24"/>
        <v>0</v>
      </c>
      <c r="I17" t="b">
        <f t="shared" si="25"/>
        <v>1</v>
      </c>
      <c r="J17" t="b">
        <f t="shared" si="26"/>
        <v>0</v>
      </c>
      <c r="K17" t="b">
        <f t="shared" si="27"/>
        <v>1</v>
      </c>
      <c r="L17" t="b">
        <f t="shared" si="28"/>
        <v>0</v>
      </c>
      <c r="M17" t="b">
        <f t="shared" si="29"/>
        <v>1</v>
      </c>
      <c r="N17" t="b">
        <f t="shared" si="30"/>
        <v>0</v>
      </c>
      <c r="O17" t="b">
        <f t="shared" si="31"/>
        <v>0</v>
      </c>
      <c r="P17" t="b">
        <f t="shared" si="32"/>
        <v>0</v>
      </c>
      <c r="Q17" t="b">
        <f t="shared" si="33"/>
        <v>0</v>
      </c>
      <c r="R17" t="b">
        <f t="shared" si="34"/>
        <v>0</v>
      </c>
      <c r="S17" t="b">
        <f t="shared" si="35"/>
        <v>0</v>
      </c>
      <c r="V17" t="b">
        <f t="shared" si="36"/>
        <v>0</v>
      </c>
      <c r="W17" t="b">
        <f t="shared" si="37"/>
        <v>0</v>
      </c>
      <c r="X17" t="b">
        <f t="shared" si="38"/>
        <v>0</v>
      </c>
      <c r="Y17" t="b">
        <f t="shared" si="39"/>
        <v>0</v>
      </c>
      <c r="Z17" t="b">
        <f t="shared" si="40"/>
        <v>0</v>
      </c>
      <c r="AA17" t="b">
        <f t="shared" si="41"/>
        <v>0</v>
      </c>
      <c r="AB17" t="b">
        <f t="shared" si="42"/>
        <v>0</v>
      </c>
      <c r="AC17" t="b">
        <f t="shared" si="43"/>
        <v>0</v>
      </c>
      <c r="AD17" t="b">
        <f t="shared" si="44"/>
        <v>0</v>
      </c>
      <c r="AE17" t="b">
        <f t="shared" si="45"/>
        <v>0</v>
      </c>
      <c r="AF17" t="b">
        <f t="shared" si="46"/>
        <v>0</v>
      </c>
      <c r="AG17" t="b">
        <f t="shared" si="47"/>
        <v>0</v>
      </c>
    </row>
    <row r="18" spans="1:33">
      <c r="A18" t="s">
        <v>210</v>
      </c>
      <c r="E18" s="27" t="s">
        <v>192</v>
      </c>
      <c r="F18" s="6" t="s">
        <v>196</v>
      </c>
      <c r="H18" t="b">
        <f t="shared" si="24"/>
        <v>0</v>
      </c>
      <c r="I18" t="b">
        <f t="shared" si="25"/>
        <v>0</v>
      </c>
      <c r="J18" t="b">
        <f t="shared" si="26"/>
        <v>0</v>
      </c>
      <c r="K18" t="b">
        <f t="shared" si="27"/>
        <v>0</v>
      </c>
      <c r="L18" t="b">
        <f t="shared" si="28"/>
        <v>0</v>
      </c>
      <c r="M18" t="b">
        <f t="shared" si="29"/>
        <v>1</v>
      </c>
      <c r="N18" t="b">
        <f t="shared" si="30"/>
        <v>0</v>
      </c>
      <c r="O18" t="b">
        <f t="shared" si="31"/>
        <v>0</v>
      </c>
      <c r="P18" t="b">
        <f t="shared" si="32"/>
        <v>0</v>
      </c>
      <c r="Q18" t="b">
        <f t="shared" si="33"/>
        <v>1</v>
      </c>
      <c r="R18" t="b">
        <f t="shared" si="34"/>
        <v>0</v>
      </c>
      <c r="S18" t="b">
        <f t="shared" si="35"/>
        <v>1</v>
      </c>
      <c r="V18" t="b">
        <f t="shared" si="36"/>
        <v>0</v>
      </c>
      <c r="W18" t="b">
        <f t="shared" si="37"/>
        <v>0</v>
      </c>
      <c r="X18" t="b">
        <f t="shared" si="38"/>
        <v>0</v>
      </c>
      <c r="Y18" t="b">
        <f t="shared" si="39"/>
        <v>0</v>
      </c>
      <c r="Z18" t="b">
        <f t="shared" si="40"/>
        <v>0</v>
      </c>
      <c r="AA18" t="b">
        <f t="shared" si="41"/>
        <v>0</v>
      </c>
      <c r="AB18" t="b">
        <f t="shared" si="42"/>
        <v>0</v>
      </c>
      <c r="AC18" t="b">
        <f t="shared" si="43"/>
        <v>0</v>
      </c>
      <c r="AD18" t="b">
        <f t="shared" si="44"/>
        <v>0</v>
      </c>
      <c r="AE18" t="b">
        <f t="shared" si="45"/>
        <v>0</v>
      </c>
      <c r="AF18" t="b">
        <f t="shared" si="46"/>
        <v>0</v>
      </c>
      <c r="AG18" t="b">
        <f t="shared" si="47"/>
        <v>0</v>
      </c>
    </row>
    <row r="19" spans="1:33">
      <c r="A19" t="s">
        <v>211</v>
      </c>
      <c r="D19" s="27" t="s">
        <v>192</v>
      </c>
      <c r="F19" s="6" t="s">
        <v>196</v>
      </c>
      <c r="H19" t="b">
        <f t="shared" si="24"/>
        <v>0</v>
      </c>
      <c r="I19" t="b">
        <f t="shared" si="25"/>
        <v>0</v>
      </c>
      <c r="J19" t="b">
        <f t="shared" si="26"/>
        <v>0</v>
      </c>
      <c r="K19" t="b">
        <f t="shared" si="27"/>
        <v>1</v>
      </c>
      <c r="L19" t="b">
        <f t="shared" si="28"/>
        <v>0</v>
      </c>
      <c r="M19" t="b">
        <f t="shared" si="29"/>
        <v>0</v>
      </c>
      <c r="N19" t="b">
        <f t="shared" si="30"/>
        <v>0</v>
      </c>
      <c r="O19" t="b">
        <f t="shared" si="31"/>
        <v>1</v>
      </c>
      <c r="P19" t="b">
        <f t="shared" si="32"/>
        <v>0</v>
      </c>
      <c r="Q19" t="b">
        <f t="shared" si="33"/>
        <v>0</v>
      </c>
      <c r="R19" t="b">
        <f t="shared" si="34"/>
        <v>0</v>
      </c>
      <c r="S19" t="b">
        <f t="shared" si="35"/>
        <v>1</v>
      </c>
      <c r="V19" t="b">
        <f t="shared" si="36"/>
        <v>0</v>
      </c>
      <c r="W19" t="b">
        <f t="shared" si="37"/>
        <v>0</v>
      </c>
      <c r="X19" t="b">
        <f t="shared" si="38"/>
        <v>0</v>
      </c>
      <c r="Y19" t="b">
        <f t="shared" si="39"/>
        <v>0</v>
      </c>
      <c r="Z19" t="b">
        <f t="shared" si="40"/>
        <v>0</v>
      </c>
      <c r="AA19" t="b">
        <f t="shared" si="41"/>
        <v>0</v>
      </c>
      <c r="AB19" t="b">
        <f t="shared" si="42"/>
        <v>0</v>
      </c>
      <c r="AC19" t="b">
        <f t="shared" si="43"/>
        <v>0</v>
      </c>
      <c r="AD19" t="b">
        <f t="shared" si="44"/>
        <v>0</v>
      </c>
      <c r="AE19" t="b">
        <f t="shared" si="45"/>
        <v>0</v>
      </c>
      <c r="AF19" t="b">
        <f t="shared" si="46"/>
        <v>0</v>
      </c>
      <c r="AG19" t="b">
        <f t="shared" si="47"/>
        <v>0</v>
      </c>
    </row>
    <row r="20" spans="1:33">
      <c r="A20" t="s">
        <v>212</v>
      </c>
      <c r="E20" s="27" t="s">
        <v>192</v>
      </c>
      <c r="F20" s="6" t="s">
        <v>196</v>
      </c>
      <c r="H20" t="b">
        <f t="shared" si="24"/>
        <v>0</v>
      </c>
      <c r="I20" t="b">
        <f t="shared" si="25"/>
        <v>0</v>
      </c>
      <c r="J20" t="b">
        <f t="shared" si="26"/>
        <v>0</v>
      </c>
      <c r="K20" t="b">
        <f t="shared" si="27"/>
        <v>0</v>
      </c>
      <c r="L20" t="b">
        <f t="shared" si="28"/>
        <v>0</v>
      </c>
      <c r="M20" t="b">
        <f t="shared" si="29"/>
        <v>1</v>
      </c>
      <c r="N20" t="b">
        <f t="shared" si="30"/>
        <v>0</v>
      </c>
      <c r="O20" t="b">
        <f t="shared" si="31"/>
        <v>0</v>
      </c>
      <c r="P20" t="b">
        <f t="shared" si="32"/>
        <v>0</v>
      </c>
      <c r="Q20" t="b">
        <f t="shared" si="33"/>
        <v>1</v>
      </c>
      <c r="R20" t="b">
        <f t="shared" si="34"/>
        <v>0</v>
      </c>
      <c r="S20" t="b">
        <f t="shared" si="35"/>
        <v>1</v>
      </c>
      <c r="V20" t="b">
        <f t="shared" si="36"/>
        <v>0</v>
      </c>
      <c r="W20" t="b">
        <f t="shared" si="37"/>
        <v>0</v>
      </c>
      <c r="X20" t="b">
        <f t="shared" si="38"/>
        <v>0</v>
      </c>
      <c r="Y20" t="b">
        <f t="shared" si="39"/>
        <v>0</v>
      </c>
      <c r="Z20" t="b">
        <f t="shared" si="40"/>
        <v>0</v>
      </c>
      <c r="AA20" t="b">
        <f t="shared" si="41"/>
        <v>0</v>
      </c>
      <c r="AB20" t="b">
        <f t="shared" si="42"/>
        <v>0</v>
      </c>
      <c r="AC20" t="b">
        <f t="shared" si="43"/>
        <v>0</v>
      </c>
      <c r="AD20" t="b">
        <f t="shared" si="44"/>
        <v>0</v>
      </c>
      <c r="AE20" t="b">
        <f t="shared" si="45"/>
        <v>0</v>
      </c>
      <c r="AF20" t="b">
        <f t="shared" si="46"/>
        <v>0</v>
      </c>
      <c r="AG20" t="b">
        <f t="shared" si="47"/>
        <v>0</v>
      </c>
    </row>
    <row r="21" spans="1:33">
      <c r="A21" t="s">
        <v>213</v>
      </c>
      <c r="E21" s="27" t="s">
        <v>192</v>
      </c>
      <c r="F21" s="6" t="s">
        <v>196</v>
      </c>
      <c r="H21" t="b">
        <f t="shared" si="24"/>
        <v>0</v>
      </c>
      <c r="I21" t="b">
        <f t="shared" si="25"/>
        <v>0</v>
      </c>
      <c r="J21" t="b">
        <f t="shared" si="26"/>
        <v>0</v>
      </c>
      <c r="K21" t="b">
        <f t="shared" si="27"/>
        <v>0</v>
      </c>
      <c r="L21" t="b">
        <f t="shared" si="28"/>
        <v>0</v>
      </c>
      <c r="M21" t="b">
        <f t="shared" si="29"/>
        <v>1</v>
      </c>
      <c r="N21" t="b">
        <f t="shared" si="30"/>
        <v>0</v>
      </c>
      <c r="O21" t="b">
        <f t="shared" si="31"/>
        <v>0</v>
      </c>
      <c r="P21" t="b">
        <f t="shared" si="32"/>
        <v>0</v>
      </c>
      <c r="Q21" t="b">
        <f t="shared" si="33"/>
        <v>1</v>
      </c>
      <c r="R21" t="b">
        <f t="shared" si="34"/>
        <v>0</v>
      </c>
      <c r="S21" t="b">
        <f t="shared" si="35"/>
        <v>1</v>
      </c>
      <c r="V21" t="b">
        <f t="shared" si="36"/>
        <v>0</v>
      </c>
      <c r="W21" t="b">
        <f t="shared" si="37"/>
        <v>0</v>
      </c>
      <c r="X21" t="b">
        <f t="shared" si="38"/>
        <v>0</v>
      </c>
      <c r="Y21" t="b">
        <f t="shared" si="39"/>
        <v>0</v>
      </c>
      <c r="Z21" t="b">
        <f t="shared" si="40"/>
        <v>0</v>
      </c>
      <c r="AA21" t="b">
        <f t="shared" si="41"/>
        <v>0</v>
      </c>
      <c r="AB21" t="b">
        <f t="shared" si="42"/>
        <v>0</v>
      </c>
      <c r="AC21" t="b">
        <f t="shared" si="43"/>
        <v>0</v>
      </c>
      <c r="AD21" t="b">
        <f t="shared" si="44"/>
        <v>0</v>
      </c>
      <c r="AE21" t="b">
        <f t="shared" si="45"/>
        <v>0</v>
      </c>
      <c r="AF21" t="b">
        <f t="shared" si="46"/>
        <v>0</v>
      </c>
      <c r="AG21" t="b">
        <f t="shared" si="47"/>
        <v>0</v>
      </c>
    </row>
    <row r="22" spans="1:33">
      <c r="A22" t="s">
        <v>214</v>
      </c>
      <c r="B22" s="27" t="s">
        <v>192</v>
      </c>
      <c r="C22" s="27" t="s">
        <v>192</v>
      </c>
      <c r="D22" s="27" t="s">
        <v>192</v>
      </c>
      <c r="E22" s="27" t="s">
        <v>192</v>
      </c>
      <c r="F22" s="6" t="s">
        <v>193</v>
      </c>
      <c r="H22" t="b">
        <f t="shared" si="24"/>
        <v>1</v>
      </c>
      <c r="I22" t="b">
        <f t="shared" si="25"/>
        <v>1</v>
      </c>
      <c r="J22" t="b">
        <f t="shared" si="26"/>
        <v>1</v>
      </c>
      <c r="K22" t="b">
        <f t="shared" si="27"/>
        <v>1</v>
      </c>
      <c r="L22" t="b">
        <f t="shared" si="28"/>
        <v>1</v>
      </c>
      <c r="M22" t="b">
        <f t="shared" si="29"/>
        <v>1</v>
      </c>
      <c r="N22" t="b">
        <f t="shared" si="30"/>
        <v>1</v>
      </c>
      <c r="O22" t="b">
        <f t="shared" si="31"/>
        <v>1</v>
      </c>
      <c r="P22" t="b">
        <f t="shared" si="32"/>
        <v>1</v>
      </c>
      <c r="Q22" t="b">
        <f t="shared" si="33"/>
        <v>1</v>
      </c>
      <c r="R22" t="b">
        <f t="shared" si="34"/>
        <v>1</v>
      </c>
      <c r="S22" t="b">
        <f t="shared" si="35"/>
        <v>1</v>
      </c>
      <c r="V22" t="b">
        <f t="shared" si="36"/>
        <v>1</v>
      </c>
      <c r="W22" t="b">
        <f t="shared" si="37"/>
        <v>1</v>
      </c>
      <c r="X22" t="b">
        <f t="shared" si="38"/>
        <v>1</v>
      </c>
      <c r="Y22" t="b">
        <f t="shared" si="39"/>
        <v>1</v>
      </c>
      <c r="Z22" t="b">
        <f t="shared" si="40"/>
        <v>1</v>
      </c>
      <c r="AA22" t="b">
        <f t="shared" si="41"/>
        <v>1</v>
      </c>
      <c r="AB22" t="b">
        <f t="shared" si="42"/>
        <v>1</v>
      </c>
      <c r="AC22" t="b">
        <f t="shared" si="43"/>
        <v>1</v>
      </c>
      <c r="AD22" t="b">
        <f t="shared" si="44"/>
        <v>1</v>
      </c>
      <c r="AE22" t="b">
        <f t="shared" si="45"/>
        <v>1</v>
      </c>
      <c r="AF22" t="b">
        <f t="shared" si="46"/>
        <v>1</v>
      </c>
      <c r="AG22" t="b">
        <f t="shared" si="47"/>
        <v>1</v>
      </c>
    </row>
    <row r="23" spans="1:33">
      <c r="A23" t="s">
        <v>215</v>
      </c>
      <c r="B23" s="27" t="s">
        <v>192</v>
      </c>
      <c r="C23" s="27" t="s">
        <v>192</v>
      </c>
      <c r="D23" s="27" t="s">
        <v>192</v>
      </c>
      <c r="E23" s="27" t="s">
        <v>192</v>
      </c>
      <c r="F23" s="6" t="s">
        <v>193</v>
      </c>
      <c r="H23" t="b">
        <f t="shared" si="24"/>
        <v>1</v>
      </c>
      <c r="I23" t="b">
        <f t="shared" si="25"/>
        <v>1</v>
      </c>
      <c r="J23" t="b">
        <f t="shared" si="26"/>
        <v>1</v>
      </c>
      <c r="K23" t="b">
        <f t="shared" si="27"/>
        <v>1</v>
      </c>
      <c r="L23" t="b">
        <f t="shared" si="28"/>
        <v>1</v>
      </c>
      <c r="M23" t="b">
        <f t="shared" si="29"/>
        <v>1</v>
      </c>
      <c r="N23" t="b">
        <f t="shared" si="30"/>
        <v>1</v>
      </c>
      <c r="O23" t="b">
        <f t="shared" si="31"/>
        <v>1</v>
      </c>
      <c r="P23" t="b">
        <f t="shared" si="32"/>
        <v>1</v>
      </c>
      <c r="Q23" t="b">
        <f t="shared" si="33"/>
        <v>1</v>
      </c>
      <c r="R23" t="b">
        <f t="shared" si="34"/>
        <v>1</v>
      </c>
      <c r="S23" t="b">
        <f t="shared" si="35"/>
        <v>1</v>
      </c>
      <c r="V23" t="b">
        <f t="shared" si="36"/>
        <v>1</v>
      </c>
      <c r="W23" t="b">
        <f t="shared" si="37"/>
        <v>1</v>
      </c>
      <c r="X23" t="b">
        <f t="shared" si="38"/>
        <v>1</v>
      </c>
      <c r="Y23" t="b">
        <f t="shared" si="39"/>
        <v>1</v>
      </c>
      <c r="Z23" t="b">
        <f t="shared" si="40"/>
        <v>1</v>
      </c>
      <c r="AA23" t="b">
        <f t="shared" si="41"/>
        <v>1</v>
      </c>
      <c r="AB23" t="b">
        <f t="shared" si="42"/>
        <v>1</v>
      </c>
      <c r="AC23" t="b">
        <f t="shared" si="43"/>
        <v>1</v>
      </c>
      <c r="AD23" t="b">
        <f t="shared" si="44"/>
        <v>1</v>
      </c>
      <c r="AE23" t="b">
        <f t="shared" si="45"/>
        <v>1</v>
      </c>
      <c r="AF23" t="b">
        <f t="shared" si="46"/>
        <v>1</v>
      </c>
      <c r="AG23" t="b">
        <f t="shared" si="47"/>
        <v>1</v>
      </c>
    </row>
    <row r="24" spans="1:33">
      <c r="A24" t="s">
        <v>216</v>
      </c>
      <c r="B24" s="27" t="s">
        <v>192</v>
      </c>
      <c r="C24" s="27" t="s">
        <v>192</v>
      </c>
      <c r="D24" s="27" t="s">
        <v>192</v>
      </c>
      <c r="E24" s="27" t="s">
        <v>192</v>
      </c>
      <c r="F24" s="6" t="s">
        <v>193</v>
      </c>
      <c r="H24" t="b">
        <f t="shared" si="24"/>
        <v>1</v>
      </c>
      <c r="I24" t="b">
        <f t="shared" si="25"/>
        <v>1</v>
      </c>
      <c r="J24" t="b">
        <f t="shared" si="26"/>
        <v>1</v>
      </c>
      <c r="K24" t="b">
        <f t="shared" si="27"/>
        <v>1</v>
      </c>
      <c r="L24" t="b">
        <f t="shared" si="28"/>
        <v>1</v>
      </c>
      <c r="M24" t="b">
        <f t="shared" si="29"/>
        <v>1</v>
      </c>
      <c r="N24" t="b">
        <f t="shared" si="30"/>
        <v>1</v>
      </c>
      <c r="O24" t="b">
        <f t="shared" si="31"/>
        <v>1</v>
      </c>
      <c r="P24" t="b">
        <f t="shared" si="32"/>
        <v>1</v>
      </c>
      <c r="Q24" t="b">
        <f t="shared" si="33"/>
        <v>1</v>
      </c>
      <c r="R24" t="b">
        <f t="shared" si="34"/>
        <v>1</v>
      </c>
      <c r="S24" t="b">
        <f t="shared" si="35"/>
        <v>1</v>
      </c>
      <c r="V24" t="b">
        <f t="shared" si="36"/>
        <v>1</v>
      </c>
      <c r="W24" t="b">
        <f t="shared" si="37"/>
        <v>1</v>
      </c>
      <c r="X24" t="b">
        <f t="shared" si="38"/>
        <v>1</v>
      </c>
      <c r="Y24" t="b">
        <f t="shared" si="39"/>
        <v>1</v>
      </c>
      <c r="Z24" t="b">
        <f t="shared" si="40"/>
        <v>1</v>
      </c>
      <c r="AA24" t="b">
        <f t="shared" si="41"/>
        <v>1</v>
      </c>
      <c r="AB24" t="b">
        <f t="shared" si="42"/>
        <v>1</v>
      </c>
      <c r="AC24" t="b">
        <f t="shared" si="43"/>
        <v>1</v>
      </c>
      <c r="AD24" t="b">
        <f t="shared" si="44"/>
        <v>1</v>
      </c>
      <c r="AE24" t="b">
        <f t="shared" si="45"/>
        <v>1</v>
      </c>
      <c r="AF24" t="b">
        <f t="shared" si="46"/>
        <v>1</v>
      </c>
      <c r="AG24" t="b">
        <f t="shared" si="47"/>
        <v>1</v>
      </c>
    </row>
    <row r="25" spans="1:33">
      <c r="A25" t="s">
        <v>217</v>
      </c>
      <c r="E25" s="27" t="s">
        <v>192</v>
      </c>
      <c r="F25" s="6" t="s">
        <v>193</v>
      </c>
      <c r="H25" t="b">
        <f t="shared" si="24"/>
        <v>0</v>
      </c>
      <c r="I25" t="b">
        <f t="shared" si="25"/>
        <v>0</v>
      </c>
      <c r="J25" t="b">
        <f t="shared" si="26"/>
        <v>0</v>
      </c>
      <c r="K25" t="b">
        <f t="shared" si="27"/>
        <v>0</v>
      </c>
      <c r="L25" t="b">
        <f t="shared" si="28"/>
        <v>0</v>
      </c>
      <c r="M25" t="b">
        <f t="shared" si="29"/>
        <v>1</v>
      </c>
      <c r="N25" t="b">
        <f t="shared" si="30"/>
        <v>0</v>
      </c>
      <c r="O25" t="b">
        <f t="shared" si="31"/>
        <v>0</v>
      </c>
      <c r="P25" t="b">
        <f t="shared" si="32"/>
        <v>0</v>
      </c>
      <c r="Q25" t="b">
        <f t="shared" si="33"/>
        <v>1</v>
      </c>
      <c r="R25" t="b">
        <f t="shared" si="34"/>
        <v>0</v>
      </c>
      <c r="S25" t="b">
        <f t="shared" si="35"/>
        <v>1</v>
      </c>
      <c r="V25" t="b">
        <f t="shared" si="36"/>
        <v>0</v>
      </c>
      <c r="W25" t="b">
        <f t="shared" si="37"/>
        <v>0</v>
      </c>
      <c r="X25" t="b">
        <f t="shared" si="38"/>
        <v>0</v>
      </c>
      <c r="Y25" t="b">
        <f t="shared" si="39"/>
        <v>0</v>
      </c>
      <c r="Z25" t="b">
        <f t="shared" si="40"/>
        <v>0</v>
      </c>
      <c r="AA25" t="b">
        <f t="shared" si="41"/>
        <v>1</v>
      </c>
      <c r="AB25" t="b">
        <f t="shared" si="42"/>
        <v>0</v>
      </c>
      <c r="AC25" t="b">
        <f t="shared" si="43"/>
        <v>0</v>
      </c>
      <c r="AD25" t="b">
        <f t="shared" si="44"/>
        <v>0</v>
      </c>
      <c r="AE25" t="b">
        <f t="shared" si="45"/>
        <v>1</v>
      </c>
      <c r="AF25" t="b">
        <f t="shared" si="46"/>
        <v>0</v>
      </c>
      <c r="AG25" t="b">
        <f t="shared" si="47"/>
        <v>1</v>
      </c>
    </row>
    <row r="26" spans="1:33">
      <c r="A26" t="s">
        <v>218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24"/>
        <v>1</v>
      </c>
      <c r="I26" t="b">
        <f t="shared" si="25"/>
        <v>1</v>
      </c>
      <c r="J26" t="b">
        <f t="shared" si="26"/>
        <v>1</v>
      </c>
      <c r="K26" t="b">
        <f t="shared" si="27"/>
        <v>1</v>
      </c>
      <c r="L26" t="b">
        <f t="shared" si="28"/>
        <v>1</v>
      </c>
      <c r="M26" t="b">
        <f t="shared" si="29"/>
        <v>1</v>
      </c>
      <c r="N26" t="b">
        <f t="shared" si="30"/>
        <v>1</v>
      </c>
      <c r="O26" t="b">
        <f t="shared" si="31"/>
        <v>1</v>
      </c>
      <c r="P26" t="b">
        <f t="shared" si="32"/>
        <v>1</v>
      </c>
      <c r="Q26" t="b">
        <f t="shared" si="33"/>
        <v>1</v>
      </c>
      <c r="R26" t="b">
        <f t="shared" si="34"/>
        <v>1</v>
      </c>
      <c r="S26" t="b">
        <f t="shared" si="35"/>
        <v>1</v>
      </c>
      <c r="V26" t="b">
        <f t="shared" si="36"/>
        <v>1</v>
      </c>
      <c r="W26" t="b">
        <f t="shared" si="37"/>
        <v>1</v>
      </c>
      <c r="X26" t="b">
        <f t="shared" si="38"/>
        <v>1</v>
      </c>
      <c r="Y26" t="b">
        <f t="shared" si="39"/>
        <v>1</v>
      </c>
      <c r="Z26" t="b">
        <f t="shared" si="40"/>
        <v>1</v>
      </c>
      <c r="AA26" t="b">
        <f t="shared" si="41"/>
        <v>1</v>
      </c>
      <c r="AB26" t="b">
        <f t="shared" si="42"/>
        <v>1</v>
      </c>
      <c r="AC26" t="b">
        <f t="shared" si="43"/>
        <v>1</v>
      </c>
      <c r="AD26" t="b">
        <f t="shared" si="44"/>
        <v>1</v>
      </c>
      <c r="AE26" t="b">
        <f t="shared" si="45"/>
        <v>1</v>
      </c>
      <c r="AF26" t="b">
        <f t="shared" si="46"/>
        <v>1</v>
      </c>
      <c r="AG26" t="b">
        <f t="shared" si="47"/>
        <v>1</v>
      </c>
    </row>
    <row r="27" spans="1:33">
      <c r="A27" t="s">
        <v>219</v>
      </c>
      <c r="E27" s="27" t="s">
        <v>220</v>
      </c>
      <c r="F27" s="6" t="s">
        <v>193</v>
      </c>
      <c r="H27" t="b">
        <f t="shared" si="24"/>
        <v>0</v>
      </c>
      <c r="I27" t="b">
        <f t="shared" si="25"/>
        <v>0</v>
      </c>
      <c r="J27" t="b">
        <f t="shared" si="26"/>
        <v>0</v>
      </c>
      <c r="K27" t="b">
        <f t="shared" si="27"/>
        <v>0</v>
      </c>
      <c r="L27" t="b">
        <f t="shared" si="28"/>
        <v>0</v>
      </c>
      <c r="M27" t="b">
        <f t="shared" si="29"/>
        <v>1</v>
      </c>
      <c r="N27" t="b">
        <f t="shared" si="30"/>
        <v>0</v>
      </c>
      <c r="O27" t="b">
        <f t="shared" si="31"/>
        <v>0</v>
      </c>
      <c r="P27" t="b">
        <f t="shared" si="32"/>
        <v>0</v>
      </c>
      <c r="Q27" t="b">
        <f t="shared" si="33"/>
        <v>1</v>
      </c>
      <c r="R27" t="b">
        <f t="shared" si="34"/>
        <v>0</v>
      </c>
      <c r="S27" t="b">
        <f t="shared" si="35"/>
        <v>1</v>
      </c>
      <c r="V27" t="b">
        <f t="shared" si="36"/>
        <v>0</v>
      </c>
      <c r="W27" t="b">
        <f t="shared" si="37"/>
        <v>0</v>
      </c>
      <c r="X27" t="b">
        <f t="shared" si="38"/>
        <v>0</v>
      </c>
      <c r="Y27" t="b">
        <f t="shared" si="39"/>
        <v>0</v>
      </c>
      <c r="Z27" t="b">
        <f t="shared" si="40"/>
        <v>0</v>
      </c>
      <c r="AA27" t="b">
        <f t="shared" si="41"/>
        <v>1</v>
      </c>
      <c r="AB27" t="b">
        <f t="shared" si="42"/>
        <v>0</v>
      </c>
      <c r="AC27" t="b">
        <f t="shared" si="43"/>
        <v>0</v>
      </c>
      <c r="AD27" t="b">
        <f t="shared" si="44"/>
        <v>0</v>
      </c>
      <c r="AE27" t="b">
        <f t="shared" si="45"/>
        <v>1</v>
      </c>
      <c r="AF27" t="b">
        <f t="shared" si="46"/>
        <v>0</v>
      </c>
      <c r="AG27" t="b">
        <f t="shared" si="47"/>
        <v>1</v>
      </c>
    </row>
    <row r="28" spans="1:33">
      <c r="A28" t="s">
        <v>221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24"/>
        <v>0</v>
      </c>
      <c r="I28" t="b">
        <f t="shared" si="25"/>
        <v>1</v>
      </c>
      <c r="J28" t="b">
        <f t="shared" si="26"/>
        <v>0</v>
      </c>
      <c r="K28" t="b">
        <f t="shared" si="27"/>
        <v>1</v>
      </c>
      <c r="L28" t="b">
        <f t="shared" si="28"/>
        <v>0</v>
      </c>
      <c r="M28" t="b">
        <f t="shared" si="29"/>
        <v>1</v>
      </c>
      <c r="N28" t="b">
        <f t="shared" si="30"/>
        <v>1</v>
      </c>
      <c r="O28" t="b">
        <f t="shared" si="31"/>
        <v>1</v>
      </c>
      <c r="P28" t="b">
        <f t="shared" si="32"/>
        <v>1</v>
      </c>
      <c r="Q28" t="b">
        <f t="shared" si="33"/>
        <v>1</v>
      </c>
      <c r="R28" t="b">
        <f t="shared" si="34"/>
        <v>1</v>
      </c>
      <c r="S28" t="b">
        <f t="shared" si="35"/>
        <v>1</v>
      </c>
      <c r="V28" t="b">
        <f t="shared" si="36"/>
        <v>0</v>
      </c>
      <c r="W28" t="b">
        <f t="shared" si="37"/>
        <v>1</v>
      </c>
      <c r="X28" t="b">
        <f t="shared" si="38"/>
        <v>0</v>
      </c>
      <c r="Y28" t="b">
        <f t="shared" si="39"/>
        <v>1</v>
      </c>
      <c r="Z28" t="b">
        <f t="shared" si="40"/>
        <v>0</v>
      </c>
      <c r="AA28" t="b">
        <f t="shared" si="41"/>
        <v>1</v>
      </c>
      <c r="AB28" t="b">
        <f t="shared" si="42"/>
        <v>1</v>
      </c>
      <c r="AC28" t="b">
        <f t="shared" si="43"/>
        <v>1</v>
      </c>
      <c r="AD28" t="b">
        <f t="shared" si="44"/>
        <v>1</v>
      </c>
      <c r="AE28" t="b">
        <f t="shared" si="45"/>
        <v>1</v>
      </c>
      <c r="AF28" t="b">
        <f t="shared" si="46"/>
        <v>1</v>
      </c>
      <c r="AG28" t="b">
        <f t="shared" si="47"/>
        <v>1</v>
      </c>
    </row>
    <row r="29" spans="1:33">
      <c r="A29" s="3" t="s">
        <v>222</v>
      </c>
      <c r="B29" s="27" t="s">
        <v>192</v>
      </c>
      <c r="C29" s="27" t="s">
        <v>192</v>
      </c>
      <c r="F29" s="6" t="s">
        <v>193</v>
      </c>
      <c r="H29" t="b">
        <f t="shared" si="24"/>
        <v>1</v>
      </c>
      <c r="I29" t="b">
        <f t="shared" si="25"/>
        <v>1</v>
      </c>
      <c r="J29" t="b">
        <f t="shared" si="26"/>
        <v>0</v>
      </c>
      <c r="K29" t="b">
        <f t="shared" si="27"/>
        <v>1</v>
      </c>
      <c r="L29" t="b">
        <f t="shared" si="28"/>
        <v>0</v>
      </c>
      <c r="M29" t="b">
        <f t="shared" si="29"/>
        <v>1</v>
      </c>
      <c r="N29" t="b">
        <f t="shared" si="30"/>
        <v>0</v>
      </c>
      <c r="O29" t="b">
        <f t="shared" si="31"/>
        <v>1</v>
      </c>
      <c r="P29" t="b">
        <f t="shared" si="32"/>
        <v>0</v>
      </c>
      <c r="Q29" t="b">
        <f t="shared" si="33"/>
        <v>1</v>
      </c>
      <c r="R29" t="b">
        <f t="shared" si="34"/>
        <v>0</v>
      </c>
      <c r="S29" t="b">
        <f t="shared" si="35"/>
        <v>0</v>
      </c>
      <c r="V29" t="b">
        <f t="shared" si="36"/>
        <v>1</v>
      </c>
      <c r="W29" t="b">
        <f t="shared" si="37"/>
        <v>1</v>
      </c>
      <c r="X29" t="b">
        <f t="shared" si="38"/>
        <v>0</v>
      </c>
      <c r="Y29" t="b">
        <f t="shared" si="39"/>
        <v>1</v>
      </c>
      <c r="Z29" t="b">
        <f t="shared" si="40"/>
        <v>0</v>
      </c>
      <c r="AA29" t="b">
        <f t="shared" si="41"/>
        <v>1</v>
      </c>
      <c r="AB29" t="b">
        <f t="shared" si="42"/>
        <v>0</v>
      </c>
      <c r="AC29" t="b">
        <f t="shared" si="43"/>
        <v>1</v>
      </c>
      <c r="AD29" t="b">
        <f t="shared" si="44"/>
        <v>0</v>
      </c>
      <c r="AE29" t="b">
        <f t="shared" si="45"/>
        <v>1</v>
      </c>
      <c r="AF29" t="b">
        <f t="shared" si="46"/>
        <v>0</v>
      </c>
      <c r="AG29" t="b">
        <f t="shared" si="47"/>
        <v>0</v>
      </c>
    </row>
    <row r="30" spans="1:33">
      <c r="A30" s="3" t="s">
        <v>223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24"/>
        <v>1</v>
      </c>
      <c r="I30" t="b">
        <f t="shared" si="25"/>
        <v>1</v>
      </c>
      <c r="J30" t="b">
        <f t="shared" si="26"/>
        <v>1</v>
      </c>
      <c r="K30" t="b">
        <f t="shared" si="27"/>
        <v>1</v>
      </c>
      <c r="L30" t="b">
        <f t="shared" si="28"/>
        <v>1</v>
      </c>
      <c r="M30" t="b">
        <f t="shared" si="29"/>
        <v>1</v>
      </c>
      <c r="N30" t="b">
        <f t="shared" si="30"/>
        <v>1</v>
      </c>
      <c r="O30" t="b">
        <f t="shared" si="31"/>
        <v>1</v>
      </c>
      <c r="P30" t="b">
        <f t="shared" si="32"/>
        <v>1</v>
      </c>
      <c r="Q30" t="b">
        <f t="shared" si="33"/>
        <v>1</v>
      </c>
      <c r="R30" t="b">
        <f t="shared" si="34"/>
        <v>1</v>
      </c>
      <c r="S30" t="b">
        <f t="shared" si="35"/>
        <v>1</v>
      </c>
      <c r="V30" t="b">
        <f t="shared" si="36"/>
        <v>1</v>
      </c>
      <c r="W30" t="b">
        <f t="shared" si="37"/>
        <v>1</v>
      </c>
      <c r="X30" t="b">
        <f t="shared" si="38"/>
        <v>1</v>
      </c>
      <c r="Y30" t="b">
        <f t="shared" si="39"/>
        <v>1</v>
      </c>
      <c r="Z30" t="b">
        <f t="shared" si="40"/>
        <v>1</v>
      </c>
      <c r="AA30" t="b">
        <f t="shared" si="41"/>
        <v>1</v>
      </c>
      <c r="AB30" t="b">
        <f t="shared" si="42"/>
        <v>1</v>
      </c>
      <c r="AC30" t="b">
        <f t="shared" si="43"/>
        <v>1</v>
      </c>
      <c r="AD30" t="b">
        <f t="shared" si="44"/>
        <v>1</v>
      </c>
      <c r="AE30" t="b">
        <f t="shared" si="45"/>
        <v>1</v>
      </c>
      <c r="AF30" t="b">
        <f t="shared" si="46"/>
        <v>1</v>
      </c>
      <c r="AG30" t="b">
        <f t="shared" si="47"/>
        <v>1</v>
      </c>
    </row>
    <row r="31" spans="1:33">
      <c r="A31" s="3" t="s">
        <v>224</v>
      </c>
      <c r="B31" s="27" t="s">
        <v>192</v>
      </c>
      <c r="C31" s="27" t="s">
        <v>192</v>
      </c>
      <c r="D31" s="27" t="s">
        <v>192</v>
      </c>
      <c r="E31" s="27" t="s">
        <v>192</v>
      </c>
      <c r="F31" s="6" t="s">
        <v>193</v>
      </c>
      <c r="H31" t="b">
        <f t="shared" si="24"/>
        <v>1</v>
      </c>
      <c r="I31" t="b">
        <f t="shared" si="25"/>
        <v>1</v>
      </c>
      <c r="J31" t="b">
        <f t="shared" si="26"/>
        <v>1</v>
      </c>
      <c r="K31" t="b">
        <f t="shared" si="27"/>
        <v>1</v>
      </c>
      <c r="L31" t="b">
        <f t="shared" si="28"/>
        <v>1</v>
      </c>
      <c r="M31" t="b">
        <f t="shared" si="29"/>
        <v>1</v>
      </c>
      <c r="N31" t="b">
        <f t="shared" si="30"/>
        <v>1</v>
      </c>
      <c r="O31" t="b">
        <f t="shared" si="31"/>
        <v>1</v>
      </c>
      <c r="P31" t="b">
        <f t="shared" si="32"/>
        <v>1</v>
      </c>
      <c r="Q31" t="b">
        <f t="shared" si="33"/>
        <v>1</v>
      </c>
      <c r="R31" t="b">
        <f t="shared" si="34"/>
        <v>1</v>
      </c>
      <c r="S31" t="b">
        <f t="shared" si="35"/>
        <v>1</v>
      </c>
      <c r="V31" t="b">
        <f t="shared" si="36"/>
        <v>1</v>
      </c>
      <c r="W31" t="b">
        <f t="shared" si="37"/>
        <v>1</v>
      </c>
      <c r="X31" t="b">
        <f t="shared" si="38"/>
        <v>1</v>
      </c>
      <c r="Y31" t="b">
        <f t="shared" si="39"/>
        <v>1</v>
      </c>
      <c r="Z31" t="b">
        <f t="shared" si="40"/>
        <v>1</v>
      </c>
      <c r="AA31" t="b">
        <f t="shared" si="41"/>
        <v>1</v>
      </c>
      <c r="AB31" t="b">
        <f t="shared" si="42"/>
        <v>1</v>
      </c>
      <c r="AC31" t="b">
        <f t="shared" si="43"/>
        <v>1</v>
      </c>
      <c r="AD31" t="b">
        <f t="shared" si="44"/>
        <v>1</v>
      </c>
      <c r="AE31" t="b">
        <f t="shared" si="45"/>
        <v>1</v>
      </c>
      <c r="AF31" t="b">
        <f t="shared" si="46"/>
        <v>1</v>
      </c>
      <c r="AG31" t="b">
        <f t="shared" si="47"/>
        <v>1</v>
      </c>
    </row>
    <row r="32" spans="1:33">
      <c r="A32" s="3" t="s">
        <v>225</v>
      </c>
      <c r="E32" s="27" t="s">
        <v>192</v>
      </c>
      <c r="F32" s="6" t="s">
        <v>193</v>
      </c>
      <c r="H32" t="b">
        <f t="shared" si="24"/>
        <v>0</v>
      </c>
      <c r="I32" t="b">
        <f t="shared" si="25"/>
        <v>0</v>
      </c>
      <c r="J32" t="b">
        <f t="shared" si="26"/>
        <v>0</v>
      </c>
      <c r="K32" t="b">
        <f t="shared" si="27"/>
        <v>0</v>
      </c>
      <c r="L32" t="b">
        <f t="shared" si="28"/>
        <v>0</v>
      </c>
      <c r="M32" t="b">
        <f t="shared" si="29"/>
        <v>1</v>
      </c>
      <c r="N32" t="b">
        <f t="shared" si="30"/>
        <v>0</v>
      </c>
      <c r="O32" t="b">
        <f t="shared" si="31"/>
        <v>0</v>
      </c>
      <c r="P32" t="b">
        <f t="shared" si="32"/>
        <v>0</v>
      </c>
      <c r="Q32" t="b">
        <f t="shared" si="33"/>
        <v>1</v>
      </c>
      <c r="R32" t="b">
        <f t="shared" si="34"/>
        <v>0</v>
      </c>
      <c r="S32" t="b">
        <f t="shared" si="35"/>
        <v>1</v>
      </c>
      <c r="V32" t="b">
        <f t="shared" si="36"/>
        <v>0</v>
      </c>
      <c r="W32" t="b">
        <f t="shared" si="37"/>
        <v>0</v>
      </c>
      <c r="X32" t="b">
        <f t="shared" si="38"/>
        <v>0</v>
      </c>
      <c r="Y32" t="b">
        <f t="shared" si="39"/>
        <v>0</v>
      </c>
      <c r="Z32" t="b">
        <f t="shared" si="40"/>
        <v>0</v>
      </c>
      <c r="AA32" t="b">
        <f t="shared" si="41"/>
        <v>1</v>
      </c>
      <c r="AB32" t="b">
        <f t="shared" si="42"/>
        <v>0</v>
      </c>
      <c r="AC32" t="b">
        <f t="shared" si="43"/>
        <v>0</v>
      </c>
      <c r="AD32" t="b">
        <f t="shared" si="44"/>
        <v>0</v>
      </c>
      <c r="AE32" t="b">
        <f t="shared" si="45"/>
        <v>1</v>
      </c>
      <c r="AF32" t="b">
        <f t="shared" si="46"/>
        <v>0</v>
      </c>
      <c r="AG32" t="b">
        <f t="shared" si="47"/>
        <v>1</v>
      </c>
    </row>
    <row r="33" spans="1:33">
      <c r="A33" t="s">
        <v>226</v>
      </c>
      <c r="B33" s="27" t="s">
        <v>192</v>
      </c>
      <c r="C33" s="27" t="s">
        <v>192</v>
      </c>
      <c r="D33" s="27" t="s">
        <v>192</v>
      </c>
      <c r="E33" s="27" t="s">
        <v>192</v>
      </c>
      <c r="F33" s="6" t="s">
        <v>193</v>
      </c>
      <c r="H33" t="b">
        <f t="shared" si="24"/>
        <v>1</v>
      </c>
      <c r="I33" t="b">
        <f t="shared" si="25"/>
        <v>1</v>
      </c>
      <c r="J33" t="b">
        <f t="shared" si="26"/>
        <v>1</v>
      </c>
      <c r="K33" t="b">
        <f t="shared" si="27"/>
        <v>1</v>
      </c>
      <c r="L33" t="b">
        <f t="shared" si="28"/>
        <v>1</v>
      </c>
      <c r="M33" t="b">
        <f t="shared" si="29"/>
        <v>1</v>
      </c>
      <c r="N33" t="b">
        <f t="shared" si="30"/>
        <v>1</v>
      </c>
      <c r="O33" t="b">
        <f t="shared" si="31"/>
        <v>1</v>
      </c>
      <c r="P33" t="b">
        <f t="shared" si="32"/>
        <v>1</v>
      </c>
      <c r="Q33" t="b">
        <f t="shared" si="33"/>
        <v>1</v>
      </c>
      <c r="R33" t="b">
        <f t="shared" si="34"/>
        <v>1</v>
      </c>
      <c r="S33" t="b">
        <f t="shared" si="35"/>
        <v>1</v>
      </c>
      <c r="V33" t="b">
        <f t="shared" si="36"/>
        <v>1</v>
      </c>
      <c r="W33" t="b">
        <f t="shared" si="37"/>
        <v>1</v>
      </c>
      <c r="X33" t="b">
        <f t="shared" si="38"/>
        <v>1</v>
      </c>
      <c r="Y33" t="b">
        <f t="shared" si="39"/>
        <v>1</v>
      </c>
      <c r="Z33" t="b">
        <f t="shared" si="40"/>
        <v>1</v>
      </c>
      <c r="AA33" t="b">
        <f t="shared" si="41"/>
        <v>1</v>
      </c>
      <c r="AB33" t="b">
        <f t="shared" si="42"/>
        <v>1</v>
      </c>
      <c r="AC33" t="b">
        <f t="shared" si="43"/>
        <v>1</v>
      </c>
      <c r="AD33" t="b">
        <f t="shared" si="44"/>
        <v>1</v>
      </c>
      <c r="AE33" t="b">
        <f t="shared" si="45"/>
        <v>1</v>
      </c>
      <c r="AF33" t="b">
        <f t="shared" si="46"/>
        <v>1</v>
      </c>
      <c r="AG33" t="b">
        <f t="shared" si="47"/>
        <v>1</v>
      </c>
    </row>
    <row r="34" spans="1:33">
      <c r="A34" s="3" t="s">
        <v>227</v>
      </c>
      <c r="B34" s="27" t="s">
        <v>192</v>
      </c>
      <c r="D34" s="27" t="s">
        <v>192</v>
      </c>
      <c r="F34" s="6" t="s">
        <v>193</v>
      </c>
      <c r="H34" t="b">
        <f t="shared" si="24"/>
        <v>0</v>
      </c>
      <c r="I34" t="b">
        <f t="shared" si="25"/>
        <v>1</v>
      </c>
      <c r="J34" t="b">
        <f t="shared" si="26"/>
        <v>1</v>
      </c>
      <c r="K34" t="b">
        <f t="shared" si="27"/>
        <v>1</v>
      </c>
      <c r="L34" t="b">
        <f t="shared" si="28"/>
        <v>0</v>
      </c>
      <c r="M34" t="b">
        <f t="shared" si="29"/>
        <v>1</v>
      </c>
      <c r="N34" t="b">
        <f t="shared" si="30"/>
        <v>0</v>
      </c>
      <c r="O34" t="b">
        <f t="shared" si="31"/>
        <v>1</v>
      </c>
      <c r="P34" t="b">
        <f t="shared" si="32"/>
        <v>0</v>
      </c>
      <c r="Q34" t="b">
        <f t="shared" si="33"/>
        <v>0</v>
      </c>
      <c r="R34" t="b">
        <f t="shared" si="34"/>
        <v>0</v>
      </c>
      <c r="S34" t="b">
        <f t="shared" si="35"/>
        <v>1</v>
      </c>
      <c r="V34" t="b">
        <f t="shared" si="36"/>
        <v>0</v>
      </c>
      <c r="W34" t="b">
        <f t="shared" si="37"/>
        <v>1</v>
      </c>
      <c r="X34" t="b">
        <f t="shared" si="38"/>
        <v>1</v>
      </c>
      <c r="Y34" t="b">
        <f t="shared" si="39"/>
        <v>1</v>
      </c>
      <c r="Z34" t="b">
        <f t="shared" si="40"/>
        <v>0</v>
      </c>
      <c r="AA34" t="b">
        <f t="shared" si="41"/>
        <v>1</v>
      </c>
      <c r="AB34" t="b">
        <f t="shared" si="42"/>
        <v>0</v>
      </c>
      <c r="AC34" t="b">
        <f t="shared" si="43"/>
        <v>1</v>
      </c>
      <c r="AD34" t="b">
        <f t="shared" si="44"/>
        <v>0</v>
      </c>
      <c r="AE34" t="b">
        <f t="shared" si="45"/>
        <v>0</v>
      </c>
      <c r="AF34" t="b">
        <f t="shared" si="46"/>
        <v>0</v>
      </c>
      <c r="AG34" t="b">
        <f t="shared" si="47"/>
        <v>1</v>
      </c>
    </row>
    <row r="35" spans="1:33">
      <c r="A35" s="3" t="s">
        <v>228</v>
      </c>
      <c r="B35" s="27" t="s">
        <v>192</v>
      </c>
      <c r="F35" s="6" t="s">
        <v>193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1</v>
      </c>
      <c r="L35" t="b">
        <f t="shared" si="28"/>
        <v>0</v>
      </c>
      <c r="M35" t="b">
        <f t="shared" si="29"/>
        <v>1</v>
      </c>
      <c r="N35" t="b">
        <f t="shared" si="30"/>
        <v>0</v>
      </c>
      <c r="O35" t="b">
        <f t="shared" si="31"/>
        <v>0</v>
      </c>
      <c r="P35" t="b">
        <f t="shared" si="32"/>
        <v>0</v>
      </c>
      <c r="Q35" t="b">
        <f t="shared" si="33"/>
        <v>0</v>
      </c>
      <c r="R35" t="b">
        <f t="shared" si="34"/>
        <v>0</v>
      </c>
      <c r="S35" t="b">
        <f t="shared" si="35"/>
        <v>0</v>
      </c>
      <c r="V35" t="b">
        <f t="shared" si="36"/>
        <v>0</v>
      </c>
      <c r="W35" t="b">
        <f t="shared" si="37"/>
        <v>1</v>
      </c>
      <c r="X35" t="b">
        <f t="shared" si="38"/>
        <v>0</v>
      </c>
      <c r="Y35" t="b">
        <f t="shared" si="39"/>
        <v>1</v>
      </c>
      <c r="Z35" t="b">
        <f t="shared" si="40"/>
        <v>0</v>
      </c>
      <c r="AA35" t="b">
        <f t="shared" si="41"/>
        <v>1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0</v>
      </c>
      <c r="AF35" t="b">
        <f t="shared" si="46"/>
        <v>0</v>
      </c>
      <c r="AG35" t="b">
        <f t="shared" si="47"/>
        <v>0</v>
      </c>
    </row>
    <row r="36" spans="1:33">
      <c r="A36" t="s">
        <v>229</v>
      </c>
      <c r="D36" s="27" t="s">
        <v>192</v>
      </c>
      <c r="F36" s="6" t="s">
        <v>196</v>
      </c>
      <c r="H36" t="b">
        <f t="shared" si="24"/>
        <v>0</v>
      </c>
      <c r="I36" t="b">
        <f t="shared" si="25"/>
        <v>0</v>
      </c>
      <c r="J36" t="b">
        <f t="shared" si="26"/>
        <v>0</v>
      </c>
      <c r="K36" t="b">
        <f t="shared" si="27"/>
        <v>1</v>
      </c>
      <c r="L36" t="b">
        <f t="shared" si="28"/>
        <v>0</v>
      </c>
      <c r="M36" t="b">
        <f t="shared" si="29"/>
        <v>0</v>
      </c>
      <c r="N36" t="b">
        <f t="shared" si="30"/>
        <v>0</v>
      </c>
      <c r="O36" t="b">
        <f t="shared" si="31"/>
        <v>1</v>
      </c>
      <c r="P36" t="b">
        <f t="shared" si="32"/>
        <v>0</v>
      </c>
      <c r="Q36" t="b">
        <f t="shared" si="33"/>
        <v>0</v>
      </c>
      <c r="R36" t="b">
        <f t="shared" si="34"/>
        <v>0</v>
      </c>
      <c r="S36" t="b">
        <f t="shared" si="35"/>
        <v>1</v>
      </c>
      <c r="V36" t="b">
        <f t="shared" si="36"/>
        <v>0</v>
      </c>
      <c r="W36" t="b">
        <f t="shared" si="37"/>
        <v>0</v>
      </c>
      <c r="X36" t="b">
        <f t="shared" si="38"/>
        <v>0</v>
      </c>
      <c r="Y36" t="b">
        <f t="shared" si="39"/>
        <v>0</v>
      </c>
      <c r="Z36" t="b">
        <f t="shared" si="40"/>
        <v>0</v>
      </c>
      <c r="AA36" t="b">
        <f t="shared" si="41"/>
        <v>0</v>
      </c>
      <c r="AB36" t="b">
        <f t="shared" si="42"/>
        <v>0</v>
      </c>
      <c r="AC36" t="b">
        <f t="shared" si="43"/>
        <v>0</v>
      </c>
      <c r="AD36" t="b">
        <f t="shared" si="44"/>
        <v>0</v>
      </c>
      <c r="AE36" t="b">
        <f t="shared" si="45"/>
        <v>0</v>
      </c>
      <c r="AF36" t="b">
        <f t="shared" si="46"/>
        <v>0</v>
      </c>
      <c r="AG36" t="b">
        <f t="shared" si="47"/>
        <v>0</v>
      </c>
    </row>
    <row r="37" spans="1:33">
      <c r="A37" t="s">
        <v>230</v>
      </c>
      <c r="D37" s="27" t="s">
        <v>192</v>
      </c>
      <c r="F37" s="6" t="s">
        <v>196</v>
      </c>
      <c r="H37" t="b">
        <f t="shared" si="24"/>
        <v>0</v>
      </c>
      <c r="I37" t="b">
        <f t="shared" si="25"/>
        <v>0</v>
      </c>
      <c r="J37" t="b">
        <f t="shared" si="26"/>
        <v>0</v>
      </c>
      <c r="K37" t="b">
        <f t="shared" si="27"/>
        <v>1</v>
      </c>
      <c r="L37" t="b">
        <f t="shared" si="28"/>
        <v>0</v>
      </c>
      <c r="M37" t="b">
        <f t="shared" si="29"/>
        <v>0</v>
      </c>
      <c r="N37" t="b">
        <f t="shared" si="30"/>
        <v>0</v>
      </c>
      <c r="O37" t="b">
        <f t="shared" si="31"/>
        <v>1</v>
      </c>
      <c r="P37" t="b">
        <f t="shared" si="32"/>
        <v>0</v>
      </c>
      <c r="Q37" t="b">
        <f t="shared" si="33"/>
        <v>0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>
      <c r="A38" t="s">
        <v>231</v>
      </c>
      <c r="B38" s="27" t="s">
        <v>192</v>
      </c>
      <c r="C38" s="27" t="s">
        <v>192</v>
      </c>
      <c r="D38" s="27" t="s">
        <v>192</v>
      </c>
      <c r="E38" s="27" t="s">
        <v>192</v>
      </c>
      <c r="F38" s="6" t="s">
        <v>193</v>
      </c>
      <c r="H38" t="b">
        <f t="shared" si="24"/>
        <v>1</v>
      </c>
      <c r="I38" t="b">
        <f t="shared" si="25"/>
        <v>1</v>
      </c>
      <c r="J38" t="b">
        <f t="shared" si="26"/>
        <v>1</v>
      </c>
      <c r="K38" t="b">
        <f t="shared" si="27"/>
        <v>1</v>
      </c>
      <c r="L38" t="b">
        <f t="shared" si="28"/>
        <v>1</v>
      </c>
      <c r="M38" t="b">
        <f t="shared" si="29"/>
        <v>1</v>
      </c>
      <c r="N38" t="b">
        <f t="shared" si="30"/>
        <v>1</v>
      </c>
      <c r="O38" t="b">
        <f t="shared" si="31"/>
        <v>1</v>
      </c>
      <c r="P38" t="b">
        <f t="shared" si="32"/>
        <v>1</v>
      </c>
      <c r="Q38" t="b">
        <f t="shared" si="33"/>
        <v>1</v>
      </c>
      <c r="R38" t="b">
        <f t="shared" si="34"/>
        <v>1</v>
      </c>
      <c r="S38" t="b">
        <f t="shared" si="35"/>
        <v>1</v>
      </c>
      <c r="V38" t="b">
        <f t="shared" si="36"/>
        <v>1</v>
      </c>
      <c r="W38" t="b">
        <f t="shared" si="37"/>
        <v>1</v>
      </c>
      <c r="X38" t="b">
        <f t="shared" si="38"/>
        <v>1</v>
      </c>
      <c r="Y38" t="b">
        <f t="shared" si="39"/>
        <v>1</v>
      </c>
      <c r="Z38" t="b">
        <f t="shared" si="40"/>
        <v>1</v>
      </c>
      <c r="AA38" t="b">
        <f t="shared" si="41"/>
        <v>1</v>
      </c>
      <c r="AB38" t="b">
        <f t="shared" si="42"/>
        <v>1</v>
      </c>
      <c r="AC38" t="b">
        <f t="shared" si="43"/>
        <v>1</v>
      </c>
      <c r="AD38" t="b">
        <f t="shared" si="44"/>
        <v>1</v>
      </c>
      <c r="AE38" t="b">
        <f t="shared" si="45"/>
        <v>1</v>
      </c>
      <c r="AF38" t="b">
        <f t="shared" si="46"/>
        <v>1</v>
      </c>
      <c r="AG38" t="b">
        <f t="shared" si="47"/>
        <v>1</v>
      </c>
    </row>
    <row r="39" spans="1:33">
      <c r="A39" s="3" t="s">
        <v>232</v>
      </c>
      <c r="E39" s="27" t="s">
        <v>192</v>
      </c>
      <c r="F39" s="6" t="s">
        <v>193</v>
      </c>
      <c r="H39" t="b">
        <f t="shared" si="24"/>
        <v>0</v>
      </c>
      <c r="I39" t="b">
        <f t="shared" si="25"/>
        <v>0</v>
      </c>
      <c r="J39" t="b">
        <f t="shared" si="26"/>
        <v>0</v>
      </c>
      <c r="K39" t="b">
        <f t="shared" si="27"/>
        <v>0</v>
      </c>
      <c r="L39" t="b">
        <f t="shared" si="28"/>
        <v>0</v>
      </c>
      <c r="M39" t="b">
        <f t="shared" si="29"/>
        <v>1</v>
      </c>
      <c r="N39" t="b">
        <f t="shared" si="30"/>
        <v>0</v>
      </c>
      <c r="O39" t="b">
        <f t="shared" si="31"/>
        <v>0</v>
      </c>
      <c r="P39" t="b">
        <f t="shared" si="32"/>
        <v>0</v>
      </c>
      <c r="Q39" t="b">
        <f t="shared" si="33"/>
        <v>1</v>
      </c>
      <c r="R39" t="b">
        <f t="shared" si="34"/>
        <v>0</v>
      </c>
      <c r="S39" t="b">
        <f t="shared" si="35"/>
        <v>1</v>
      </c>
      <c r="V39" t="b">
        <f t="shared" si="36"/>
        <v>0</v>
      </c>
      <c r="W39" t="b">
        <f t="shared" si="37"/>
        <v>0</v>
      </c>
      <c r="X39" t="b">
        <f t="shared" si="38"/>
        <v>0</v>
      </c>
      <c r="Y39" t="b">
        <f t="shared" si="39"/>
        <v>0</v>
      </c>
      <c r="Z39" t="b">
        <f t="shared" si="40"/>
        <v>0</v>
      </c>
      <c r="AA39" t="b">
        <f t="shared" si="41"/>
        <v>1</v>
      </c>
      <c r="AB39" t="b">
        <f t="shared" si="42"/>
        <v>0</v>
      </c>
      <c r="AC39" t="b">
        <f t="shared" si="43"/>
        <v>0</v>
      </c>
      <c r="AD39" t="b">
        <f t="shared" si="44"/>
        <v>0</v>
      </c>
      <c r="AE39" t="b">
        <f t="shared" si="45"/>
        <v>1</v>
      </c>
      <c r="AF39" t="b">
        <f t="shared" si="46"/>
        <v>0</v>
      </c>
      <c r="AG39" t="b">
        <f t="shared" si="47"/>
        <v>1</v>
      </c>
    </row>
    <row r="40" spans="1:33">
      <c r="A40" t="s">
        <v>233</v>
      </c>
      <c r="B40" s="27" t="s">
        <v>192</v>
      </c>
      <c r="C40" s="27" t="s">
        <v>192</v>
      </c>
      <c r="D40" s="27" t="s">
        <v>192</v>
      </c>
      <c r="E40" s="27" t="s">
        <v>192</v>
      </c>
      <c r="F40" s="6" t="s">
        <v>193</v>
      </c>
      <c r="H40" t="b">
        <f t="shared" si="24"/>
        <v>1</v>
      </c>
      <c r="I40" t="b">
        <f t="shared" si="25"/>
        <v>1</v>
      </c>
      <c r="J40" t="b">
        <f t="shared" si="26"/>
        <v>1</v>
      </c>
      <c r="K40" t="b">
        <f t="shared" si="27"/>
        <v>1</v>
      </c>
      <c r="L40" t="b">
        <f t="shared" si="28"/>
        <v>1</v>
      </c>
      <c r="M40" t="b">
        <f t="shared" si="29"/>
        <v>1</v>
      </c>
      <c r="N40" t="b">
        <f t="shared" si="30"/>
        <v>1</v>
      </c>
      <c r="O40" t="b">
        <f t="shared" si="31"/>
        <v>1</v>
      </c>
      <c r="P40" t="b">
        <f t="shared" si="32"/>
        <v>1</v>
      </c>
      <c r="Q40" t="b">
        <f t="shared" si="33"/>
        <v>1</v>
      </c>
      <c r="R40" t="b">
        <f t="shared" si="34"/>
        <v>1</v>
      </c>
      <c r="S40" t="b">
        <f t="shared" si="35"/>
        <v>1</v>
      </c>
      <c r="V40" t="b">
        <f t="shared" si="36"/>
        <v>1</v>
      </c>
      <c r="W40" t="b">
        <f t="shared" si="37"/>
        <v>1</v>
      </c>
      <c r="X40" t="b">
        <f t="shared" si="38"/>
        <v>1</v>
      </c>
      <c r="Y40" t="b">
        <f t="shared" si="39"/>
        <v>1</v>
      </c>
      <c r="Z40" t="b">
        <f t="shared" si="40"/>
        <v>1</v>
      </c>
      <c r="AA40" t="b">
        <f t="shared" si="41"/>
        <v>1</v>
      </c>
      <c r="AB40" t="b">
        <f t="shared" si="42"/>
        <v>1</v>
      </c>
      <c r="AC40" t="b">
        <f t="shared" si="43"/>
        <v>1</v>
      </c>
      <c r="AD40" t="b">
        <f t="shared" si="44"/>
        <v>1</v>
      </c>
      <c r="AE40" t="b">
        <f t="shared" si="45"/>
        <v>1</v>
      </c>
      <c r="AF40" t="b">
        <f t="shared" si="46"/>
        <v>1</v>
      </c>
      <c r="AG40" t="b">
        <f t="shared" si="47"/>
        <v>1</v>
      </c>
    </row>
    <row r="41" spans="1:33">
      <c r="A41" t="s">
        <v>234</v>
      </c>
      <c r="B41" s="27" t="s">
        <v>192</v>
      </c>
      <c r="C41" s="27" t="s">
        <v>192</v>
      </c>
      <c r="E41" s="27" t="s">
        <v>192</v>
      </c>
      <c r="F41" s="6" t="s">
        <v>193</v>
      </c>
      <c r="H41" t="b">
        <f t="shared" si="24"/>
        <v>1</v>
      </c>
      <c r="I41" t="b">
        <f t="shared" si="25"/>
        <v>1</v>
      </c>
      <c r="J41" t="b">
        <f t="shared" si="26"/>
        <v>0</v>
      </c>
      <c r="K41" t="b">
        <f t="shared" si="27"/>
        <v>1</v>
      </c>
      <c r="L41" t="b">
        <f t="shared" si="28"/>
        <v>1</v>
      </c>
      <c r="M41" t="b">
        <f t="shared" si="29"/>
        <v>1</v>
      </c>
      <c r="N41" t="b">
        <f t="shared" si="30"/>
        <v>0</v>
      </c>
      <c r="O41" t="b">
        <f t="shared" si="31"/>
        <v>1</v>
      </c>
      <c r="P41" t="b">
        <f t="shared" si="32"/>
        <v>1</v>
      </c>
      <c r="Q41" t="b">
        <f t="shared" si="33"/>
        <v>1</v>
      </c>
      <c r="R41" t="b">
        <f t="shared" si="34"/>
        <v>0</v>
      </c>
      <c r="S41" t="b">
        <f t="shared" si="35"/>
        <v>1</v>
      </c>
      <c r="V41" t="b">
        <f t="shared" si="36"/>
        <v>1</v>
      </c>
      <c r="W41" t="b">
        <f t="shared" si="37"/>
        <v>1</v>
      </c>
      <c r="X41" t="b">
        <f t="shared" si="38"/>
        <v>0</v>
      </c>
      <c r="Y41" t="b">
        <f t="shared" si="39"/>
        <v>1</v>
      </c>
      <c r="Z41" t="b">
        <f t="shared" si="40"/>
        <v>1</v>
      </c>
      <c r="AA41" t="b">
        <f t="shared" si="41"/>
        <v>1</v>
      </c>
      <c r="AB41" t="b">
        <f t="shared" si="42"/>
        <v>0</v>
      </c>
      <c r="AC41" t="b">
        <f t="shared" si="43"/>
        <v>1</v>
      </c>
      <c r="AD41" t="b">
        <f t="shared" si="44"/>
        <v>1</v>
      </c>
      <c r="AE41" t="b">
        <f t="shared" si="45"/>
        <v>1</v>
      </c>
      <c r="AF41" t="b">
        <f t="shared" si="46"/>
        <v>0</v>
      </c>
      <c r="AG41" t="b">
        <f t="shared" si="47"/>
        <v>1</v>
      </c>
    </row>
    <row r="42" spans="1:33">
      <c r="A42" t="s">
        <v>235</v>
      </c>
      <c r="B42" s="27" t="s">
        <v>192</v>
      </c>
      <c r="C42" s="27" t="s">
        <v>192</v>
      </c>
      <c r="D42" s="27" t="s">
        <v>192</v>
      </c>
      <c r="E42" s="27" t="s">
        <v>192</v>
      </c>
      <c r="F42" s="6" t="s">
        <v>193</v>
      </c>
      <c r="H42" t="b">
        <f t="shared" si="24"/>
        <v>1</v>
      </c>
      <c r="I42" t="b">
        <f t="shared" si="25"/>
        <v>1</v>
      </c>
      <c r="J42" t="b">
        <f t="shared" si="26"/>
        <v>1</v>
      </c>
      <c r="K42" t="b">
        <f t="shared" si="27"/>
        <v>1</v>
      </c>
      <c r="L42" t="b">
        <f t="shared" si="28"/>
        <v>1</v>
      </c>
      <c r="M42" t="b">
        <f t="shared" si="29"/>
        <v>1</v>
      </c>
      <c r="N42" t="b">
        <f t="shared" si="30"/>
        <v>1</v>
      </c>
      <c r="O42" t="b">
        <f t="shared" si="31"/>
        <v>1</v>
      </c>
      <c r="P42" t="b">
        <f t="shared" si="32"/>
        <v>1</v>
      </c>
      <c r="Q42" t="b">
        <f t="shared" si="33"/>
        <v>1</v>
      </c>
      <c r="R42" t="b">
        <f t="shared" si="34"/>
        <v>1</v>
      </c>
      <c r="S42" t="b">
        <f t="shared" si="35"/>
        <v>1</v>
      </c>
      <c r="V42" t="b">
        <f t="shared" si="36"/>
        <v>1</v>
      </c>
      <c r="W42" t="b">
        <f t="shared" si="37"/>
        <v>1</v>
      </c>
      <c r="X42" t="b">
        <f t="shared" si="38"/>
        <v>1</v>
      </c>
      <c r="Y42" t="b">
        <f t="shared" si="39"/>
        <v>1</v>
      </c>
      <c r="Z42" t="b">
        <f t="shared" si="40"/>
        <v>1</v>
      </c>
      <c r="AA42" t="b">
        <f t="shared" si="41"/>
        <v>1</v>
      </c>
      <c r="AB42" t="b">
        <f t="shared" si="42"/>
        <v>1</v>
      </c>
      <c r="AC42" t="b">
        <f t="shared" si="43"/>
        <v>1</v>
      </c>
      <c r="AD42" t="b">
        <f t="shared" si="44"/>
        <v>1</v>
      </c>
      <c r="AE42" t="b">
        <f t="shared" si="45"/>
        <v>1</v>
      </c>
      <c r="AF42" t="b">
        <f t="shared" si="46"/>
        <v>1</v>
      </c>
      <c r="AG42" t="b">
        <f t="shared" si="47"/>
        <v>1</v>
      </c>
    </row>
    <row r="43" spans="1:33">
      <c r="A43" s="3" t="s">
        <v>236</v>
      </c>
      <c r="E43" s="27" t="s">
        <v>192</v>
      </c>
      <c r="F43" s="6" t="s">
        <v>193</v>
      </c>
      <c r="H43" t="b">
        <f t="shared" si="24"/>
        <v>0</v>
      </c>
      <c r="I43" t="b">
        <f t="shared" si="25"/>
        <v>0</v>
      </c>
      <c r="J43" t="b">
        <f t="shared" si="26"/>
        <v>0</v>
      </c>
      <c r="K43" t="b">
        <f t="shared" si="27"/>
        <v>0</v>
      </c>
      <c r="L43" t="b">
        <f t="shared" si="28"/>
        <v>0</v>
      </c>
      <c r="M43" t="b">
        <f t="shared" si="29"/>
        <v>1</v>
      </c>
      <c r="N43" t="b">
        <f t="shared" si="30"/>
        <v>0</v>
      </c>
      <c r="O43" t="b">
        <f t="shared" si="31"/>
        <v>0</v>
      </c>
      <c r="P43" t="b">
        <f t="shared" si="32"/>
        <v>0</v>
      </c>
      <c r="Q43" t="b">
        <f t="shared" si="33"/>
        <v>1</v>
      </c>
      <c r="R43" t="b">
        <f t="shared" si="34"/>
        <v>0</v>
      </c>
      <c r="S43" t="b">
        <f t="shared" si="35"/>
        <v>1</v>
      </c>
      <c r="V43" t="b">
        <f t="shared" si="36"/>
        <v>0</v>
      </c>
      <c r="W43" t="b">
        <f t="shared" si="37"/>
        <v>0</v>
      </c>
      <c r="X43" t="b">
        <f t="shared" si="38"/>
        <v>0</v>
      </c>
      <c r="Y43" t="b">
        <f t="shared" si="39"/>
        <v>0</v>
      </c>
      <c r="Z43" t="b">
        <f t="shared" si="40"/>
        <v>0</v>
      </c>
      <c r="AA43" t="b">
        <f t="shared" si="41"/>
        <v>1</v>
      </c>
      <c r="AB43" t="b">
        <f t="shared" si="42"/>
        <v>0</v>
      </c>
      <c r="AC43" t="b">
        <f t="shared" si="43"/>
        <v>0</v>
      </c>
      <c r="AD43" t="b">
        <f t="shared" si="44"/>
        <v>0</v>
      </c>
      <c r="AE43" t="b">
        <f t="shared" si="45"/>
        <v>1</v>
      </c>
      <c r="AF43" t="b">
        <f t="shared" si="46"/>
        <v>0</v>
      </c>
      <c r="AG43" t="b">
        <f t="shared" si="47"/>
        <v>1</v>
      </c>
    </row>
    <row r="44" spans="1:33">
      <c r="A44" s="3" t="s">
        <v>237</v>
      </c>
      <c r="D44" s="27" t="s">
        <v>192</v>
      </c>
      <c r="F44" s="6" t="s">
        <v>193</v>
      </c>
      <c r="H44" t="b">
        <f t="shared" si="24"/>
        <v>0</v>
      </c>
      <c r="I44" t="b">
        <f t="shared" si="25"/>
        <v>0</v>
      </c>
      <c r="J44" t="b">
        <f t="shared" si="26"/>
        <v>0</v>
      </c>
      <c r="K44" t="b">
        <f t="shared" si="27"/>
        <v>1</v>
      </c>
      <c r="L44" t="b">
        <f t="shared" si="28"/>
        <v>0</v>
      </c>
      <c r="M44" t="b">
        <f t="shared" si="29"/>
        <v>0</v>
      </c>
      <c r="N44" t="b">
        <f t="shared" si="30"/>
        <v>0</v>
      </c>
      <c r="O44" t="b">
        <f t="shared" si="31"/>
        <v>1</v>
      </c>
      <c r="P44" t="b">
        <f t="shared" si="32"/>
        <v>0</v>
      </c>
      <c r="Q44" t="b">
        <f t="shared" si="33"/>
        <v>0</v>
      </c>
      <c r="R44" t="b">
        <f t="shared" si="34"/>
        <v>0</v>
      </c>
      <c r="S44" t="b">
        <f t="shared" si="35"/>
        <v>1</v>
      </c>
      <c r="V44" t="b">
        <f t="shared" si="36"/>
        <v>0</v>
      </c>
      <c r="W44" t="b">
        <f t="shared" si="37"/>
        <v>0</v>
      </c>
      <c r="X44" t="b">
        <f t="shared" si="38"/>
        <v>0</v>
      </c>
      <c r="Y44" t="b">
        <f t="shared" si="39"/>
        <v>1</v>
      </c>
      <c r="Z44" t="b">
        <f t="shared" si="40"/>
        <v>0</v>
      </c>
      <c r="AA44" t="b">
        <f t="shared" si="41"/>
        <v>0</v>
      </c>
      <c r="AB44" t="b">
        <f t="shared" si="42"/>
        <v>0</v>
      </c>
      <c r="AC44" t="b">
        <f t="shared" si="43"/>
        <v>1</v>
      </c>
      <c r="AD44" t="b">
        <f t="shared" si="44"/>
        <v>0</v>
      </c>
      <c r="AE44" t="b">
        <f t="shared" si="45"/>
        <v>0</v>
      </c>
      <c r="AF44" t="b">
        <f t="shared" si="46"/>
        <v>0</v>
      </c>
      <c r="AG44" t="b">
        <f t="shared" si="47"/>
        <v>1</v>
      </c>
    </row>
    <row r="45" spans="1:33">
      <c r="A45" s="3" t="s">
        <v>238</v>
      </c>
      <c r="B45" s="27" t="s">
        <v>192</v>
      </c>
      <c r="F45" s="6" t="s">
        <v>193</v>
      </c>
      <c r="H45" t="b">
        <f t="shared" si="24"/>
        <v>0</v>
      </c>
      <c r="I45" t="b">
        <f t="shared" si="25"/>
        <v>1</v>
      </c>
      <c r="J45" t="b">
        <f t="shared" si="26"/>
        <v>0</v>
      </c>
      <c r="K45" t="b">
        <f t="shared" si="27"/>
        <v>1</v>
      </c>
      <c r="L45" t="b">
        <f t="shared" si="28"/>
        <v>0</v>
      </c>
      <c r="M45" t="b">
        <f t="shared" si="29"/>
        <v>1</v>
      </c>
      <c r="N45" t="b">
        <f t="shared" si="30"/>
        <v>0</v>
      </c>
      <c r="O45" t="b">
        <f t="shared" si="31"/>
        <v>0</v>
      </c>
      <c r="P45" t="b">
        <f t="shared" si="32"/>
        <v>0</v>
      </c>
      <c r="Q45" t="b">
        <f t="shared" si="33"/>
        <v>0</v>
      </c>
      <c r="R45" t="b">
        <f t="shared" si="34"/>
        <v>0</v>
      </c>
      <c r="S45" t="b">
        <f t="shared" si="35"/>
        <v>0</v>
      </c>
      <c r="V45" t="b">
        <f t="shared" si="36"/>
        <v>0</v>
      </c>
      <c r="W45" t="b">
        <f t="shared" si="37"/>
        <v>1</v>
      </c>
      <c r="X45" t="b">
        <f t="shared" si="38"/>
        <v>0</v>
      </c>
      <c r="Y45" t="b">
        <f t="shared" si="39"/>
        <v>1</v>
      </c>
      <c r="Z45" t="b">
        <f t="shared" si="40"/>
        <v>0</v>
      </c>
      <c r="AA45" t="b">
        <f t="shared" si="41"/>
        <v>1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 t="s">
        <v>239</v>
      </c>
      <c r="D46" s="27" t="s">
        <v>192</v>
      </c>
      <c r="F46" s="6" t="s">
        <v>193</v>
      </c>
      <c r="H46" t="b">
        <f t="shared" si="24"/>
        <v>0</v>
      </c>
      <c r="I46" t="b">
        <f t="shared" si="25"/>
        <v>0</v>
      </c>
      <c r="J46" t="b">
        <f t="shared" si="26"/>
        <v>0</v>
      </c>
      <c r="K46" t="b">
        <f t="shared" si="27"/>
        <v>1</v>
      </c>
      <c r="L46" t="b">
        <f t="shared" si="28"/>
        <v>0</v>
      </c>
      <c r="M46" t="b">
        <f t="shared" si="29"/>
        <v>0</v>
      </c>
      <c r="N46" t="b">
        <f t="shared" si="30"/>
        <v>0</v>
      </c>
      <c r="O46" t="b">
        <f t="shared" si="31"/>
        <v>1</v>
      </c>
      <c r="P46" t="b">
        <f t="shared" si="32"/>
        <v>0</v>
      </c>
      <c r="Q46" t="b">
        <f t="shared" si="33"/>
        <v>0</v>
      </c>
      <c r="R46" t="b">
        <f t="shared" si="34"/>
        <v>0</v>
      </c>
      <c r="S46" t="b">
        <f t="shared" si="35"/>
        <v>1</v>
      </c>
      <c r="V46" t="b">
        <f t="shared" si="36"/>
        <v>0</v>
      </c>
      <c r="W46" t="b">
        <f t="shared" si="37"/>
        <v>0</v>
      </c>
      <c r="X46" t="b">
        <f t="shared" si="38"/>
        <v>0</v>
      </c>
      <c r="Y46" t="b">
        <f t="shared" si="39"/>
        <v>1</v>
      </c>
      <c r="Z46" t="b">
        <f t="shared" si="40"/>
        <v>0</v>
      </c>
      <c r="AA46" t="b">
        <f t="shared" si="41"/>
        <v>0</v>
      </c>
      <c r="AB46" t="b">
        <f t="shared" si="42"/>
        <v>0</v>
      </c>
      <c r="AC46" t="b">
        <f t="shared" si="43"/>
        <v>1</v>
      </c>
      <c r="AD46" t="b">
        <f t="shared" si="44"/>
        <v>0</v>
      </c>
      <c r="AE46" t="b">
        <f t="shared" si="45"/>
        <v>0</v>
      </c>
      <c r="AF46" t="b">
        <f t="shared" si="46"/>
        <v>0</v>
      </c>
      <c r="AG46" t="b">
        <f t="shared" si="47"/>
        <v>1</v>
      </c>
    </row>
    <row r="47" spans="1:33">
      <c r="A47" t="s">
        <v>240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24"/>
        <v>1</v>
      </c>
      <c r="I47" t="b">
        <f t="shared" si="25"/>
        <v>1</v>
      </c>
      <c r="J47" t="b">
        <f t="shared" si="26"/>
        <v>1</v>
      </c>
      <c r="K47" t="b">
        <f t="shared" si="27"/>
        <v>1</v>
      </c>
      <c r="L47" t="b">
        <f t="shared" si="28"/>
        <v>1</v>
      </c>
      <c r="M47" t="b">
        <f t="shared" si="29"/>
        <v>1</v>
      </c>
      <c r="N47" t="b">
        <f t="shared" si="30"/>
        <v>1</v>
      </c>
      <c r="O47" t="b">
        <f t="shared" si="31"/>
        <v>1</v>
      </c>
      <c r="P47" t="b">
        <f t="shared" si="32"/>
        <v>1</v>
      </c>
      <c r="Q47" t="b">
        <f t="shared" si="33"/>
        <v>1</v>
      </c>
      <c r="R47" t="b">
        <f t="shared" si="34"/>
        <v>1</v>
      </c>
      <c r="S47" t="b">
        <f t="shared" si="35"/>
        <v>1</v>
      </c>
      <c r="V47" t="b">
        <f t="shared" si="36"/>
        <v>1</v>
      </c>
      <c r="W47" t="b">
        <f t="shared" si="37"/>
        <v>1</v>
      </c>
      <c r="X47" t="b">
        <f t="shared" si="38"/>
        <v>1</v>
      </c>
      <c r="Y47" t="b">
        <f t="shared" si="39"/>
        <v>1</v>
      </c>
      <c r="Z47" t="b">
        <f t="shared" si="40"/>
        <v>1</v>
      </c>
      <c r="AA47" t="b">
        <f t="shared" si="41"/>
        <v>1</v>
      </c>
      <c r="AB47" t="b">
        <f t="shared" si="42"/>
        <v>1</v>
      </c>
      <c r="AC47" t="b">
        <f t="shared" si="43"/>
        <v>1</v>
      </c>
      <c r="AD47" t="b">
        <f t="shared" si="44"/>
        <v>1</v>
      </c>
      <c r="AE47" t="b">
        <f t="shared" si="45"/>
        <v>1</v>
      </c>
      <c r="AF47" t="b">
        <f t="shared" si="46"/>
        <v>1</v>
      </c>
      <c r="AG47" t="b">
        <f t="shared" si="47"/>
        <v>1</v>
      </c>
    </row>
    <row r="48" spans="1:33">
      <c r="A48" s="3" t="s">
        <v>241</v>
      </c>
      <c r="B48" s="27" t="s">
        <v>192</v>
      </c>
      <c r="C48" s="27" t="s">
        <v>192</v>
      </c>
      <c r="D48" s="27" t="s">
        <v>192</v>
      </c>
      <c r="E48" s="27" t="s">
        <v>192</v>
      </c>
      <c r="F48" s="6" t="s">
        <v>193</v>
      </c>
      <c r="H48" t="b">
        <f t="shared" si="24"/>
        <v>1</v>
      </c>
      <c r="I48" t="b">
        <f t="shared" si="25"/>
        <v>1</v>
      </c>
      <c r="J48" t="b">
        <f t="shared" si="26"/>
        <v>1</v>
      </c>
      <c r="K48" t="b">
        <f t="shared" si="27"/>
        <v>1</v>
      </c>
      <c r="L48" t="b">
        <f t="shared" si="28"/>
        <v>1</v>
      </c>
      <c r="M48" t="b">
        <f t="shared" si="29"/>
        <v>1</v>
      </c>
      <c r="N48" t="b">
        <f t="shared" si="30"/>
        <v>1</v>
      </c>
      <c r="O48" t="b">
        <f t="shared" si="31"/>
        <v>1</v>
      </c>
      <c r="P48" t="b">
        <f t="shared" si="32"/>
        <v>1</v>
      </c>
      <c r="Q48" t="b">
        <f t="shared" si="33"/>
        <v>1</v>
      </c>
      <c r="R48" t="b">
        <f t="shared" si="34"/>
        <v>1</v>
      </c>
      <c r="S48" t="b">
        <f t="shared" si="35"/>
        <v>1</v>
      </c>
      <c r="V48" t="b">
        <f t="shared" si="36"/>
        <v>1</v>
      </c>
      <c r="W48" t="b">
        <f t="shared" si="37"/>
        <v>1</v>
      </c>
      <c r="X48" t="b">
        <f t="shared" si="38"/>
        <v>1</v>
      </c>
      <c r="Y48" t="b">
        <f t="shared" si="39"/>
        <v>1</v>
      </c>
      <c r="Z48" t="b">
        <f t="shared" si="40"/>
        <v>1</v>
      </c>
      <c r="AA48" t="b">
        <f t="shared" si="41"/>
        <v>1</v>
      </c>
      <c r="AB48" t="b">
        <f t="shared" si="42"/>
        <v>1</v>
      </c>
      <c r="AC48" t="b">
        <f t="shared" si="43"/>
        <v>1</v>
      </c>
      <c r="AD48" t="b">
        <f t="shared" si="44"/>
        <v>1</v>
      </c>
      <c r="AE48" t="b">
        <f t="shared" si="45"/>
        <v>1</v>
      </c>
      <c r="AF48" t="b">
        <f t="shared" si="46"/>
        <v>1</v>
      </c>
      <c r="AG48" t="b">
        <f t="shared" si="47"/>
        <v>1</v>
      </c>
    </row>
    <row r="49" spans="1:33">
      <c r="A49" s="3" t="s">
        <v>242</v>
      </c>
      <c r="D49" s="27" t="s">
        <v>192</v>
      </c>
      <c r="F49" s="6" t="s">
        <v>193</v>
      </c>
      <c r="H49" t="b">
        <f t="shared" si="24"/>
        <v>0</v>
      </c>
      <c r="I49" t="b">
        <f t="shared" si="25"/>
        <v>0</v>
      </c>
      <c r="J49" t="b">
        <f t="shared" si="26"/>
        <v>0</v>
      </c>
      <c r="K49" t="b">
        <f t="shared" si="27"/>
        <v>1</v>
      </c>
      <c r="L49" t="b">
        <f t="shared" si="28"/>
        <v>0</v>
      </c>
      <c r="M49" t="b">
        <f t="shared" si="29"/>
        <v>0</v>
      </c>
      <c r="N49" t="b">
        <f t="shared" si="30"/>
        <v>0</v>
      </c>
      <c r="O49" t="b">
        <f t="shared" si="31"/>
        <v>1</v>
      </c>
      <c r="P49" t="b">
        <f t="shared" si="32"/>
        <v>0</v>
      </c>
      <c r="Q49" t="b">
        <f t="shared" si="33"/>
        <v>0</v>
      </c>
      <c r="R49" t="b">
        <f t="shared" si="34"/>
        <v>0</v>
      </c>
      <c r="S49" t="b">
        <f t="shared" si="35"/>
        <v>1</v>
      </c>
      <c r="V49" t="b">
        <f t="shared" si="36"/>
        <v>0</v>
      </c>
      <c r="W49" t="b">
        <f t="shared" si="37"/>
        <v>0</v>
      </c>
      <c r="X49" t="b">
        <f t="shared" si="38"/>
        <v>0</v>
      </c>
      <c r="Y49" t="b">
        <f t="shared" si="39"/>
        <v>1</v>
      </c>
      <c r="Z49" t="b">
        <f t="shared" si="40"/>
        <v>0</v>
      </c>
      <c r="AA49" t="b">
        <f t="shared" si="41"/>
        <v>0</v>
      </c>
      <c r="AB49" t="b">
        <f t="shared" si="42"/>
        <v>0</v>
      </c>
      <c r="AC49" t="b">
        <f t="shared" si="43"/>
        <v>1</v>
      </c>
      <c r="AD49" t="b">
        <f t="shared" si="44"/>
        <v>0</v>
      </c>
      <c r="AE49" t="b">
        <f t="shared" si="45"/>
        <v>0</v>
      </c>
      <c r="AF49" t="b">
        <f t="shared" si="46"/>
        <v>0</v>
      </c>
      <c r="AG49" t="b">
        <f t="shared" si="47"/>
        <v>1</v>
      </c>
    </row>
    <row r="50" spans="1:33">
      <c r="A50" t="s">
        <v>243</v>
      </c>
      <c r="C50" s="27" t="s">
        <v>192</v>
      </c>
      <c r="D50" s="27" t="s">
        <v>192</v>
      </c>
      <c r="E50" s="27" t="s">
        <v>192</v>
      </c>
      <c r="F50" s="6" t="s">
        <v>196</v>
      </c>
      <c r="H50" t="b">
        <f t="shared" si="24"/>
        <v>0</v>
      </c>
      <c r="I50" t="b">
        <f t="shared" si="25"/>
        <v>1</v>
      </c>
      <c r="J50" t="b">
        <f t="shared" si="26"/>
        <v>0</v>
      </c>
      <c r="K50" t="b">
        <f t="shared" si="27"/>
        <v>1</v>
      </c>
      <c r="L50" t="b">
        <f t="shared" si="28"/>
        <v>0</v>
      </c>
      <c r="M50" t="b">
        <f t="shared" si="29"/>
        <v>1</v>
      </c>
      <c r="N50" t="b">
        <f t="shared" si="30"/>
        <v>1</v>
      </c>
      <c r="O50" t="b">
        <f t="shared" si="31"/>
        <v>1</v>
      </c>
      <c r="P50" t="b">
        <f t="shared" si="32"/>
        <v>1</v>
      </c>
      <c r="Q50" t="b">
        <f t="shared" si="33"/>
        <v>1</v>
      </c>
      <c r="R50" t="b">
        <f t="shared" si="34"/>
        <v>1</v>
      </c>
      <c r="S50" t="b">
        <f t="shared" si="35"/>
        <v>1</v>
      </c>
      <c r="V50" t="b">
        <f t="shared" si="36"/>
        <v>0</v>
      </c>
      <c r="W50" t="b">
        <f t="shared" si="37"/>
        <v>0</v>
      </c>
      <c r="X50" t="b">
        <f t="shared" si="38"/>
        <v>0</v>
      </c>
      <c r="Y50" t="b">
        <f t="shared" si="39"/>
        <v>0</v>
      </c>
      <c r="Z50" t="b">
        <f t="shared" si="40"/>
        <v>0</v>
      </c>
      <c r="AA50" t="b">
        <f t="shared" si="41"/>
        <v>0</v>
      </c>
      <c r="AB50" t="b">
        <f t="shared" si="42"/>
        <v>0</v>
      </c>
      <c r="AC50" t="b">
        <f t="shared" si="43"/>
        <v>0</v>
      </c>
      <c r="AD50" t="b">
        <f t="shared" si="44"/>
        <v>0</v>
      </c>
      <c r="AE50" t="b">
        <f t="shared" si="45"/>
        <v>0</v>
      </c>
      <c r="AF50" t="b">
        <f t="shared" si="46"/>
        <v>0</v>
      </c>
      <c r="AG50" t="b">
        <f t="shared" si="47"/>
        <v>0</v>
      </c>
    </row>
    <row r="51" spans="1:33">
      <c r="A51" t="s">
        <v>244</v>
      </c>
      <c r="E51" s="27" t="s">
        <v>192</v>
      </c>
      <c r="F51" s="6" t="s">
        <v>196</v>
      </c>
      <c r="H51" t="b">
        <f t="shared" si="24"/>
        <v>0</v>
      </c>
      <c r="I51" t="b">
        <f t="shared" si="25"/>
        <v>0</v>
      </c>
      <c r="J51" t="b">
        <f t="shared" si="26"/>
        <v>0</v>
      </c>
      <c r="K51" t="b">
        <f t="shared" si="27"/>
        <v>0</v>
      </c>
      <c r="L51" t="b">
        <f t="shared" si="28"/>
        <v>0</v>
      </c>
      <c r="M51" t="b">
        <f t="shared" si="29"/>
        <v>1</v>
      </c>
      <c r="N51" t="b">
        <f t="shared" si="30"/>
        <v>0</v>
      </c>
      <c r="O51" t="b">
        <f t="shared" si="31"/>
        <v>0</v>
      </c>
      <c r="P51" t="b">
        <f t="shared" si="32"/>
        <v>0</v>
      </c>
      <c r="Q51" t="b">
        <f t="shared" si="33"/>
        <v>1</v>
      </c>
      <c r="R51" t="b">
        <f t="shared" si="34"/>
        <v>0</v>
      </c>
      <c r="S51" t="b">
        <f t="shared" si="35"/>
        <v>1</v>
      </c>
      <c r="V51" t="b">
        <f t="shared" si="36"/>
        <v>0</v>
      </c>
      <c r="W51" t="b">
        <f t="shared" si="37"/>
        <v>0</v>
      </c>
      <c r="X51" t="b">
        <f t="shared" si="38"/>
        <v>0</v>
      </c>
      <c r="Y51" t="b">
        <f t="shared" si="39"/>
        <v>0</v>
      </c>
      <c r="Z51" t="b">
        <f t="shared" si="40"/>
        <v>0</v>
      </c>
      <c r="AA51" t="b">
        <f t="shared" si="41"/>
        <v>0</v>
      </c>
      <c r="AB51" t="b">
        <f t="shared" si="42"/>
        <v>0</v>
      </c>
      <c r="AC51" t="b">
        <f t="shared" si="43"/>
        <v>0</v>
      </c>
      <c r="AD51" t="b">
        <f t="shared" si="44"/>
        <v>0</v>
      </c>
      <c r="AE51" t="b">
        <f t="shared" si="45"/>
        <v>0</v>
      </c>
      <c r="AF51" t="b">
        <f t="shared" si="46"/>
        <v>0</v>
      </c>
      <c r="AG51" t="b">
        <f t="shared" si="47"/>
        <v>0</v>
      </c>
    </row>
    <row r="52" spans="1:33">
      <c r="A52" t="s">
        <v>245</v>
      </c>
      <c r="E52" s="27" t="s">
        <v>192</v>
      </c>
      <c r="F52" s="6" t="s">
        <v>196</v>
      </c>
      <c r="H52" t="b">
        <f t="shared" si="24"/>
        <v>0</v>
      </c>
      <c r="I52" t="b">
        <f t="shared" si="25"/>
        <v>0</v>
      </c>
      <c r="J52" t="b">
        <f t="shared" si="26"/>
        <v>0</v>
      </c>
      <c r="K52" t="b">
        <f t="shared" si="27"/>
        <v>0</v>
      </c>
      <c r="L52" t="b">
        <f t="shared" si="28"/>
        <v>0</v>
      </c>
      <c r="M52" t="b">
        <f t="shared" si="29"/>
        <v>1</v>
      </c>
      <c r="N52" t="b">
        <f t="shared" si="30"/>
        <v>0</v>
      </c>
      <c r="O52" t="b">
        <f t="shared" si="31"/>
        <v>0</v>
      </c>
      <c r="P52" t="b">
        <f t="shared" si="32"/>
        <v>0</v>
      </c>
      <c r="Q52" t="b">
        <f t="shared" si="33"/>
        <v>1</v>
      </c>
      <c r="R52" t="b">
        <f t="shared" si="34"/>
        <v>0</v>
      </c>
      <c r="S52" t="b">
        <f t="shared" si="35"/>
        <v>1</v>
      </c>
      <c r="V52" t="b">
        <f t="shared" si="36"/>
        <v>0</v>
      </c>
      <c r="W52" t="b">
        <f t="shared" si="37"/>
        <v>0</v>
      </c>
      <c r="X52" t="b">
        <f t="shared" si="38"/>
        <v>0</v>
      </c>
      <c r="Y52" t="b">
        <f t="shared" si="39"/>
        <v>0</v>
      </c>
      <c r="Z52" t="b">
        <f t="shared" si="40"/>
        <v>0</v>
      </c>
      <c r="AA52" t="b">
        <f t="shared" si="41"/>
        <v>0</v>
      </c>
      <c r="AB52" t="b">
        <f t="shared" si="42"/>
        <v>0</v>
      </c>
      <c r="AC52" t="b">
        <f t="shared" si="43"/>
        <v>0</v>
      </c>
      <c r="AD52" t="b">
        <f t="shared" si="44"/>
        <v>0</v>
      </c>
      <c r="AE52" t="b">
        <f t="shared" si="45"/>
        <v>0</v>
      </c>
      <c r="AF52" t="b">
        <f t="shared" si="46"/>
        <v>0</v>
      </c>
      <c r="AG52" t="b">
        <f t="shared" si="47"/>
        <v>0</v>
      </c>
    </row>
    <row r="53" spans="1:33">
      <c r="A53" t="s">
        <v>246</v>
      </c>
      <c r="B53" s="27" t="s">
        <v>192</v>
      </c>
      <c r="C53" s="27" t="s">
        <v>192</v>
      </c>
      <c r="D53" s="27" t="s">
        <v>192</v>
      </c>
      <c r="E53" s="27" t="s">
        <v>192</v>
      </c>
      <c r="F53" s="6" t="s">
        <v>193</v>
      </c>
      <c r="H53" t="b">
        <f t="shared" si="24"/>
        <v>1</v>
      </c>
      <c r="I53" t="b">
        <f t="shared" si="25"/>
        <v>1</v>
      </c>
      <c r="J53" t="b">
        <f t="shared" si="26"/>
        <v>1</v>
      </c>
      <c r="K53" t="b">
        <f t="shared" si="27"/>
        <v>1</v>
      </c>
      <c r="L53" t="b">
        <f t="shared" si="28"/>
        <v>1</v>
      </c>
      <c r="M53" t="b">
        <f t="shared" si="29"/>
        <v>1</v>
      </c>
      <c r="N53" t="b">
        <f t="shared" si="30"/>
        <v>1</v>
      </c>
      <c r="O53" t="b">
        <f t="shared" si="31"/>
        <v>1</v>
      </c>
      <c r="P53" t="b">
        <f t="shared" si="32"/>
        <v>1</v>
      </c>
      <c r="Q53" t="b">
        <f t="shared" si="33"/>
        <v>1</v>
      </c>
      <c r="R53" t="b">
        <f t="shared" si="34"/>
        <v>1</v>
      </c>
      <c r="S53" t="b">
        <f t="shared" si="35"/>
        <v>1</v>
      </c>
      <c r="V53" t="b">
        <f t="shared" si="36"/>
        <v>1</v>
      </c>
      <c r="W53" t="b">
        <f t="shared" si="37"/>
        <v>1</v>
      </c>
      <c r="X53" t="b">
        <f t="shared" si="38"/>
        <v>1</v>
      </c>
      <c r="Y53" t="b">
        <f t="shared" si="39"/>
        <v>1</v>
      </c>
      <c r="Z53" t="b">
        <f t="shared" si="40"/>
        <v>1</v>
      </c>
      <c r="AA53" t="b">
        <f t="shared" si="41"/>
        <v>1</v>
      </c>
      <c r="AB53" t="b">
        <f t="shared" si="42"/>
        <v>1</v>
      </c>
      <c r="AC53" t="b">
        <f t="shared" si="43"/>
        <v>1</v>
      </c>
      <c r="AD53" t="b">
        <f t="shared" si="44"/>
        <v>1</v>
      </c>
      <c r="AE53" t="b">
        <f t="shared" si="45"/>
        <v>1</v>
      </c>
      <c r="AF53" t="b">
        <f t="shared" si="46"/>
        <v>1</v>
      </c>
      <c r="AG53" t="b">
        <f t="shared" si="47"/>
        <v>1</v>
      </c>
    </row>
    <row r="54" spans="1:33">
      <c r="A54" t="s">
        <v>247</v>
      </c>
      <c r="B54" s="27" t="s">
        <v>192</v>
      </c>
      <c r="C54" s="27" t="s">
        <v>192</v>
      </c>
      <c r="D54" s="27" t="s">
        <v>192</v>
      </c>
      <c r="E54" s="27" t="s">
        <v>192</v>
      </c>
      <c r="F54" s="6" t="s">
        <v>193</v>
      </c>
      <c r="H54" t="b">
        <f t="shared" si="24"/>
        <v>1</v>
      </c>
      <c r="I54" t="b">
        <f t="shared" si="25"/>
        <v>1</v>
      </c>
      <c r="J54" t="b">
        <f t="shared" si="26"/>
        <v>1</v>
      </c>
      <c r="K54" t="b">
        <f t="shared" si="27"/>
        <v>1</v>
      </c>
      <c r="L54" t="b">
        <f t="shared" si="28"/>
        <v>1</v>
      </c>
      <c r="M54" t="b">
        <f t="shared" si="29"/>
        <v>1</v>
      </c>
      <c r="N54" t="b">
        <f t="shared" si="30"/>
        <v>1</v>
      </c>
      <c r="O54" t="b">
        <f t="shared" si="31"/>
        <v>1</v>
      </c>
      <c r="P54" t="b">
        <f t="shared" si="32"/>
        <v>1</v>
      </c>
      <c r="Q54" t="b">
        <f t="shared" si="33"/>
        <v>1</v>
      </c>
      <c r="R54" t="b">
        <f t="shared" si="34"/>
        <v>1</v>
      </c>
      <c r="S54" t="b">
        <f t="shared" si="35"/>
        <v>1</v>
      </c>
      <c r="V54" t="b">
        <f t="shared" si="36"/>
        <v>1</v>
      </c>
      <c r="W54" t="b">
        <f t="shared" si="37"/>
        <v>1</v>
      </c>
      <c r="X54" t="b">
        <f t="shared" si="38"/>
        <v>1</v>
      </c>
      <c r="Y54" t="b">
        <f t="shared" si="39"/>
        <v>1</v>
      </c>
      <c r="Z54" t="b">
        <f t="shared" si="40"/>
        <v>1</v>
      </c>
      <c r="AA54" t="b">
        <f t="shared" si="41"/>
        <v>1</v>
      </c>
      <c r="AB54" t="b">
        <f t="shared" si="42"/>
        <v>1</v>
      </c>
      <c r="AC54" t="b">
        <f t="shared" si="43"/>
        <v>1</v>
      </c>
      <c r="AD54" t="b">
        <f t="shared" si="44"/>
        <v>1</v>
      </c>
      <c r="AE54" t="b">
        <f t="shared" si="45"/>
        <v>1</v>
      </c>
      <c r="AF54" t="b">
        <f t="shared" si="46"/>
        <v>1</v>
      </c>
      <c r="AG54" t="b">
        <f t="shared" si="47"/>
        <v>1</v>
      </c>
    </row>
    <row r="55" spans="1:33">
      <c r="A55" t="s">
        <v>248</v>
      </c>
      <c r="B55" s="27" t="s">
        <v>192</v>
      </c>
      <c r="C55" s="27" t="s">
        <v>192</v>
      </c>
      <c r="D55" s="27" t="s">
        <v>192</v>
      </c>
      <c r="E55" s="27" t="s">
        <v>192</v>
      </c>
      <c r="F55" s="6" t="s">
        <v>193</v>
      </c>
      <c r="H55" t="b">
        <f t="shared" si="24"/>
        <v>1</v>
      </c>
      <c r="I55" t="b">
        <f t="shared" si="25"/>
        <v>1</v>
      </c>
      <c r="J55" t="b">
        <f t="shared" si="26"/>
        <v>1</v>
      </c>
      <c r="K55" t="b">
        <f t="shared" si="27"/>
        <v>1</v>
      </c>
      <c r="L55" t="b">
        <f t="shared" si="28"/>
        <v>1</v>
      </c>
      <c r="M55" t="b">
        <f t="shared" si="29"/>
        <v>1</v>
      </c>
      <c r="N55" t="b">
        <f t="shared" si="30"/>
        <v>1</v>
      </c>
      <c r="O55" t="b">
        <f t="shared" si="31"/>
        <v>1</v>
      </c>
      <c r="P55" t="b">
        <f t="shared" si="32"/>
        <v>1</v>
      </c>
      <c r="Q55" t="b">
        <f t="shared" si="33"/>
        <v>1</v>
      </c>
      <c r="R55" t="b">
        <f t="shared" si="34"/>
        <v>1</v>
      </c>
      <c r="S55" t="b">
        <f t="shared" si="35"/>
        <v>1</v>
      </c>
      <c r="V55" t="b">
        <f t="shared" si="36"/>
        <v>1</v>
      </c>
      <c r="W55" t="b">
        <f t="shared" si="37"/>
        <v>1</v>
      </c>
      <c r="X55" t="b">
        <f t="shared" si="38"/>
        <v>1</v>
      </c>
      <c r="Y55" t="b">
        <f t="shared" si="39"/>
        <v>1</v>
      </c>
      <c r="Z55" t="b">
        <f t="shared" si="40"/>
        <v>1</v>
      </c>
      <c r="AA55" t="b">
        <f t="shared" si="41"/>
        <v>1</v>
      </c>
      <c r="AB55" t="b">
        <f t="shared" si="42"/>
        <v>1</v>
      </c>
      <c r="AC55" t="b">
        <f t="shared" si="43"/>
        <v>1</v>
      </c>
      <c r="AD55" t="b">
        <f t="shared" si="44"/>
        <v>1</v>
      </c>
      <c r="AE55" t="b">
        <f t="shared" si="45"/>
        <v>1</v>
      </c>
      <c r="AF55" t="b">
        <f t="shared" si="46"/>
        <v>1</v>
      </c>
      <c r="AG55" t="b">
        <f t="shared" si="47"/>
        <v>1</v>
      </c>
    </row>
    <row r="56" spans="1:33">
      <c r="A56" s="3" t="s">
        <v>249</v>
      </c>
      <c r="E56" s="27" t="s">
        <v>192</v>
      </c>
      <c r="F56" s="6" t="s">
        <v>193</v>
      </c>
      <c r="H56" t="b">
        <f t="shared" si="24"/>
        <v>0</v>
      </c>
      <c r="I56" t="b">
        <f t="shared" si="25"/>
        <v>0</v>
      </c>
      <c r="J56" t="b">
        <f t="shared" si="26"/>
        <v>0</v>
      </c>
      <c r="K56" t="b">
        <f t="shared" si="27"/>
        <v>0</v>
      </c>
      <c r="L56" t="b">
        <f t="shared" si="28"/>
        <v>0</v>
      </c>
      <c r="M56" t="b">
        <f t="shared" si="29"/>
        <v>1</v>
      </c>
      <c r="N56" t="b">
        <f t="shared" si="30"/>
        <v>0</v>
      </c>
      <c r="O56" t="b">
        <f t="shared" si="31"/>
        <v>0</v>
      </c>
      <c r="P56" t="b">
        <f t="shared" si="32"/>
        <v>0</v>
      </c>
      <c r="Q56" t="b">
        <f t="shared" si="33"/>
        <v>1</v>
      </c>
      <c r="R56" t="b">
        <f t="shared" si="34"/>
        <v>0</v>
      </c>
      <c r="S56" t="b">
        <f t="shared" si="35"/>
        <v>1</v>
      </c>
      <c r="V56" t="b">
        <f t="shared" si="36"/>
        <v>0</v>
      </c>
      <c r="W56" t="b">
        <f t="shared" si="37"/>
        <v>0</v>
      </c>
      <c r="X56" t="b">
        <f t="shared" si="38"/>
        <v>0</v>
      </c>
      <c r="Y56" t="b">
        <f t="shared" si="39"/>
        <v>0</v>
      </c>
      <c r="Z56" t="b">
        <f t="shared" si="40"/>
        <v>0</v>
      </c>
      <c r="AA56" t="b">
        <f t="shared" si="41"/>
        <v>1</v>
      </c>
      <c r="AB56" t="b">
        <f t="shared" si="42"/>
        <v>0</v>
      </c>
      <c r="AC56" t="b">
        <f t="shared" si="43"/>
        <v>0</v>
      </c>
      <c r="AD56" t="b">
        <f t="shared" si="44"/>
        <v>0</v>
      </c>
      <c r="AE56" t="b">
        <f t="shared" si="45"/>
        <v>1</v>
      </c>
      <c r="AF56" t="b">
        <f t="shared" si="46"/>
        <v>0</v>
      </c>
      <c r="AG56" t="b">
        <f t="shared" si="47"/>
        <v>1</v>
      </c>
    </row>
    <row r="57" spans="1:33">
      <c r="A57" s="3" t="s">
        <v>250</v>
      </c>
      <c r="B57" s="27" t="s">
        <v>192</v>
      </c>
      <c r="C57" s="27" t="s">
        <v>192</v>
      </c>
      <c r="D57" s="27" t="s">
        <v>192</v>
      </c>
      <c r="E57" s="27" t="s">
        <v>192</v>
      </c>
      <c r="F57" s="6" t="s">
        <v>193</v>
      </c>
      <c r="H57" t="b">
        <f t="shared" si="24"/>
        <v>1</v>
      </c>
      <c r="I57" t="b">
        <f t="shared" si="25"/>
        <v>1</v>
      </c>
      <c r="J57" t="b">
        <f t="shared" si="26"/>
        <v>1</v>
      </c>
      <c r="K57" t="b">
        <f t="shared" si="27"/>
        <v>1</v>
      </c>
      <c r="L57" t="b">
        <f t="shared" si="28"/>
        <v>1</v>
      </c>
      <c r="M57" t="b">
        <f t="shared" si="29"/>
        <v>1</v>
      </c>
      <c r="N57" t="b">
        <f t="shared" si="30"/>
        <v>1</v>
      </c>
      <c r="O57" t="b">
        <f t="shared" si="31"/>
        <v>1</v>
      </c>
      <c r="P57" t="b">
        <f t="shared" si="32"/>
        <v>1</v>
      </c>
      <c r="Q57" t="b">
        <f t="shared" si="33"/>
        <v>1</v>
      </c>
      <c r="R57" t="b">
        <f t="shared" si="34"/>
        <v>1</v>
      </c>
      <c r="S57" t="b">
        <f t="shared" si="35"/>
        <v>1</v>
      </c>
      <c r="V57" t="b">
        <f t="shared" si="36"/>
        <v>1</v>
      </c>
      <c r="W57" t="b">
        <f t="shared" si="37"/>
        <v>1</v>
      </c>
      <c r="X57" t="b">
        <f t="shared" si="38"/>
        <v>1</v>
      </c>
      <c r="Y57" t="b">
        <f t="shared" si="39"/>
        <v>1</v>
      </c>
      <c r="Z57" t="b">
        <f t="shared" si="40"/>
        <v>1</v>
      </c>
      <c r="AA57" t="b">
        <f t="shared" si="41"/>
        <v>1</v>
      </c>
      <c r="AB57" t="b">
        <f t="shared" si="42"/>
        <v>1</v>
      </c>
      <c r="AC57" t="b">
        <f t="shared" si="43"/>
        <v>1</v>
      </c>
      <c r="AD57" t="b">
        <f t="shared" si="44"/>
        <v>1</v>
      </c>
      <c r="AE57" t="b">
        <f t="shared" si="45"/>
        <v>1</v>
      </c>
      <c r="AF57" t="b">
        <f t="shared" si="46"/>
        <v>1</v>
      </c>
      <c r="AG57" t="b">
        <f t="shared" si="47"/>
        <v>1</v>
      </c>
    </row>
    <row r="58" spans="1:33">
      <c r="A58" s="3" t="s">
        <v>251</v>
      </c>
      <c r="B58" s="27" t="s">
        <v>192</v>
      </c>
      <c r="C58" s="27" t="s">
        <v>192</v>
      </c>
      <c r="D58" s="27" t="s">
        <v>192</v>
      </c>
      <c r="E58" s="27" t="s">
        <v>192</v>
      </c>
      <c r="F58" s="6" t="s">
        <v>193</v>
      </c>
      <c r="H58" t="b">
        <f t="shared" si="24"/>
        <v>1</v>
      </c>
      <c r="I58" t="b">
        <f t="shared" si="25"/>
        <v>1</v>
      </c>
      <c r="J58" t="b">
        <f t="shared" si="26"/>
        <v>1</v>
      </c>
      <c r="K58" t="b">
        <f t="shared" si="27"/>
        <v>1</v>
      </c>
      <c r="L58" t="b">
        <f t="shared" si="28"/>
        <v>1</v>
      </c>
      <c r="M58" t="b">
        <f t="shared" si="29"/>
        <v>1</v>
      </c>
      <c r="N58" t="b">
        <f t="shared" si="30"/>
        <v>1</v>
      </c>
      <c r="O58" t="b">
        <f t="shared" si="31"/>
        <v>1</v>
      </c>
      <c r="P58" t="b">
        <f t="shared" si="32"/>
        <v>1</v>
      </c>
      <c r="Q58" t="b">
        <f t="shared" si="33"/>
        <v>1</v>
      </c>
      <c r="R58" t="b">
        <f t="shared" si="34"/>
        <v>1</v>
      </c>
      <c r="S58" t="b">
        <f t="shared" si="35"/>
        <v>1</v>
      </c>
      <c r="V58" t="b">
        <f t="shared" si="36"/>
        <v>1</v>
      </c>
      <c r="W58" t="b">
        <f t="shared" si="37"/>
        <v>1</v>
      </c>
      <c r="X58" t="b">
        <f t="shared" si="38"/>
        <v>1</v>
      </c>
      <c r="Y58" t="b">
        <f t="shared" si="39"/>
        <v>1</v>
      </c>
      <c r="Z58" t="b">
        <f t="shared" si="40"/>
        <v>1</v>
      </c>
      <c r="AA58" t="b">
        <f t="shared" si="41"/>
        <v>1</v>
      </c>
      <c r="AB58" t="b">
        <f t="shared" si="42"/>
        <v>1</v>
      </c>
      <c r="AC58" t="b">
        <f t="shared" si="43"/>
        <v>1</v>
      </c>
      <c r="AD58" t="b">
        <f t="shared" si="44"/>
        <v>1</v>
      </c>
      <c r="AE58" t="b">
        <f t="shared" si="45"/>
        <v>1</v>
      </c>
      <c r="AF58" t="b">
        <f t="shared" si="46"/>
        <v>1</v>
      </c>
      <c r="AG58" t="b">
        <f t="shared" si="47"/>
        <v>1</v>
      </c>
    </row>
    <row r="59" spans="1:33">
      <c r="A59" t="s">
        <v>252</v>
      </c>
      <c r="B59" s="27" t="s">
        <v>192</v>
      </c>
      <c r="D59" s="27" t="s">
        <v>192</v>
      </c>
      <c r="F59" s="6" t="s">
        <v>196</v>
      </c>
      <c r="H59" t="b">
        <f t="shared" si="24"/>
        <v>0</v>
      </c>
      <c r="I59" t="b">
        <f t="shared" si="25"/>
        <v>1</v>
      </c>
      <c r="J59" t="b">
        <f t="shared" si="26"/>
        <v>1</v>
      </c>
      <c r="K59" t="b">
        <f t="shared" si="27"/>
        <v>1</v>
      </c>
      <c r="L59" t="b">
        <f t="shared" si="28"/>
        <v>0</v>
      </c>
      <c r="M59" t="b">
        <f t="shared" si="29"/>
        <v>1</v>
      </c>
      <c r="N59" t="b">
        <f t="shared" si="30"/>
        <v>0</v>
      </c>
      <c r="O59" t="b">
        <f t="shared" si="31"/>
        <v>1</v>
      </c>
      <c r="P59" t="b">
        <f t="shared" si="32"/>
        <v>0</v>
      </c>
      <c r="Q59" t="b">
        <f t="shared" si="33"/>
        <v>0</v>
      </c>
      <c r="R59" t="b">
        <f t="shared" si="34"/>
        <v>0</v>
      </c>
      <c r="S59" t="b">
        <f t="shared" si="35"/>
        <v>1</v>
      </c>
      <c r="V59" t="b">
        <f t="shared" si="36"/>
        <v>0</v>
      </c>
      <c r="W59" t="b">
        <f t="shared" si="37"/>
        <v>0</v>
      </c>
      <c r="X59" t="b">
        <f t="shared" si="38"/>
        <v>0</v>
      </c>
      <c r="Y59" t="b">
        <f t="shared" si="39"/>
        <v>0</v>
      </c>
      <c r="Z59" t="b">
        <f t="shared" si="40"/>
        <v>0</v>
      </c>
      <c r="AA59" t="b">
        <f t="shared" si="41"/>
        <v>0</v>
      </c>
      <c r="AB59" t="b">
        <f t="shared" si="42"/>
        <v>0</v>
      </c>
      <c r="AC59" t="b">
        <f t="shared" si="43"/>
        <v>0</v>
      </c>
      <c r="AD59" t="b">
        <f t="shared" si="44"/>
        <v>0</v>
      </c>
      <c r="AE59" t="b">
        <f t="shared" si="45"/>
        <v>0</v>
      </c>
      <c r="AF59" t="b">
        <f t="shared" si="46"/>
        <v>0</v>
      </c>
      <c r="AG59" t="b">
        <f t="shared" si="47"/>
        <v>0</v>
      </c>
    </row>
    <row r="60" spans="1:33">
      <c r="A60" t="s">
        <v>253</v>
      </c>
      <c r="B60" s="27" t="s">
        <v>192</v>
      </c>
      <c r="C60" s="27" t="s">
        <v>192</v>
      </c>
      <c r="D60" s="27" t="s">
        <v>192</v>
      </c>
      <c r="E60" s="27" t="s">
        <v>192</v>
      </c>
      <c r="F60" s="6" t="s">
        <v>193</v>
      </c>
      <c r="H60" t="b">
        <f t="shared" si="24"/>
        <v>1</v>
      </c>
      <c r="I60" t="b">
        <f t="shared" si="25"/>
        <v>1</v>
      </c>
      <c r="J60" t="b">
        <f t="shared" si="26"/>
        <v>1</v>
      </c>
      <c r="K60" t="b">
        <f t="shared" si="27"/>
        <v>1</v>
      </c>
      <c r="L60" t="b">
        <f t="shared" si="28"/>
        <v>1</v>
      </c>
      <c r="M60" t="b">
        <f t="shared" si="29"/>
        <v>1</v>
      </c>
      <c r="N60" t="b">
        <f t="shared" si="30"/>
        <v>1</v>
      </c>
      <c r="O60" t="b">
        <f t="shared" si="31"/>
        <v>1</v>
      </c>
      <c r="P60" t="b">
        <f t="shared" si="32"/>
        <v>1</v>
      </c>
      <c r="Q60" t="b">
        <f t="shared" si="33"/>
        <v>1</v>
      </c>
      <c r="R60" t="b">
        <f t="shared" si="34"/>
        <v>1</v>
      </c>
      <c r="S60" t="b">
        <f t="shared" si="35"/>
        <v>1</v>
      </c>
      <c r="V60" t="b">
        <f t="shared" si="36"/>
        <v>1</v>
      </c>
      <c r="W60" t="b">
        <f t="shared" si="37"/>
        <v>1</v>
      </c>
      <c r="X60" t="b">
        <f t="shared" si="38"/>
        <v>1</v>
      </c>
      <c r="Y60" t="b">
        <f t="shared" si="39"/>
        <v>1</v>
      </c>
      <c r="Z60" t="b">
        <f t="shared" si="40"/>
        <v>1</v>
      </c>
      <c r="AA60" t="b">
        <f t="shared" si="41"/>
        <v>1</v>
      </c>
      <c r="AB60" t="b">
        <f t="shared" si="42"/>
        <v>1</v>
      </c>
      <c r="AC60" t="b">
        <f t="shared" si="43"/>
        <v>1</v>
      </c>
      <c r="AD60" t="b">
        <f t="shared" si="44"/>
        <v>1</v>
      </c>
      <c r="AE60" t="b">
        <f t="shared" si="45"/>
        <v>1</v>
      </c>
      <c r="AF60" t="b">
        <f t="shared" si="46"/>
        <v>1</v>
      </c>
      <c r="AG60" t="b">
        <f t="shared" si="47"/>
        <v>1</v>
      </c>
    </row>
    <row r="61" spans="1:33">
      <c r="A61" t="s">
        <v>254</v>
      </c>
      <c r="B61" s="27" t="s">
        <v>192</v>
      </c>
      <c r="C61" s="27" t="s">
        <v>192</v>
      </c>
      <c r="D61" s="27" t="s">
        <v>192</v>
      </c>
      <c r="E61" s="27" t="s">
        <v>192</v>
      </c>
      <c r="F61" s="6" t="s">
        <v>193</v>
      </c>
      <c r="H61" t="b">
        <f t="shared" si="24"/>
        <v>1</v>
      </c>
      <c r="I61" t="b">
        <f t="shared" si="25"/>
        <v>1</v>
      </c>
      <c r="J61" t="b">
        <f t="shared" si="26"/>
        <v>1</v>
      </c>
      <c r="K61" t="b">
        <f t="shared" si="27"/>
        <v>1</v>
      </c>
      <c r="L61" t="b">
        <f t="shared" si="28"/>
        <v>1</v>
      </c>
      <c r="M61" t="b">
        <f t="shared" si="29"/>
        <v>1</v>
      </c>
      <c r="N61" t="b">
        <f t="shared" si="30"/>
        <v>1</v>
      </c>
      <c r="O61" t="b">
        <f t="shared" si="31"/>
        <v>1</v>
      </c>
      <c r="P61" t="b">
        <f t="shared" si="32"/>
        <v>1</v>
      </c>
      <c r="Q61" t="b">
        <f t="shared" si="33"/>
        <v>1</v>
      </c>
      <c r="R61" t="b">
        <f t="shared" si="34"/>
        <v>1</v>
      </c>
      <c r="S61" t="b">
        <f t="shared" si="35"/>
        <v>1</v>
      </c>
      <c r="V61" t="b">
        <f t="shared" si="36"/>
        <v>1</v>
      </c>
      <c r="W61" t="b">
        <f t="shared" si="37"/>
        <v>1</v>
      </c>
      <c r="X61" t="b">
        <f t="shared" si="38"/>
        <v>1</v>
      </c>
      <c r="Y61" t="b">
        <f t="shared" si="39"/>
        <v>1</v>
      </c>
      <c r="Z61" t="b">
        <f t="shared" si="40"/>
        <v>1</v>
      </c>
      <c r="AA61" t="b">
        <f t="shared" si="41"/>
        <v>1</v>
      </c>
      <c r="AB61" t="b">
        <f t="shared" si="42"/>
        <v>1</v>
      </c>
      <c r="AC61" t="b">
        <f t="shared" si="43"/>
        <v>1</v>
      </c>
      <c r="AD61" t="b">
        <f t="shared" si="44"/>
        <v>1</v>
      </c>
      <c r="AE61" t="b">
        <f t="shared" si="45"/>
        <v>1</v>
      </c>
      <c r="AF61" t="b">
        <f t="shared" si="46"/>
        <v>1</v>
      </c>
      <c r="AG61" t="b">
        <f t="shared" si="47"/>
        <v>1</v>
      </c>
    </row>
    <row r="62" spans="1:33">
      <c r="A62" s="3" t="s">
        <v>255</v>
      </c>
      <c r="B62" s="27" t="s">
        <v>192</v>
      </c>
      <c r="C62" s="27" t="s">
        <v>192</v>
      </c>
      <c r="D62" s="27" t="s">
        <v>192</v>
      </c>
      <c r="E62" s="27" t="s">
        <v>192</v>
      </c>
      <c r="F62" s="6" t="s">
        <v>193</v>
      </c>
      <c r="H62" t="b">
        <f t="shared" si="24"/>
        <v>1</v>
      </c>
      <c r="I62" t="b">
        <f t="shared" si="25"/>
        <v>1</v>
      </c>
      <c r="J62" t="b">
        <f t="shared" si="26"/>
        <v>1</v>
      </c>
      <c r="K62" t="b">
        <f t="shared" si="27"/>
        <v>1</v>
      </c>
      <c r="L62" t="b">
        <f t="shared" si="28"/>
        <v>1</v>
      </c>
      <c r="M62" t="b">
        <f t="shared" si="29"/>
        <v>1</v>
      </c>
      <c r="N62" t="b">
        <f t="shared" si="30"/>
        <v>1</v>
      </c>
      <c r="O62" t="b">
        <f t="shared" si="31"/>
        <v>1</v>
      </c>
      <c r="P62" t="b">
        <f t="shared" si="32"/>
        <v>1</v>
      </c>
      <c r="Q62" t="b">
        <f t="shared" si="33"/>
        <v>1</v>
      </c>
      <c r="R62" t="b">
        <f t="shared" si="34"/>
        <v>1</v>
      </c>
      <c r="S62" t="b">
        <f t="shared" si="35"/>
        <v>1</v>
      </c>
      <c r="V62" t="b">
        <f t="shared" si="36"/>
        <v>1</v>
      </c>
      <c r="W62" t="b">
        <f t="shared" si="37"/>
        <v>1</v>
      </c>
      <c r="X62" t="b">
        <f t="shared" si="38"/>
        <v>1</v>
      </c>
      <c r="Y62" t="b">
        <f t="shared" si="39"/>
        <v>1</v>
      </c>
      <c r="Z62" t="b">
        <f t="shared" si="40"/>
        <v>1</v>
      </c>
      <c r="AA62" t="b">
        <f t="shared" si="41"/>
        <v>1</v>
      </c>
      <c r="AB62" t="b">
        <f t="shared" si="42"/>
        <v>1</v>
      </c>
      <c r="AC62" t="b">
        <f t="shared" si="43"/>
        <v>1</v>
      </c>
      <c r="AD62" t="b">
        <f t="shared" si="44"/>
        <v>1</v>
      </c>
      <c r="AE62" t="b">
        <f t="shared" si="45"/>
        <v>1</v>
      </c>
      <c r="AF62" t="b">
        <f t="shared" si="46"/>
        <v>1</v>
      </c>
      <c r="AG62" t="b">
        <f t="shared" si="47"/>
        <v>1</v>
      </c>
    </row>
    <row r="63" spans="1:33">
      <c r="A63" t="s">
        <v>256</v>
      </c>
      <c r="D63" s="27" t="s">
        <v>192</v>
      </c>
      <c r="F63" s="6" t="s">
        <v>196</v>
      </c>
      <c r="H63" t="b">
        <f t="shared" si="24"/>
        <v>0</v>
      </c>
      <c r="I63" t="b">
        <f t="shared" si="25"/>
        <v>0</v>
      </c>
      <c r="J63" t="b">
        <f t="shared" si="26"/>
        <v>0</v>
      </c>
      <c r="K63" t="b">
        <f t="shared" si="27"/>
        <v>1</v>
      </c>
      <c r="L63" t="b">
        <f t="shared" si="28"/>
        <v>0</v>
      </c>
      <c r="M63" t="b">
        <f t="shared" si="29"/>
        <v>0</v>
      </c>
      <c r="N63" t="b">
        <f t="shared" si="30"/>
        <v>0</v>
      </c>
      <c r="O63" t="b">
        <f t="shared" si="31"/>
        <v>1</v>
      </c>
      <c r="P63" t="b">
        <f t="shared" si="32"/>
        <v>0</v>
      </c>
      <c r="Q63" t="b">
        <f t="shared" si="33"/>
        <v>0</v>
      </c>
      <c r="R63" t="b">
        <f t="shared" si="34"/>
        <v>0</v>
      </c>
      <c r="S63" t="b">
        <f t="shared" si="35"/>
        <v>1</v>
      </c>
      <c r="V63" t="b">
        <f t="shared" si="36"/>
        <v>0</v>
      </c>
      <c r="W63" t="b">
        <f t="shared" si="37"/>
        <v>0</v>
      </c>
      <c r="X63" t="b">
        <f t="shared" si="38"/>
        <v>0</v>
      </c>
      <c r="Y63" t="b">
        <f t="shared" si="39"/>
        <v>0</v>
      </c>
      <c r="Z63" t="b">
        <f t="shared" si="40"/>
        <v>0</v>
      </c>
      <c r="AA63" t="b">
        <f t="shared" si="41"/>
        <v>0</v>
      </c>
      <c r="AB63" t="b">
        <f t="shared" si="42"/>
        <v>0</v>
      </c>
      <c r="AC63" t="b">
        <f t="shared" si="43"/>
        <v>0</v>
      </c>
      <c r="AD63" t="b">
        <f t="shared" si="44"/>
        <v>0</v>
      </c>
      <c r="AE63" t="b">
        <f t="shared" si="45"/>
        <v>0</v>
      </c>
      <c r="AF63" t="b">
        <f t="shared" si="46"/>
        <v>0</v>
      </c>
      <c r="AG63" t="b">
        <f t="shared" si="47"/>
        <v>0</v>
      </c>
    </row>
    <row r="64" spans="1:33">
      <c r="A64" t="s">
        <v>257</v>
      </c>
      <c r="D64" s="27" t="s">
        <v>192</v>
      </c>
      <c r="E64" s="27" t="s">
        <v>192</v>
      </c>
      <c r="F64" s="6" t="s">
        <v>196</v>
      </c>
      <c r="H64" t="b">
        <f t="shared" si="24"/>
        <v>0</v>
      </c>
      <c r="I64" t="b">
        <f t="shared" si="25"/>
        <v>0</v>
      </c>
      <c r="J64" t="b">
        <f t="shared" si="26"/>
        <v>0</v>
      </c>
      <c r="K64" t="b">
        <f t="shared" si="27"/>
        <v>1</v>
      </c>
      <c r="L64" t="b">
        <f t="shared" si="28"/>
        <v>0</v>
      </c>
      <c r="M64" t="b">
        <f t="shared" si="29"/>
        <v>1</v>
      </c>
      <c r="N64" t="b">
        <f t="shared" si="30"/>
        <v>0</v>
      </c>
      <c r="O64" t="b">
        <f t="shared" si="31"/>
        <v>1</v>
      </c>
      <c r="P64" t="b">
        <f t="shared" si="32"/>
        <v>0</v>
      </c>
      <c r="Q64" t="b">
        <f t="shared" si="33"/>
        <v>1</v>
      </c>
      <c r="R64" t="b">
        <f t="shared" si="34"/>
        <v>1</v>
      </c>
      <c r="S64" t="b">
        <f t="shared" si="35"/>
        <v>1</v>
      </c>
      <c r="V64" t="b">
        <f t="shared" si="36"/>
        <v>0</v>
      </c>
      <c r="W64" t="b">
        <f t="shared" si="37"/>
        <v>0</v>
      </c>
      <c r="X64" t="b">
        <f t="shared" si="38"/>
        <v>0</v>
      </c>
      <c r="Y64" t="b">
        <f t="shared" si="39"/>
        <v>0</v>
      </c>
      <c r="Z64" t="b">
        <f t="shared" si="40"/>
        <v>0</v>
      </c>
      <c r="AA64" t="b">
        <f t="shared" si="41"/>
        <v>0</v>
      </c>
      <c r="AB64" t="b">
        <f t="shared" si="42"/>
        <v>0</v>
      </c>
      <c r="AC64" t="b">
        <f t="shared" si="43"/>
        <v>0</v>
      </c>
      <c r="AD64" t="b">
        <f t="shared" si="44"/>
        <v>0</v>
      </c>
      <c r="AE64" t="b">
        <f t="shared" si="45"/>
        <v>0</v>
      </c>
      <c r="AF64" t="b">
        <f t="shared" si="46"/>
        <v>0</v>
      </c>
      <c r="AG64" t="b">
        <f t="shared" si="47"/>
        <v>0</v>
      </c>
    </row>
    <row r="65" spans="1:34">
      <c r="A65" t="s">
        <v>258</v>
      </c>
      <c r="D65" s="27" t="s">
        <v>192</v>
      </c>
      <c r="F65" s="6" t="s">
        <v>196</v>
      </c>
      <c r="H65" t="b">
        <f t="shared" si="24"/>
        <v>0</v>
      </c>
      <c r="I65" t="b">
        <f t="shared" si="25"/>
        <v>0</v>
      </c>
      <c r="J65" t="b">
        <f t="shared" si="26"/>
        <v>0</v>
      </c>
      <c r="K65" t="b">
        <f t="shared" si="27"/>
        <v>1</v>
      </c>
      <c r="L65" t="b">
        <f t="shared" si="28"/>
        <v>0</v>
      </c>
      <c r="M65" t="b">
        <f t="shared" si="29"/>
        <v>0</v>
      </c>
      <c r="N65" t="b">
        <f t="shared" si="30"/>
        <v>0</v>
      </c>
      <c r="O65" t="b">
        <f t="shared" si="31"/>
        <v>1</v>
      </c>
      <c r="P65" t="b">
        <f t="shared" si="32"/>
        <v>0</v>
      </c>
      <c r="Q65" t="b">
        <f t="shared" si="33"/>
        <v>0</v>
      </c>
      <c r="R65" t="b">
        <f t="shared" si="34"/>
        <v>0</v>
      </c>
      <c r="S65" t="b">
        <f t="shared" si="35"/>
        <v>1</v>
      </c>
      <c r="V65" t="b">
        <f t="shared" si="36"/>
        <v>0</v>
      </c>
      <c r="W65" t="b">
        <f t="shared" si="37"/>
        <v>0</v>
      </c>
      <c r="X65" t="b">
        <f t="shared" si="38"/>
        <v>0</v>
      </c>
      <c r="Y65" t="b">
        <f t="shared" si="39"/>
        <v>0</v>
      </c>
      <c r="Z65" t="b">
        <f t="shared" si="40"/>
        <v>0</v>
      </c>
      <c r="AA65" t="b">
        <f t="shared" si="41"/>
        <v>0</v>
      </c>
      <c r="AB65" t="b">
        <f t="shared" si="42"/>
        <v>0</v>
      </c>
      <c r="AC65" t="b">
        <f t="shared" si="43"/>
        <v>0</v>
      </c>
      <c r="AD65" t="b">
        <f t="shared" si="44"/>
        <v>0</v>
      </c>
      <c r="AE65" t="b">
        <f t="shared" si="45"/>
        <v>0</v>
      </c>
      <c r="AF65" t="b">
        <f t="shared" si="46"/>
        <v>0</v>
      </c>
      <c r="AG65" t="b">
        <f t="shared" si="47"/>
        <v>0</v>
      </c>
    </row>
    <row r="66" spans="1:34">
      <c r="A66" t="s">
        <v>259</v>
      </c>
      <c r="B66" s="27" t="s">
        <v>192</v>
      </c>
      <c r="E66" s="27" t="s">
        <v>192</v>
      </c>
      <c r="F66" s="6" t="s">
        <v>196</v>
      </c>
      <c r="H66" t="b">
        <f t="shared" si="24"/>
        <v>0</v>
      </c>
      <c r="I66" t="b">
        <f t="shared" si="25"/>
        <v>1</v>
      </c>
      <c r="J66" t="b">
        <f t="shared" si="26"/>
        <v>0</v>
      </c>
      <c r="K66" t="b">
        <f t="shared" si="27"/>
        <v>1</v>
      </c>
      <c r="L66" t="b">
        <f t="shared" si="28"/>
        <v>1</v>
      </c>
      <c r="M66" t="b">
        <f t="shared" si="29"/>
        <v>1</v>
      </c>
      <c r="N66" t="b">
        <f t="shared" si="30"/>
        <v>0</v>
      </c>
      <c r="O66" t="b">
        <f t="shared" si="31"/>
        <v>0</v>
      </c>
      <c r="P66" t="b">
        <f t="shared" si="32"/>
        <v>0</v>
      </c>
      <c r="Q66" t="b">
        <f t="shared" si="33"/>
        <v>1</v>
      </c>
      <c r="R66" t="b">
        <f t="shared" si="34"/>
        <v>0</v>
      </c>
      <c r="S66" t="b">
        <f t="shared" si="35"/>
        <v>1</v>
      </c>
      <c r="V66" t="b">
        <f t="shared" si="36"/>
        <v>0</v>
      </c>
      <c r="W66" t="b">
        <f t="shared" si="37"/>
        <v>0</v>
      </c>
      <c r="X66" t="b">
        <f t="shared" si="38"/>
        <v>0</v>
      </c>
      <c r="Y66" t="b">
        <f t="shared" si="39"/>
        <v>0</v>
      </c>
      <c r="Z66" t="b">
        <f t="shared" si="40"/>
        <v>0</v>
      </c>
      <c r="AA66" t="b">
        <f t="shared" si="41"/>
        <v>0</v>
      </c>
      <c r="AB66" t="b">
        <f t="shared" si="42"/>
        <v>0</v>
      </c>
      <c r="AC66" t="b">
        <f t="shared" si="43"/>
        <v>0</v>
      </c>
      <c r="AD66" t="b">
        <f t="shared" si="44"/>
        <v>0</v>
      </c>
      <c r="AE66" t="b">
        <f t="shared" si="45"/>
        <v>0</v>
      </c>
      <c r="AF66" t="b">
        <f t="shared" si="46"/>
        <v>0</v>
      </c>
      <c r="AG66" t="b">
        <f t="shared" si="47"/>
        <v>0</v>
      </c>
    </row>
    <row r="67" spans="1:34">
      <c r="A67" t="s">
        <v>260</v>
      </c>
      <c r="B67" s="27" t="s">
        <v>192</v>
      </c>
      <c r="C67" s="27" t="s">
        <v>192</v>
      </c>
      <c r="D67" s="27" t="s">
        <v>192</v>
      </c>
      <c r="E67" s="27" t="s">
        <v>192</v>
      </c>
      <c r="F67" s="6" t="s">
        <v>196</v>
      </c>
      <c r="H67" t="b">
        <f t="shared" ref="H67" si="48">AND(B67&lt;&gt;"",C67&lt;&gt;"")</f>
        <v>1</v>
      </c>
      <c r="I67" t="b">
        <f t="shared" ref="I67" si="49">OR(B67&lt;&gt;"",C67&lt;&gt;"")</f>
        <v>1</v>
      </c>
      <c r="J67" t="b">
        <f t="shared" ref="J67" si="50">AND(B67&lt;&gt;"",D67&lt;&gt;"")</f>
        <v>1</v>
      </c>
      <c r="K67" t="b">
        <f t="shared" ref="K67" si="51">OR(B67&lt;&gt;"",D67&lt;&gt;"")</f>
        <v>1</v>
      </c>
      <c r="L67" t="b">
        <f t="shared" ref="L67" si="52">AND(B67&lt;&gt;"",E67&lt;&gt;"")</f>
        <v>1</v>
      </c>
      <c r="M67" t="b">
        <f t="shared" ref="M67" si="53">OR(B67&lt;&gt;"",E67&lt;&gt;"")</f>
        <v>1</v>
      </c>
      <c r="N67" t="b">
        <f t="shared" ref="N67" si="54">AND(C67&lt;&gt;"",D67&lt;&gt;"")</f>
        <v>1</v>
      </c>
      <c r="O67" t="b">
        <f t="shared" ref="O67" si="55">OR(C67&lt;&gt;"",D67&lt;&gt;"")</f>
        <v>1</v>
      </c>
      <c r="P67" t="b">
        <f t="shared" ref="P67" si="56">AND(C67&lt;&gt;"",E67&lt;&gt;"")</f>
        <v>1</v>
      </c>
      <c r="Q67" t="b">
        <f t="shared" ref="Q67" si="57">OR(C67&lt;&gt;"",E67&lt;&gt;"")</f>
        <v>1</v>
      </c>
      <c r="R67" t="b">
        <f t="shared" ref="R67" si="58">AND(D67&lt;&gt;"",E67&lt;&gt;"")</f>
        <v>1</v>
      </c>
      <c r="S67" t="b">
        <f t="shared" ref="S67" si="59">OR(D67&lt;&gt;"",E67&lt;&gt;"")</f>
        <v>1</v>
      </c>
      <c r="V67" t="b">
        <f t="shared" ref="V67" si="60">AND(B67&lt;&gt;"",C67&lt;&gt;"",F67="No")</f>
        <v>0</v>
      </c>
      <c r="W67" t="b">
        <f t="shared" ref="W67" si="61">AND(OR(B67&lt;&gt;"",C67&lt;&gt;""),F67="No")</f>
        <v>0</v>
      </c>
      <c r="X67" t="b">
        <f t="shared" ref="X67" si="62">AND(B67&lt;&gt;"",D67&lt;&gt;"",F67="No")</f>
        <v>0</v>
      </c>
      <c r="Y67" t="b">
        <f t="shared" ref="Y67" si="63">AND(OR(B67&lt;&gt;"",D67&lt;&gt;""),F67="No")</f>
        <v>0</v>
      </c>
      <c r="Z67" t="b">
        <f t="shared" ref="Z67" si="64">AND(B67&lt;&gt;"",E67&lt;&gt;"",F67="No")</f>
        <v>0</v>
      </c>
      <c r="AA67" t="b">
        <f t="shared" ref="AA67" si="65">AND(OR(B67&lt;&gt;"",E67&lt;&gt;""),F67="No")</f>
        <v>0</v>
      </c>
      <c r="AB67" t="b">
        <f t="shared" ref="AB67" si="66">AND(C67&lt;&gt;"",D67&lt;&gt;"",F67="No")</f>
        <v>0</v>
      </c>
      <c r="AC67" t="b">
        <f t="shared" ref="AC67" si="67">AND(OR(C67&lt;&gt;"",D67&lt;&gt;""),F67="No")</f>
        <v>0</v>
      </c>
      <c r="AD67" t="b">
        <f t="shared" ref="AD67" si="68">AND(C67&lt;&gt;"",E67&lt;&gt;"",F67="No")</f>
        <v>0</v>
      </c>
      <c r="AE67" t="b">
        <f t="shared" ref="AE67" si="69">AND(OR(C67&lt;&gt;"",E67&lt;&gt;""),F67="No")</f>
        <v>0</v>
      </c>
      <c r="AF67" t="b">
        <f t="shared" ref="AF67" si="70">AND(D67&lt;&gt;"",E67&lt;&gt;"",F67="No")</f>
        <v>0</v>
      </c>
      <c r="AG67" t="b">
        <f t="shared" ref="AG67" si="71">AND(OR(D67&lt;&gt;"",E67&lt;&gt;""),F67="No")</f>
        <v>0</v>
      </c>
    </row>
    <row r="68" spans="1:34">
      <c r="F68" s="6"/>
    </row>
    <row r="69" spans="1:34">
      <c r="A69" s="47" t="s">
        <v>261</v>
      </c>
      <c r="B69" s="47"/>
      <c r="C69" s="47"/>
      <c r="D69" s="47"/>
      <c r="E69" s="47"/>
      <c r="F69" s="47"/>
      <c r="G69" s="47"/>
      <c r="H69">
        <f t="shared" ref="H69:S69" si="72">COUNTIF(H2:H67,TRUE())</f>
        <v>27</v>
      </c>
      <c r="I69">
        <f t="shared" si="72"/>
        <v>43</v>
      </c>
      <c r="J69">
        <f t="shared" si="72"/>
        <v>27</v>
      </c>
      <c r="K69">
        <f t="shared" si="72"/>
        <v>49</v>
      </c>
      <c r="L69">
        <f t="shared" si="72"/>
        <v>27</v>
      </c>
      <c r="M69">
        <f t="shared" si="72"/>
        <v>52</v>
      </c>
      <c r="N69">
        <f t="shared" si="72"/>
        <v>28</v>
      </c>
      <c r="O69">
        <f t="shared" si="72"/>
        <v>48</v>
      </c>
      <c r="P69">
        <f t="shared" si="72"/>
        <v>30</v>
      </c>
      <c r="Q69">
        <f t="shared" si="72"/>
        <v>49</v>
      </c>
      <c r="R69">
        <f t="shared" si="72"/>
        <v>28</v>
      </c>
      <c r="S69">
        <f t="shared" si="72"/>
        <v>57</v>
      </c>
      <c r="T69" s="16" t="s">
        <v>262</v>
      </c>
      <c r="V69">
        <f t="shared" ref="V69:AG69" si="73">COUNTIF(V2:V67,TRUE())</f>
        <v>26</v>
      </c>
      <c r="W69">
        <f t="shared" si="73"/>
        <v>33</v>
      </c>
      <c r="X69">
        <f t="shared" si="73"/>
        <v>25</v>
      </c>
      <c r="Y69">
        <f t="shared" si="73"/>
        <v>33</v>
      </c>
      <c r="Z69">
        <f t="shared" si="73"/>
        <v>25</v>
      </c>
      <c r="AA69">
        <f t="shared" si="73"/>
        <v>37</v>
      </c>
      <c r="AB69">
        <f t="shared" si="73"/>
        <v>25</v>
      </c>
      <c r="AC69">
        <f t="shared" si="73"/>
        <v>34</v>
      </c>
      <c r="AD69">
        <f t="shared" si="73"/>
        <v>27</v>
      </c>
      <c r="AE69">
        <f t="shared" si="73"/>
        <v>36</v>
      </c>
      <c r="AF69">
        <f t="shared" si="73"/>
        <v>25</v>
      </c>
      <c r="AG69">
        <f t="shared" si="73"/>
        <v>37</v>
      </c>
      <c r="AH69" s="16" t="s">
        <v>262</v>
      </c>
    </row>
    <row r="70" spans="1:34">
      <c r="G70" s="6" t="s">
        <v>132</v>
      </c>
      <c r="H70" s="55">
        <f>H69/I69</f>
        <v>0.62790697674418605</v>
      </c>
      <c r="I70" s="55"/>
      <c r="J70" s="55">
        <f>J69/K69</f>
        <v>0.55102040816326525</v>
      </c>
      <c r="K70" s="55"/>
      <c r="L70" s="55">
        <f>L69/M69</f>
        <v>0.51923076923076927</v>
      </c>
      <c r="M70" s="55"/>
      <c r="N70" s="55">
        <f>N69/O69</f>
        <v>0.58333333333333337</v>
      </c>
      <c r="O70" s="55"/>
      <c r="P70" s="55">
        <f>P69/Q69</f>
        <v>0.61224489795918369</v>
      </c>
      <c r="Q70" s="55"/>
      <c r="R70" s="55">
        <f>R69/S69</f>
        <v>0.49122807017543857</v>
      </c>
      <c r="S70" s="55"/>
      <c r="T70" s="24">
        <f>AVERAGE(H70:S70)</f>
        <v>0.56416074260102933</v>
      </c>
      <c r="U70" s="6" t="s">
        <v>132</v>
      </c>
      <c r="V70" s="55">
        <f>V69/W69</f>
        <v>0.78787878787878785</v>
      </c>
      <c r="W70" s="55"/>
      <c r="X70" s="55">
        <f>X69/Y69</f>
        <v>0.75757575757575757</v>
      </c>
      <c r="Y70" s="55"/>
      <c r="Z70" s="55">
        <f>Z69/AA69</f>
        <v>0.67567567567567566</v>
      </c>
      <c r="AA70" s="55"/>
      <c r="AB70" s="55">
        <f>AB69/AC69</f>
        <v>0.73529411764705888</v>
      </c>
      <c r="AC70" s="55"/>
      <c r="AD70" s="55">
        <f>AD69/AE69</f>
        <v>0.75</v>
      </c>
      <c r="AE70" s="55"/>
      <c r="AF70" s="55">
        <f>AF69/AG69</f>
        <v>0.67567567567567566</v>
      </c>
      <c r="AG70" s="55"/>
      <c r="AH70" s="24">
        <f>AVERAGE(V70:AG70)</f>
        <v>0.73035000240882597</v>
      </c>
    </row>
    <row r="71" spans="1:34">
      <c r="T71" s="24">
        <f>GEOMEAN(H70:S70)</f>
        <v>0.56202818175797997</v>
      </c>
      <c r="AH71" s="24">
        <f>GEOMEAN(V70:AG70)</f>
        <v>0.72914527672017448</v>
      </c>
    </row>
  </sheetData>
  <autoFilter ref="A1:F67" xr:uid="{00000000-0001-0000-0300-000000000000}"/>
  <mergeCells count="13">
    <mergeCell ref="A69:G69"/>
    <mergeCell ref="H70:I70"/>
    <mergeCell ref="J70:K70"/>
    <mergeCell ref="L70:M70"/>
    <mergeCell ref="N70:O70"/>
    <mergeCell ref="AB70:AC70"/>
    <mergeCell ref="AD70:AE70"/>
    <mergeCell ref="AF70:AG70"/>
    <mergeCell ref="P70:Q70"/>
    <mergeCell ref="R70:S70"/>
    <mergeCell ref="V70:W70"/>
    <mergeCell ref="X70:Y70"/>
    <mergeCell ref="Z70:AA70"/>
  </mergeCells>
  <conditionalFormatting sqref="F2:F68">
    <cfRule type="containsText" dxfId="272" priority="2" operator="containsText" text="No">
      <formula>NOT(ISERROR(SEARCH("No",F2)))</formula>
    </cfRule>
    <cfRule type="containsText" dxfId="271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63"/>
  <sheetViews>
    <sheetView zoomScale="85" zoomScaleNormal="85" workbookViewId="0">
      <selection sqref="A1:F59"/>
    </sheetView>
  </sheetViews>
  <sheetFormatPr defaultColWidth="8.7109375" defaultRowHeight="14.45"/>
  <cols>
    <col min="1" max="1" width="17.85546875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263</v>
      </c>
      <c r="C1" s="27" t="s">
        <v>264</v>
      </c>
      <c r="D1" s="27" t="s">
        <v>265</v>
      </c>
      <c r="E1" s="27" t="s">
        <v>266</v>
      </c>
      <c r="F1" t="s">
        <v>178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  <c r="S1" t="s">
        <v>278</v>
      </c>
      <c r="V1" t="s">
        <v>267</v>
      </c>
      <c r="W1" t="s">
        <v>268</v>
      </c>
      <c r="X1" t="s">
        <v>269</v>
      </c>
      <c r="Y1" t="s">
        <v>270</v>
      </c>
      <c r="Z1" t="s">
        <v>271</v>
      </c>
      <c r="AA1" t="s">
        <v>272</v>
      </c>
      <c r="AB1" t="s">
        <v>273</v>
      </c>
      <c r="AC1" t="s">
        <v>274</v>
      </c>
      <c r="AD1" t="s">
        <v>275</v>
      </c>
      <c r="AE1" t="s">
        <v>276</v>
      </c>
      <c r="AF1" t="s">
        <v>277</v>
      </c>
      <c r="AG1" t="s">
        <v>278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>AND(B2&lt;&gt;"",C2&lt;&gt;"")</f>
        <v>1</v>
      </c>
      <c r="I2" t="b">
        <f>OR(B2&lt;&gt;"",C2&lt;&gt;"")</f>
        <v>1</v>
      </c>
      <c r="J2" t="b">
        <f>AND(B2&lt;&gt;"",D2&lt;&gt;"")</f>
        <v>1</v>
      </c>
      <c r="K2" t="b">
        <f>OR(B2&lt;&gt;"",D2&lt;&gt;"")</f>
        <v>1</v>
      </c>
      <c r="L2" t="b">
        <f>AND(B2&lt;&gt;"",E2&lt;&gt;"")</f>
        <v>1</v>
      </c>
      <c r="M2" t="b">
        <f>OR(B2&lt;&gt;"",E2&lt;&gt;"")</f>
        <v>1</v>
      </c>
      <c r="N2" t="b">
        <f>AND(C2&lt;&gt;"",D2&lt;&gt;"")</f>
        <v>1</v>
      </c>
      <c r="O2" t="b">
        <f>OR(C2&lt;&gt;"",D2&lt;&gt;"")</f>
        <v>1</v>
      </c>
      <c r="P2" t="b">
        <f>AND(C2&lt;&gt;"",E2&lt;&gt;"")</f>
        <v>1</v>
      </c>
      <c r="Q2" t="b">
        <f>OR(C2&lt;&gt;"",E2&lt;&gt;"")</f>
        <v>1</v>
      </c>
      <c r="R2" t="b">
        <f>AND(D2&lt;&gt;"",E2&lt;&gt;"")</f>
        <v>1</v>
      </c>
      <c r="S2" t="b">
        <f>OR(D2&lt;&gt;"",E2&lt;&gt;"")</f>
        <v>1</v>
      </c>
      <c r="V2" t="b">
        <f>AND(B2&lt;&gt;"",C2&lt;&gt;"",F2="No")</f>
        <v>1</v>
      </c>
      <c r="W2" t="b">
        <f>AND(OR(B2&lt;&gt;"",C2&lt;&gt;""),F2="No")</f>
        <v>1</v>
      </c>
      <c r="X2" t="b">
        <f>AND(B2&lt;&gt;"",D2&lt;&gt;"",F2="No")</f>
        <v>1</v>
      </c>
      <c r="Y2" t="b">
        <f>AND(OR(B2&lt;&gt;"",D2&lt;&gt;""),F2="No")</f>
        <v>1</v>
      </c>
      <c r="Z2" t="b">
        <f>AND(B2&lt;&gt;"",E2&lt;&gt;"",F2="No")</f>
        <v>1</v>
      </c>
      <c r="AA2" t="b">
        <f>AND(OR(B2&lt;&gt;"",E2&lt;&gt;""),F2="No")</f>
        <v>1</v>
      </c>
      <c r="AB2" t="b">
        <f>AND(C2&lt;&gt;"",D2&lt;&gt;"",F2="No")</f>
        <v>1</v>
      </c>
      <c r="AC2" t="b">
        <f>AND(OR(C2&lt;&gt;"",D2&lt;&gt;""),F2="No")</f>
        <v>1</v>
      </c>
      <c r="AD2" t="b">
        <f>AND(C2&lt;&gt;"",E2&lt;&gt;"",F2="No")</f>
        <v>1</v>
      </c>
      <c r="AE2" t="b">
        <f>AND(OR(C2&lt;&gt;"",E2&lt;&gt;""),F2="No")</f>
        <v>1</v>
      </c>
      <c r="AF2" t="b">
        <f>AND(D2&lt;&gt;"",E2&lt;&gt;"",F2="No")</f>
        <v>1</v>
      </c>
      <c r="AG2" t="b">
        <f>AND(OR(D2&lt;&gt;"",E2&lt;&gt;""),F2="No")</f>
        <v>1</v>
      </c>
    </row>
    <row r="3" spans="1:33">
      <c r="A3" s="3" t="s">
        <v>199</v>
      </c>
      <c r="B3" s="27" t="s">
        <v>192</v>
      </c>
      <c r="C3" s="27" t="s">
        <v>192</v>
      </c>
      <c r="D3" s="27" t="s">
        <v>192</v>
      </c>
      <c r="E3" s="27" t="s">
        <v>192</v>
      </c>
      <c r="F3" s="6" t="s">
        <v>193</v>
      </c>
      <c r="H3" t="b">
        <f t="shared" ref="H3:H59" si="0">AND(B3&lt;&gt;"",C3&lt;&gt;"")</f>
        <v>1</v>
      </c>
      <c r="I3" t="b">
        <f t="shared" ref="I3:I59" si="1">OR(B3&lt;&gt;"",C3&lt;&gt;"")</f>
        <v>1</v>
      </c>
      <c r="J3" t="b">
        <f t="shared" ref="J3:J59" si="2">AND(B3&lt;&gt;"",D3&lt;&gt;"")</f>
        <v>1</v>
      </c>
      <c r="K3" t="b">
        <f t="shared" ref="K3:K59" si="3">OR(B3&lt;&gt;"",D3&lt;&gt;"")</f>
        <v>1</v>
      </c>
      <c r="L3" t="b">
        <f t="shared" ref="L3:L59" si="4">AND(B3&lt;&gt;"",E3&lt;&gt;"")</f>
        <v>1</v>
      </c>
      <c r="M3" t="b">
        <f t="shared" ref="M3:M59" si="5">OR(B3&lt;&gt;"",E3&lt;&gt;"")</f>
        <v>1</v>
      </c>
      <c r="N3" t="b">
        <f t="shared" ref="N3:N59" si="6">AND(C3&lt;&gt;"",D3&lt;&gt;"")</f>
        <v>1</v>
      </c>
      <c r="O3" t="b">
        <f t="shared" ref="O3:O59" si="7">OR(C3&lt;&gt;"",D3&lt;&gt;"")</f>
        <v>1</v>
      </c>
      <c r="P3" t="b">
        <f t="shared" ref="P3:P59" si="8">AND(C3&lt;&gt;"",E3&lt;&gt;"")</f>
        <v>1</v>
      </c>
      <c r="Q3" t="b">
        <f t="shared" ref="Q3:Q59" si="9">OR(C3&lt;&gt;"",E3&lt;&gt;"")</f>
        <v>1</v>
      </c>
      <c r="R3" t="b">
        <f t="shared" ref="R3:R59" si="10">AND(D3&lt;&gt;"",E3&lt;&gt;"")</f>
        <v>1</v>
      </c>
      <c r="S3" t="b">
        <f t="shared" ref="S3:S59" si="11">OR(D3&lt;&gt;"",E3&lt;&gt;"")</f>
        <v>1</v>
      </c>
      <c r="V3" t="b">
        <f t="shared" ref="V3:V59" si="12">AND(B3&lt;&gt;"",C3&lt;&gt;"",F3="No")</f>
        <v>1</v>
      </c>
      <c r="W3" t="b">
        <f t="shared" ref="W3:W59" si="13">AND(OR(B3&lt;&gt;"",C3&lt;&gt;""),F3="No")</f>
        <v>1</v>
      </c>
      <c r="X3" t="b">
        <f t="shared" ref="X3:X59" si="14">AND(B3&lt;&gt;"",D3&lt;&gt;"",F3="No")</f>
        <v>1</v>
      </c>
      <c r="Y3" t="b">
        <f t="shared" ref="Y3:Y59" si="15">AND(OR(B3&lt;&gt;"",D3&lt;&gt;""),F3="No")</f>
        <v>1</v>
      </c>
      <c r="Z3" t="b">
        <f t="shared" ref="Z3:Z59" si="16">AND(B3&lt;&gt;"",E3&lt;&gt;"",F3="No")</f>
        <v>1</v>
      </c>
      <c r="AA3" t="b">
        <f t="shared" ref="AA3:AA59" si="17">AND(OR(B3&lt;&gt;"",E3&lt;&gt;""),F3="No")</f>
        <v>1</v>
      </c>
      <c r="AB3" t="b">
        <f t="shared" ref="AB3:AB59" si="18">AND(C3&lt;&gt;"",D3&lt;&gt;"",F3="No")</f>
        <v>1</v>
      </c>
      <c r="AC3" t="b">
        <f t="shared" ref="AC3:AC59" si="19">AND(OR(C3&lt;&gt;"",D3&lt;&gt;""),F3="No")</f>
        <v>1</v>
      </c>
      <c r="AD3" t="b">
        <f t="shared" ref="AD3:AD59" si="20">AND(C3&lt;&gt;"",E3&lt;&gt;"",F3="No")</f>
        <v>1</v>
      </c>
      <c r="AE3" t="b">
        <f t="shared" ref="AE3:AE59" si="21">AND(OR(C3&lt;&gt;"",E3&lt;&gt;""),F3="No")</f>
        <v>1</v>
      </c>
      <c r="AF3" t="b">
        <f t="shared" ref="AF3:AF59" si="22">AND(D3&lt;&gt;"",E3&lt;&gt;"",F3="No")</f>
        <v>1</v>
      </c>
      <c r="AG3" t="b">
        <f t="shared" ref="AG3:AG59" si="23">AND(OR(D3&lt;&gt;"",E3&lt;&gt;""),F3="No")</f>
        <v>1</v>
      </c>
    </row>
    <row r="4" spans="1:33">
      <c r="A4" s="3" t="s">
        <v>279</v>
      </c>
      <c r="D4" s="27" t="s">
        <v>192</v>
      </c>
      <c r="F4" s="6" t="s">
        <v>193</v>
      </c>
      <c r="H4" t="b">
        <f t="shared" si="0"/>
        <v>0</v>
      </c>
      <c r="I4" t="b">
        <f t="shared" si="1"/>
        <v>0</v>
      </c>
      <c r="J4" t="b">
        <f t="shared" si="2"/>
        <v>0</v>
      </c>
      <c r="K4" t="b">
        <f t="shared" si="3"/>
        <v>1</v>
      </c>
      <c r="L4" t="b">
        <f t="shared" si="4"/>
        <v>0</v>
      </c>
      <c r="M4" t="b">
        <f t="shared" si="5"/>
        <v>0</v>
      </c>
      <c r="N4" t="b">
        <f t="shared" si="6"/>
        <v>0</v>
      </c>
      <c r="O4" t="b">
        <f t="shared" si="7"/>
        <v>1</v>
      </c>
      <c r="P4" t="b">
        <f t="shared" si="8"/>
        <v>0</v>
      </c>
      <c r="Q4" t="b">
        <f t="shared" si="9"/>
        <v>0</v>
      </c>
      <c r="R4" t="b">
        <f t="shared" si="10"/>
        <v>0</v>
      </c>
      <c r="S4" t="b">
        <f t="shared" si="11"/>
        <v>1</v>
      </c>
      <c r="V4" t="b">
        <f t="shared" si="12"/>
        <v>0</v>
      </c>
      <c r="W4" t="b">
        <f t="shared" si="13"/>
        <v>0</v>
      </c>
      <c r="X4" t="b">
        <f t="shared" si="14"/>
        <v>0</v>
      </c>
      <c r="Y4" t="b">
        <f t="shared" si="15"/>
        <v>1</v>
      </c>
      <c r="Z4" t="b">
        <f t="shared" si="16"/>
        <v>0</v>
      </c>
      <c r="AA4" t="b">
        <f t="shared" si="17"/>
        <v>0</v>
      </c>
      <c r="AB4" t="b">
        <f t="shared" si="18"/>
        <v>0</v>
      </c>
      <c r="AC4" t="b">
        <f t="shared" si="19"/>
        <v>1</v>
      </c>
      <c r="AD4" t="b">
        <f t="shared" si="20"/>
        <v>0</v>
      </c>
      <c r="AE4" t="b">
        <f t="shared" si="21"/>
        <v>0</v>
      </c>
      <c r="AF4" t="b">
        <f t="shared" si="22"/>
        <v>0</v>
      </c>
      <c r="AG4" t="b">
        <f t="shared" si="23"/>
        <v>1</v>
      </c>
    </row>
    <row r="5" spans="1:33">
      <c r="A5" s="3" t="s">
        <v>280</v>
      </c>
      <c r="B5" s="27" t="s">
        <v>192</v>
      </c>
      <c r="F5" s="6" t="s">
        <v>193</v>
      </c>
      <c r="H5" t="b">
        <f t="shared" si="0"/>
        <v>0</v>
      </c>
      <c r="I5" t="b">
        <f t="shared" si="1"/>
        <v>1</v>
      </c>
      <c r="J5" t="b">
        <f t="shared" si="2"/>
        <v>0</v>
      </c>
      <c r="K5" t="b">
        <f t="shared" si="3"/>
        <v>1</v>
      </c>
      <c r="L5" t="b">
        <f t="shared" si="4"/>
        <v>0</v>
      </c>
      <c r="M5" t="b">
        <f t="shared" si="5"/>
        <v>1</v>
      </c>
      <c r="N5" t="b">
        <f t="shared" si="6"/>
        <v>0</v>
      </c>
      <c r="O5" t="b">
        <f t="shared" si="7"/>
        <v>0</v>
      </c>
      <c r="P5" t="b">
        <f t="shared" si="8"/>
        <v>0</v>
      </c>
      <c r="Q5" t="b">
        <f t="shared" si="9"/>
        <v>0</v>
      </c>
      <c r="R5" t="b">
        <f t="shared" si="10"/>
        <v>0</v>
      </c>
      <c r="S5" t="b">
        <f t="shared" si="11"/>
        <v>0</v>
      </c>
      <c r="V5" t="b">
        <f t="shared" si="12"/>
        <v>0</v>
      </c>
      <c r="W5" t="b">
        <f t="shared" si="13"/>
        <v>1</v>
      </c>
      <c r="X5" t="b">
        <f t="shared" si="14"/>
        <v>0</v>
      </c>
      <c r="Y5" t="b">
        <f t="shared" si="15"/>
        <v>1</v>
      </c>
      <c r="Z5" t="b">
        <f t="shared" si="16"/>
        <v>0</v>
      </c>
      <c r="AA5" t="b">
        <f t="shared" si="17"/>
        <v>1</v>
      </c>
      <c r="AB5" t="b">
        <f t="shared" si="18"/>
        <v>0</v>
      </c>
      <c r="AC5" t="b">
        <f t="shared" si="19"/>
        <v>0</v>
      </c>
      <c r="AD5" t="b">
        <f t="shared" si="20"/>
        <v>0</v>
      </c>
      <c r="AE5" t="b">
        <f t="shared" si="21"/>
        <v>0</v>
      </c>
      <c r="AF5" t="b">
        <f t="shared" si="22"/>
        <v>0</v>
      </c>
      <c r="AG5" t="b">
        <f t="shared" si="23"/>
        <v>0</v>
      </c>
    </row>
    <row r="6" spans="1:33">
      <c r="A6" t="s">
        <v>281</v>
      </c>
      <c r="C6" s="27" t="s">
        <v>192</v>
      </c>
      <c r="D6" s="27" t="s">
        <v>192</v>
      </c>
      <c r="F6" s="6" t="s">
        <v>196</v>
      </c>
      <c r="H6" t="b">
        <f t="shared" si="0"/>
        <v>0</v>
      </c>
      <c r="I6" t="b">
        <f t="shared" si="1"/>
        <v>1</v>
      </c>
      <c r="J6" t="b">
        <f t="shared" si="2"/>
        <v>0</v>
      </c>
      <c r="K6" t="b">
        <f t="shared" si="3"/>
        <v>1</v>
      </c>
      <c r="L6" t="b">
        <f t="shared" si="4"/>
        <v>0</v>
      </c>
      <c r="M6" t="b">
        <f t="shared" si="5"/>
        <v>0</v>
      </c>
      <c r="N6" t="b">
        <f t="shared" si="6"/>
        <v>1</v>
      </c>
      <c r="O6" t="b">
        <f t="shared" si="7"/>
        <v>1</v>
      </c>
      <c r="P6" t="b">
        <f t="shared" si="8"/>
        <v>0</v>
      </c>
      <c r="Q6" t="b">
        <f t="shared" si="9"/>
        <v>1</v>
      </c>
      <c r="R6" t="b">
        <f t="shared" si="10"/>
        <v>0</v>
      </c>
      <c r="S6" t="b">
        <f t="shared" si="11"/>
        <v>1</v>
      </c>
      <c r="V6" t="b">
        <f t="shared" si="12"/>
        <v>0</v>
      </c>
      <c r="W6" t="b">
        <f t="shared" si="13"/>
        <v>0</v>
      </c>
      <c r="X6" t="b">
        <f t="shared" si="14"/>
        <v>0</v>
      </c>
      <c r="Y6" t="b">
        <f t="shared" si="15"/>
        <v>0</v>
      </c>
      <c r="Z6" t="b">
        <f t="shared" si="16"/>
        <v>0</v>
      </c>
      <c r="AA6" t="b">
        <f t="shared" si="17"/>
        <v>0</v>
      </c>
      <c r="AB6" t="b">
        <f t="shared" si="18"/>
        <v>0</v>
      </c>
      <c r="AC6" t="b">
        <f t="shared" si="19"/>
        <v>0</v>
      </c>
      <c r="AD6" t="b">
        <f t="shared" si="20"/>
        <v>0</v>
      </c>
      <c r="AE6" t="b">
        <f t="shared" si="21"/>
        <v>0</v>
      </c>
      <c r="AF6" t="b">
        <f t="shared" si="22"/>
        <v>0</v>
      </c>
      <c r="AG6" t="b">
        <f t="shared" si="23"/>
        <v>0</v>
      </c>
    </row>
    <row r="7" spans="1:33">
      <c r="A7" t="s">
        <v>282</v>
      </c>
      <c r="C7" s="27" t="s">
        <v>192</v>
      </c>
      <c r="F7" s="6" t="s">
        <v>196</v>
      </c>
      <c r="H7" t="b">
        <f t="shared" si="0"/>
        <v>0</v>
      </c>
      <c r="I7" t="b">
        <f t="shared" si="1"/>
        <v>1</v>
      </c>
      <c r="J7" t="b">
        <f t="shared" si="2"/>
        <v>0</v>
      </c>
      <c r="K7" t="b">
        <f t="shared" si="3"/>
        <v>0</v>
      </c>
      <c r="L7" t="b">
        <f t="shared" si="4"/>
        <v>0</v>
      </c>
      <c r="M7" t="b">
        <f t="shared" si="5"/>
        <v>0</v>
      </c>
      <c r="N7" t="b">
        <f t="shared" si="6"/>
        <v>0</v>
      </c>
      <c r="O7" t="b">
        <f t="shared" si="7"/>
        <v>1</v>
      </c>
      <c r="P7" t="b">
        <f t="shared" si="8"/>
        <v>0</v>
      </c>
      <c r="Q7" t="b">
        <f t="shared" si="9"/>
        <v>1</v>
      </c>
      <c r="R7" t="b">
        <f t="shared" si="10"/>
        <v>0</v>
      </c>
      <c r="S7" t="b">
        <f t="shared" si="11"/>
        <v>0</v>
      </c>
      <c r="V7" t="b">
        <f t="shared" si="12"/>
        <v>0</v>
      </c>
      <c r="W7" t="b">
        <f t="shared" si="13"/>
        <v>0</v>
      </c>
      <c r="X7" t="b">
        <f t="shared" si="14"/>
        <v>0</v>
      </c>
      <c r="Y7" t="b">
        <f t="shared" si="15"/>
        <v>0</v>
      </c>
      <c r="Z7" t="b">
        <f t="shared" si="16"/>
        <v>0</v>
      </c>
      <c r="AA7" t="b">
        <f t="shared" si="17"/>
        <v>0</v>
      </c>
      <c r="AB7" t="b">
        <f t="shared" si="18"/>
        <v>0</v>
      </c>
      <c r="AC7" t="b">
        <f t="shared" si="19"/>
        <v>0</v>
      </c>
      <c r="AD7" t="b">
        <f t="shared" si="20"/>
        <v>0</v>
      </c>
      <c r="AE7" t="b">
        <f t="shared" si="21"/>
        <v>0</v>
      </c>
      <c r="AF7" t="b">
        <f t="shared" si="22"/>
        <v>0</v>
      </c>
      <c r="AG7" t="b">
        <f t="shared" si="23"/>
        <v>0</v>
      </c>
    </row>
    <row r="8" spans="1:33">
      <c r="A8" t="s">
        <v>283</v>
      </c>
      <c r="D8" s="27" t="s">
        <v>192</v>
      </c>
      <c r="F8" s="6" t="s">
        <v>196</v>
      </c>
      <c r="H8" t="b">
        <f t="shared" si="0"/>
        <v>0</v>
      </c>
      <c r="I8" t="b">
        <f t="shared" si="1"/>
        <v>0</v>
      </c>
      <c r="J8" t="b">
        <f t="shared" si="2"/>
        <v>0</v>
      </c>
      <c r="K8" t="b">
        <f t="shared" si="3"/>
        <v>1</v>
      </c>
      <c r="L8" t="b">
        <f t="shared" si="4"/>
        <v>0</v>
      </c>
      <c r="M8" t="b">
        <f t="shared" si="5"/>
        <v>0</v>
      </c>
      <c r="N8" t="b">
        <f t="shared" si="6"/>
        <v>0</v>
      </c>
      <c r="O8" t="b">
        <f t="shared" si="7"/>
        <v>1</v>
      </c>
      <c r="P8" t="b">
        <f t="shared" si="8"/>
        <v>0</v>
      </c>
      <c r="Q8" t="b">
        <f t="shared" si="9"/>
        <v>0</v>
      </c>
      <c r="R8" t="b">
        <f t="shared" si="10"/>
        <v>0</v>
      </c>
      <c r="S8" t="b">
        <f t="shared" si="11"/>
        <v>1</v>
      </c>
      <c r="V8" t="b">
        <f t="shared" si="12"/>
        <v>0</v>
      </c>
      <c r="W8" t="b">
        <f t="shared" si="13"/>
        <v>0</v>
      </c>
      <c r="X8" t="b">
        <f t="shared" si="14"/>
        <v>0</v>
      </c>
      <c r="Y8" t="b">
        <f t="shared" si="15"/>
        <v>0</v>
      </c>
      <c r="Z8" t="b">
        <f t="shared" si="16"/>
        <v>0</v>
      </c>
      <c r="AA8" t="b">
        <f t="shared" si="17"/>
        <v>0</v>
      </c>
      <c r="AB8" t="b">
        <f t="shared" si="18"/>
        <v>0</v>
      </c>
      <c r="AC8" t="b">
        <f t="shared" si="19"/>
        <v>0</v>
      </c>
      <c r="AD8" t="b">
        <f t="shared" si="20"/>
        <v>0</v>
      </c>
      <c r="AE8" t="b">
        <f t="shared" si="21"/>
        <v>0</v>
      </c>
      <c r="AF8" t="b">
        <f t="shared" si="22"/>
        <v>0</v>
      </c>
      <c r="AG8" t="b">
        <f t="shared" si="23"/>
        <v>0</v>
      </c>
    </row>
    <row r="9" spans="1:33">
      <c r="A9" s="3" t="s">
        <v>202</v>
      </c>
      <c r="B9" s="27" t="s">
        <v>220</v>
      </c>
      <c r="C9" s="27" t="s">
        <v>220</v>
      </c>
      <c r="D9" s="27" t="s">
        <v>220</v>
      </c>
      <c r="E9" s="27" t="s">
        <v>220</v>
      </c>
      <c r="F9" s="6" t="s">
        <v>193</v>
      </c>
      <c r="H9" t="b">
        <f t="shared" si="0"/>
        <v>1</v>
      </c>
      <c r="I9" t="b">
        <f t="shared" si="1"/>
        <v>1</v>
      </c>
      <c r="J9" t="b">
        <f t="shared" si="2"/>
        <v>1</v>
      </c>
      <c r="K9" t="b">
        <f t="shared" si="3"/>
        <v>1</v>
      </c>
      <c r="L9" t="b">
        <f t="shared" si="4"/>
        <v>1</v>
      </c>
      <c r="M9" t="b">
        <f t="shared" si="5"/>
        <v>1</v>
      </c>
      <c r="N9" t="b">
        <f t="shared" si="6"/>
        <v>1</v>
      </c>
      <c r="O9" t="b">
        <f t="shared" si="7"/>
        <v>1</v>
      </c>
      <c r="P9" t="b">
        <f t="shared" si="8"/>
        <v>1</v>
      </c>
      <c r="Q9" t="b">
        <f t="shared" si="9"/>
        <v>1</v>
      </c>
      <c r="R9" t="b">
        <f t="shared" si="10"/>
        <v>1</v>
      </c>
      <c r="S9" t="b">
        <f t="shared" si="11"/>
        <v>1</v>
      </c>
      <c r="V9" t="b">
        <f t="shared" si="12"/>
        <v>1</v>
      </c>
      <c r="W9" t="b">
        <f t="shared" si="13"/>
        <v>1</v>
      </c>
      <c r="X9" t="b">
        <f t="shared" si="14"/>
        <v>1</v>
      </c>
      <c r="Y9" t="b">
        <f t="shared" si="15"/>
        <v>1</v>
      </c>
      <c r="Z9" t="b">
        <f t="shared" si="16"/>
        <v>1</v>
      </c>
      <c r="AA9" t="b">
        <f t="shared" si="17"/>
        <v>1</v>
      </c>
      <c r="AB9" t="b">
        <f t="shared" si="18"/>
        <v>1</v>
      </c>
      <c r="AC9" t="b">
        <f t="shared" si="19"/>
        <v>1</v>
      </c>
      <c r="AD9" t="b">
        <f t="shared" si="20"/>
        <v>1</v>
      </c>
      <c r="AE9" t="b">
        <f t="shared" si="21"/>
        <v>1</v>
      </c>
      <c r="AF9" t="b">
        <f t="shared" si="22"/>
        <v>1</v>
      </c>
      <c r="AG9" t="b">
        <f t="shared" si="23"/>
        <v>1</v>
      </c>
    </row>
    <row r="10" spans="1:33">
      <c r="A10" s="3" t="s">
        <v>203</v>
      </c>
      <c r="B10" s="27" t="s">
        <v>192</v>
      </c>
      <c r="C10" s="27" t="s">
        <v>192</v>
      </c>
      <c r="D10" s="27" t="s">
        <v>220</v>
      </c>
      <c r="E10" s="27" t="s">
        <v>220</v>
      </c>
      <c r="F10" s="6" t="s">
        <v>193</v>
      </c>
      <c r="H10" t="b">
        <f t="shared" si="0"/>
        <v>1</v>
      </c>
      <c r="I10" t="b">
        <f t="shared" si="1"/>
        <v>1</v>
      </c>
      <c r="J10" t="b">
        <f t="shared" si="2"/>
        <v>1</v>
      </c>
      <c r="K10" t="b">
        <f t="shared" si="3"/>
        <v>1</v>
      </c>
      <c r="L10" t="b">
        <f t="shared" si="4"/>
        <v>1</v>
      </c>
      <c r="M10" t="b">
        <f t="shared" si="5"/>
        <v>1</v>
      </c>
      <c r="N10" t="b">
        <f t="shared" si="6"/>
        <v>1</v>
      </c>
      <c r="O10" t="b">
        <f t="shared" si="7"/>
        <v>1</v>
      </c>
      <c r="P10" t="b">
        <f t="shared" si="8"/>
        <v>1</v>
      </c>
      <c r="Q10" t="b">
        <f t="shared" si="9"/>
        <v>1</v>
      </c>
      <c r="R10" t="b">
        <f t="shared" si="10"/>
        <v>1</v>
      </c>
      <c r="S10" t="b">
        <f t="shared" si="11"/>
        <v>1</v>
      </c>
      <c r="V10" t="b">
        <f t="shared" si="12"/>
        <v>1</v>
      </c>
      <c r="W10" t="b">
        <f t="shared" si="13"/>
        <v>1</v>
      </c>
      <c r="X10" t="b">
        <f t="shared" si="14"/>
        <v>1</v>
      </c>
      <c r="Y10" t="b">
        <f t="shared" si="15"/>
        <v>1</v>
      </c>
      <c r="Z10" t="b">
        <f t="shared" si="16"/>
        <v>1</v>
      </c>
      <c r="AA10" t="b">
        <f t="shared" si="17"/>
        <v>1</v>
      </c>
      <c r="AB10" t="b">
        <f t="shared" si="18"/>
        <v>1</v>
      </c>
      <c r="AC10" t="b">
        <f t="shared" si="19"/>
        <v>1</v>
      </c>
      <c r="AD10" t="b">
        <f t="shared" si="20"/>
        <v>1</v>
      </c>
      <c r="AE10" t="b">
        <f t="shared" si="21"/>
        <v>1</v>
      </c>
      <c r="AF10" t="b">
        <f t="shared" si="22"/>
        <v>1</v>
      </c>
      <c r="AG10" t="b">
        <f t="shared" si="23"/>
        <v>1</v>
      </c>
    </row>
    <row r="11" spans="1:33">
      <c r="A11" s="3" t="s">
        <v>204</v>
      </c>
      <c r="C11" s="27" t="s">
        <v>192</v>
      </c>
      <c r="F11" s="6" t="s">
        <v>193</v>
      </c>
      <c r="H11" t="b">
        <f t="shared" si="0"/>
        <v>0</v>
      </c>
      <c r="I11" t="b">
        <f t="shared" si="1"/>
        <v>1</v>
      </c>
      <c r="J11" t="b">
        <f t="shared" si="2"/>
        <v>0</v>
      </c>
      <c r="K11" t="b">
        <f t="shared" si="3"/>
        <v>0</v>
      </c>
      <c r="L11" t="b">
        <f t="shared" si="4"/>
        <v>0</v>
      </c>
      <c r="M11" t="b">
        <f t="shared" si="5"/>
        <v>0</v>
      </c>
      <c r="N11" t="b">
        <f t="shared" si="6"/>
        <v>0</v>
      </c>
      <c r="O11" t="b">
        <f t="shared" si="7"/>
        <v>1</v>
      </c>
      <c r="P11" t="b">
        <f t="shared" si="8"/>
        <v>0</v>
      </c>
      <c r="Q11" t="b">
        <f t="shared" si="9"/>
        <v>1</v>
      </c>
      <c r="R11" t="b">
        <f t="shared" si="10"/>
        <v>0</v>
      </c>
      <c r="S11" t="b">
        <f t="shared" si="11"/>
        <v>0</v>
      </c>
      <c r="V11" t="b">
        <f t="shared" si="12"/>
        <v>0</v>
      </c>
      <c r="W11" t="b">
        <f t="shared" si="13"/>
        <v>1</v>
      </c>
      <c r="X11" t="b">
        <f t="shared" si="14"/>
        <v>0</v>
      </c>
      <c r="Y11" t="b">
        <f t="shared" si="15"/>
        <v>0</v>
      </c>
      <c r="Z11" t="b">
        <f t="shared" si="16"/>
        <v>0</v>
      </c>
      <c r="AA11" t="b">
        <f t="shared" si="17"/>
        <v>0</v>
      </c>
      <c r="AB11" t="b">
        <f t="shared" si="18"/>
        <v>0</v>
      </c>
      <c r="AC11" t="b">
        <f t="shared" si="19"/>
        <v>1</v>
      </c>
      <c r="AD11" t="b">
        <f t="shared" si="20"/>
        <v>0</v>
      </c>
      <c r="AE11" t="b">
        <f t="shared" si="21"/>
        <v>1</v>
      </c>
      <c r="AF11" t="b">
        <f t="shared" si="22"/>
        <v>0</v>
      </c>
      <c r="AG11" t="b">
        <f t="shared" si="23"/>
        <v>0</v>
      </c>
    </row>
    <row r="12" spans="1:33">
      <c r="A12" s="3" t="s">
        <v>205</v>
      </c>
      <c r="B12" s="27" t="s">
        <v>192</v>
      </c>
      <c r="C12" s="27" t="s">
        <v>192</v>
      </c>
      <c r="D12" s="27" t="s">
        <v>192</v>
      </c>
      <c r="E12" s="27" t="s">
        <v>192</v>
      </c>
      <c r="F12" s="6" t="s">
        <v>193</v>
      </c>
      <c r="H12" t="b">
        <f t="shared" si="0"/>
        <v>1</v>
      </c>
      <c r="I12" t="b">
        <f t="shared" si="1"/>
        <v>1</v>
      </c>
      <c r="J12" t="b">
        <f t="shared" si="2"/>
        <v>1</v>
      </c>
      <c r="K12" t="b">
        <f t="shared" si="3"/>
        <v>1</v>
      </c>
      <c r="L12" t="b">
        <f t="shared" si="4"/>
        <v>1</v>
      </c>
      <c r="M12" t="b">
        <f t="shared" si="5"/>
        <v>1</v>
      </c>
      <c r="N12" t="b">
        <f t="shared" si="6"/>
        <v>1</v>
      </c>
      <c r="O12" t="b">
        <f t="shared" si="7"/>
        <v>1</v>
      </c>
      <c r="P12" t="b">
        <f t="shared" si="8"/>
        <v>1</v>
      </c>
      <c r="Q12" t="b">
        <f t="shared" si="9"/>
        <v>1</v>
      </c>
      <c r="R12" t="b">
        <f t="shared" si="10"/>
        <v>1</v>
      </c>
      <c r="S12" t="b">
        <f t="shared" si="11"/>
        <v>1</v>
      </c>
      <c r="V12" t="b">
        <f t="shared" si="12"/>
        <v>1</v>
      </c>
      <c r="W12" t="b">
        <f t="shared" si="13"/>
        <v>1</v>
      </c>
      <c r="X12" t="b">
        <f t="shared" si="14"/>
        <v>1</v>
      </c>
      <c r="Y12" t="b">
        <f t="shared" si="15"/>
        <v>1</v>
      </c>
      <c r="Z12" t="b">
        <f t="shared" si="16"/>
        <v>1</v>
      </c>
      <c r="AA12" t="b">
        <f t="shared" si="17"/>
        <v>1</v>
      </c>
      <c r="AB12" t="b">
        <f t="shared" si="18"/>
        <v>1</v>
      </c>
      <c r="AC12" t="b">
        <f t="shared" si="19"/>
        <v>1</v>
      </c>
      <c r="AD12" t="b">
        <f t="shared" si="20"/>
        <v>1</v>
      </c>
      <c r="AE12" t="b">
        <f t="shared" si="21"/>
        <v>1</v>
      </c>
      <c r="AF12" t="b">
        <f t="shared" si="22"/>
        <v>1</v>
      </c>
      <c r="AG12" t="b">
        <f t="shared" si="23"/>
        <v>1</v>
      </c>
    </row>
    <row r="13" spans="1:33">
      <c r="A13" t="s">
        <v>284</v>
      </c>
      <c r="B13" s="27" t="s">
        <v>192</v>
      </c>
      <c r="C13" s="27" t="s">
        <v>192</v>
      </c>
      <c r="F13" s="6" t="s">
        <v>196</v>
      </c>
      <c r="H13" t="b">
        <f t="shared" si="0"/>
        <v>1</v>
      </c>
      <c r="I13" t="b">
        <f t="shared" si="1"/>
        <v>1</v>
      </c>
      <c r="J13" t="b">
        <f t="shared" si="2"/>
        <v>0</v>
      </c>
      <c r="K13" t="b">
        <f t="shared" si="3"/>
        <v>1</v>
      </c>
      <c r="L13" t="b">
        <f t="shared" si="4"/>
        <v>0</v>
      </c>
      <c r="M13" t="b">
        <f t="shared" si="5"/>
        <v>1</v>
      </c>
      <c r="N13" t="b">
        <f t="shared" si="6"/>
        <v>0</v>
      </c>
      <c r="O13" t="b">
        <f t="shared" si="7"/>
        <v>1</v>
      </c>
      <c r="P13" t="b">
        <f t="shared" si="8"/>
        <v>0</v>
      </c>
      <c r="Q13" t="b">
        <f t="shared" si="9"/>
        <v>1</v>
      </c>
      <c r="R13" t="b">
        <f t="shared" si="10"/>
        <v>0</v>
      </c>
      <c r="S13" t="b">
        <f t="shared" si="11"/>
        <v>0</v>
      </c>
      <c r="V13" t="b">
        <f t="shared" si="12"/>
        <v>0</v>
      </c>
      <c r="W13" t="b">
        <f t="shared" si="13"/>
        <v>0</v>
      </c>
      <c r="X13" t="b">
        <f t="shared" si="14"/>
        <v>0</v>
      </c>
      <c r="Y13" t="b">
        <f t="shared" si="15"/>
        <v>0</v>
      </c>
      <c r="Z13" t="b">
        <f t="shared" si="16"/>
        <v>0</v>
      </c>
      <c r="AA13" t="b">
        <f t="shared" si="17"/>
        <v>0</v>
      </c>
      <c r="AB13" t="b">
        <f t="shared" si="18"/>
        <v>0</v>
      </c>
      <c r="AC13" t="b">
        <f t="shared" si="19"/>
        <v>0</v>
      </c>
      <c r="AD13" t="b">
        <f t="shared" si="20"/>
        <v>0</v>
      </c>
      <c r="AE13" t="b">
        <f t="shared" si="21"/>
        <v>0</v>
      </c>
      <c r="AF13" t="b">
        <f t="shared" si="22"/>
        <v>0</v>
      </c>
      <c r="AG13" t="b">
        <f t="shared" si="23"/>
        <v>0</v>
      </c>
    </row>
    <row r="14" spans="1:33">
      <c r="A14" s="3" t="s">
        <v>214</v>
      </c>
      <c r="B14" s="27" t="s">
        <v>192</v>
      </c>
      <c r="C14" s="27" t="s">
        <v>192</v>
      </c>
      <c r="D14" s="27" t="s">
        <v>192</v>
      </c>
      <c r="E14" s="27" t="s">
        <v>220</v>
      </c>
      <c r="F14" s="6" t="s">
        <v>193</v>
      </c>
      <c r="H14" t="b">
        <f t="shared" si="0"/>
        <v>1</v>
      </c>
      <c r="I14" t="b">
        <f t="shared" si="1"/>
        <v>1</v>
      </c>
      <c r="J14" t="b">
        <f t="shared" si="2"/>
        <v>1</v>
      </c>
      <c r="K14" t="b">
        <f t="shared" si="3"/>
        <v>1</v>
      </c>
      <c r="L14" t="b">
        <f t="shared" si="4"/>
        <v>1</v>
      </c>
      <c r="M14" t="b">
        <f t="shared" si="5"/>
        <v>1</v>
      </c>
      <c r="N14" t="b">
        <f t="shared" si="6"/>
        <v>1</v>
      </c>
      <c r="O14" t="b">
        <f t="shared" si="7"/>
        <v>1</v>
      </c>
      <c r="P14" t="b">
        <f t="shared" si="8"/>
        <v>1</v>
      </c>
      <c r="Q14" t="b">
        <f t="shared" si="9"/>
        <v>1</v>
      </c>
      <c r="R14" t="b">
        <f t="shared" si="10"/>
        <v>1</v>
      </c>
      <c r="S14" t="b">
        <f t="shared" si="11"/>
        <v>1</v>
      </c>
      <c r="V14" t="b">
        <f t="shared" si="12"/>
        <v>1</v>
      </c>
      <c r="W14" t="b">
        <f t="shared" si="13"/>
        <v>1</v>
      </c>
      <c r="X14" t="b">
        <f t="shared" si="14"/>
        <v>1</v>
      </c>
      <c r="Y14" t="b">
        <f t="shared" si="15"/>
        <v>1</v>
      </c>
      <c r="Z14" t="b">
        <f t="shared" si="16"/>
        <v>1</v>
      </c>
      <c r="AA14" t="b">
        <f t="shared" si="17"/>
        <v>1</v>
      </c>
      <c r="AB14" t="b">
        <f t="shared" si="18"/>
        <v>1</v>
      </c>
      <c r="AC14" t="b">
        <f t="shared" si="19"/>
        <v>1</v>
      </c>
      <c r="AD14" t="b">
        <f t="shared" si="20"/>
        <v>1</v>
      </c>
      <c r="AE14" t="b">
        <f t="shared" si="21"/>
        <v>1</v>
      </c>
      <c r="AF14" t="b">
        <f t="shared" si="22"/>
        <v>1</v>
      </c>
      <c r="AG14" t="b">
        <f t="shared" si="23"/>
        <v>1</v>
      </c>
    </row>
    <row r="15" spans="1:33">
      <c r="A15" s="3" t="s">
        <v>215</v>
      </c>
      <c r="B15" s="27" t="s">
        <v>192</v>
      </c>
      <c r="C15" s="27" t="s">
        <v>192</v>
      </c>
      <c r="D15" s="27" t="s">
        <v>192</v>
      </c>
      <c r="E15" s="27" t="s">
        <v>220</v>
      </c>
      <c r="F15" s="6" t="s">
        <v>193</v>
      </c>
      <c r="H15" t="b">
        <f t="shared" si="0"/>
        <v>1</v>
      </c>
      <c r="I15" t="b">
        <f t="shared" si="1"/>
        <v>1</v>
      </c>
      <c r="J15" t="b">
        <f t="shared" si="2"/>
        <v>1</v>
      </c>
      <c r="K15" t="b">
        <f t="shared" si="3"/>
        <v>1</v>
      </c>
      <c r="L15" t="b">
        <f t="shared" si="4"/>
        <v>1</v>
      </c>
      <c r="M15" t="b">
        <f t="shared" si="5"/>
        <v>1</v>
      </c>
      <c r="N15" t="b">
        <f t="shared" si="6"/>
        <v>1</v>
      </c>
      <c r="O15" t="b">
        <f t="shared" si="7"/>
        <v>1</v>
      </c>
      <c r="P15" t="b">
        <f t="shared" si="8"/>
        <v>1</v>
      </c>
      <c r="Q15" t="b">
        <f t="shared" si="9"/>
        <v>1</v>
      </c>
      <c r="R15" t="b">
        <f t="shared" si="10"/>
        <v>1</v>
      </c>
      <c r="S15" t="b">
        <f t="shared" si="11"/>
        <v>1</v>
      </c>
      <c r="V15" t="b">
        <f t="shared" si="12"/>
        <v>1</v>
      </c>
      <c r="W15" t="b">
        <f t="shared" si="13"/>
        <v>1</v>
      </c>
      <c r="X15" t="b">
        <f t="shared" si="14"/>
        <v>1</v>
      </c>
      <c r="Y15" t="b">
        <f t="shared" si="15"/>
        <v>1</v>
      </c>
      <c r="Z15" t="b">
        <f t="shared" si="16"/>
        <v>1</v>
      </c>
      <c r="AA15" t="b">
        <f t="shared" si="17"/>
        <v>1</v>
      </c>
      <c r="AB15" t="b">
        <f t="shared" si="18"/>
        <v>1</v>
      </c>
      <c r="AC15" t="b">
        <f t="shared" si="19"/>
        <v>1</v>
      </c>
      <c r="AD15" t="b">
        <f t="shared" si="20"/>
        <v>1</v>
      </c>
      <c r="AE15" t="b">
        <f t="shared" si="21"/>
        <v>1</v>
      </c>
      <c r="AF15" t="b">
        <f t="shared" si="22"/>
        <v>1</v>
      </c>
      <c r="AG15" t="b">
        <f t="shared" si="23"/>
        <v>1</v>
      </c>
    </row>
    <row r="16" spans="1:33">
      <c r="A16" s="3" t="s">
        <v>216</v>
      </c>
      <c r="B16" s="27" t="s">
        <v>192</v>
      </c>
      <c r="C16" s="27" t="s">
        <v>192</v>
      </c>
      <c r="D16" s="27" t="s">
        <v>192</v>
      </c>
      <c r="E16" s="27" t="s">
        <v>220</v>
      </c>
      <c r="F16" s="6" t="s">
        <v>193</v>
      </c>
      <c r="H16" t="b">
        <f t="shared" si="0"/>
        <v>1</v>
      </c>
      <c r="I16" t="b">
        <f t="shared" si="1"/>
        <v>1</v>
      </c>
      <c r="J16" t="b">
        <f t="shared" si="2"/>
        <v>1</v>
      </c>
      <c r="K16" t="b">
        <f t="shared" si="3"/>
        <v>1</v>
      </c>
      <c r="L16" t="b">
        <f t="shared" si="4"/>
        <v>1</v>
      </c>
      <c r="M16" t="b">
        <f t="shared" si="5"/>
        <v>1</v>
      </c>
      <c r="N16" t="b">
        <f t="shared" si="6"/>
        <v>1</v>
      </c>
      <c r="O16" t="b">
        <f t="shared" si="7"/>
        <v>1</v>
      </c>
      <c r="P16" t="b">
        <f t="shared" si="8"/>
        <v>1</v>
      </c>
      <c r="Q16" t="b">
        <f t="shared" si="9"/>
        <v>1</v>
      </c>
      <c r="R16" t="b">
        <f t="shared" si="10"/>
        <v>1</v>
      </c>
      <c r="S16" t="b">
        <f t="shared" si="11"/>
        <v>1</v>
      </c>
      <c r="V16" t="b">
        <f t="shared" si="12"/>
        <v>1</v>
      </c>
      <c r="W16" t="b">
        <f t="shared" si="13"/>
        <v>1</v>
      </c>
      <c r="X16" t="b">
        <f t="shared" si="14"/>
        <v>1</v>
      </c>
      <c r="Y16" t="b">
        <f t="shared" si="15"/>
        <v>1</v>
      </c>
      <c r="Z16" t="b">
        <f t="shared" si="16"/>
        <v>1</v>
      </c>
      <c r="AA16" t="b">
        <f t="shared" si="17"/>
        <v>1</v>
      </c>
      <c r="AB16" t="b">
        <f t="shared" si="18"/>
        <v>1</v>
      </c>
      <c r="AC16" t="b">
        <f t="shared" si="19"/>
        <v>1</v>
      </c>
      <c r="AD16" t="b">
        <f t="shared" si="20"/>
        <v>1</v>
      </c>
      <c r="AE16" t="b">
        <f t="shared" si="21"/>
        <v>1</v>
      </c>
      <c r="AF16" t="b">
        <f t="shared" si="22"/>
        <v>1</v>
      </c>
      <c r="AG16" t="b">
        <f t="shared" si="23"/>
        <v>1</v>
      </c>
    </row>
    <row r="17" spans="1:33">
      <c r="A17" s="3" t="s">
        <v>217</v>
      </c>
      <c r="B17" s="27" t="s">
        <v>192</v>
      </c>
      <c r="F17" s="6" t="s">
        <v>193</v>
      </c>
      <c r="H17" t="b">
        <f t="shared" si="0"/>
        <v>0</v>
      </c>
      <c r="I17" t="b">
        <f t="shared" si="1"/>
        <v>1</v>
      </c>
      <c r="J17" t="b">
        <f t="shared" si="2"/>
        <v>0</v>
      </c>
      <c r="K17" t="b">
        <f t="shared" si="3"/>
        <v>1</v>
      </c>
      <c r="L17" t="b">
        <f t="shared" si="4"/>
        <v>0</v>
      </c>
      <c r="M17" t="b">
        <f t="shared" si="5"/>
        <v>1</v>
      </c>
      <c r="N17" t="b">
        <f t="shared" si="6"/>
        <v>0</v>
      </c>
      <c r="O17" t="b">
        <f t="shared" si="7"/>
        <v>0</v>
      </c>
      <c r="P17" t="b">
        <f t="shared" si="8"/>
        <v>0</v>
      </c>
      <c r="Q17" t="b">
        <f t="shared" si="9"/>
        <v>0</v>
      </c>
      <c r="R17" t="b">
        <f t="shared" si="10"/>
        <v>0</v>
      </c>
      <c r="S17" t="b">
        <f t="shared" si="11"/>
        <v>0</v>
      </c>
      <c r="V17" t="b">
        <f t="shared" si="12"/>
        <v>0</v>
      </c>
      <c r="W17" t="b">
        <f t="shared" si="13"/>
        <v>1</v>
      </c>
      <c r="X17" t="b">
        <f t="shared" si="14"/>
        <v>0</v>
      </c>
      <c r="Y17" t="b">
        <f t="shared" si="15"/>
        <v>1</v>
      </c>
      <c r="Z17" t="b">
        <f t="shared" si="16"/>
        <v>0</v>
      </c>
      <c r="AA17" t="b">
        <f t="shared" si="17"/>
        <v>1</v>
      </c>
      <c r="AB17" t="b">
        <f t="shared" si="18"/>
        <v>0</v>
      </c>
      <c r="AC17" t="b">
        <f t="shared" si="19"/>
        <v>0</v>
      </c>
      <c r="AD17" t="b">
        <f t="shared" si="20"/>
        <v>0</v>
      </c>
      <c r="AE17" t="b">
        <f t="shared" si="21"/>
        <v>0</v>
      </c>
      <c r="AF17" t="b">
        <f t="shared" si="22"/>
        <v>0</v>
      </c>
      <c r="AG17" t="b">
        <f t="shared" si="23"/>
        <v>0</v>
      </c>
    </row>
    <row r="18" spans="1:33">
      <c r="A18" s="3" t="s">
        <v>218</v>
      </c>
      <c r="B18" s="27" t="s">
        <v>192</v>
      </c>
      <c r="C18" s="27" t="s">
        <v>192</v>
      </c>
      <c r="D18" s="27" t="s">
        <v>192</v>
      </c>
      <c r="E18" s="27" t="s">
        <v>220</v>
      </c>
      <c r="F18" s="6" t="s">
        <v>193</v>
      </c>
      <c r="H18" t="b">
        <f t="shared" si="0"/>
        <v>1</v>
      </c>
      <c r="I18" t="b">
        <f t="shared" si="1"/>
        <v>1</v>
      </c>
      <c r="J18" t="b">
        <f t="shared" si="2"/>
        <v>1</v>
      </c>
      <c r="K18" t="b">
        <f t="shared" si="3"/>
        <v>1</v>
      </c>
      <c r="L18" t="b">
        <f t="shared" si="4"/>
        <v>1</v>
      </c>
      <c r="M18" t="b">
        <f t="shared" si="5"/>
        <v>1</v>
      </c>
      <c r="N18" t="b">
        <f t="shared" si="6"/>
        <v>1</v>
      </c>
      <c r="O18" t="b">
        <f t="shared" si="7"/>
        <v>1</v>
      </c>
      <c r="P18" t="b">
        <f t="shared" si="8"/>
        <v>1</v>
      </c>
      <c r="Q18" t="b">
        <f t="shared" si="9"/>
        <v>1</v>
      </c>
      <c r="R18" t="b">
        <f t="shared" si="10"/>
        <v>1</v>
      </c>
      <c r="S18" t="b">
        <f t="shared" si="11"/>
        <v>1</v>
      </c>
      <c r="V18" t="b">
        <f t="shared" si="12"/>
        <v>1</v>
      </c>
      <c r="W18" t="b">
        <f t="shared" si="13"/>
        <v>1</v>
      </c>
      <c r="X18" t="b">
        <f t="shared" si="14"/>
        <v>1</v>
      </c>
      <c r="Y18" t="b">
        <f t="shared" si="15"/>
        <v>1</v>
      </c>
      <c r="Z18" t="b">
        <f t="shared" si="16"/>
        <v>1</v>
      </c>
      <c r="AA18" t="b">
        <f t="shared" si="17"/>
        <v>1</v>
      </c>
      <c r="AB18" t="b">
        <f t="shared" si="18"/>
        <v>1</v>
      </c>
      <c r="AC18" t="b">
        <f t="shared" si="19"/>
        <v>1</v>
      </c>
      <c r="AD18" t="b">
        <f t="shared" si="20"/>
        <v>1</v>
      </c>
      <c r="AE18" t="b">
        <f t="shared" si="21"/>
        <v>1</v>
      </c>
      <c r="AF18" t="b">
        <f t="shared" si="22"/>
        <v>1</v>
      </c>
      <c r="AG18" t="b">
        <f t="shared" si="23"/>
        <v>1</v>
      </c>
    </row>
    <row r="19" spans="1:33">
      <c r="A19" s="3" t="s">
        <v>219</v>
      </c>
      <c r="B19" s="27" t="s">
        <v>220</v>
      </c>
      <c r="C19" s="27" t="s">
        <v>220</v>
      </c>
      <c r="D19" s="27" t="s">
        <v>220</v>
      </c>
      <c r="E19" s="27" t="s">
        <v>220</v>
      </c>
      <c r="F19" s="6" t="s">
        <v>193</v>
      </c>
      <c r="H19" t="b">
        <f t="shared" si="0"/>
        <v>1</v>
      </c>
      <c r="I19" t="b">
        <f t="shared" si="1"/>
        <v>1</v>
      </c>
      <c r="J19" t="b">
        <f t="shared" si="2"/>
        <v>1</v>
      </c>
      <c r="K19" t="b">
        <f t="shared" si="3"/>
        <v>1</v>
      </c>
      <c r="L19" t="b">
        <f t="shared" si="4"/>
        <v>1</v>
      </c>
      <c r="M19" t="b">
        <f t="shared" si="5"/>
        <v>1</v>
      </c>
      <c r="N19" t="b">
        <f t="shared" si="6"/>
        <v>1</v>
      </c>
      <c r="O19" t="b">
        <f t="shared" si="7"/>
        <v>1</v>
      </c>
      <c r="P19" t="b">
        <f t="shared" si="8"/>
        <v>1</v>
      </c>
      <c r="Q19" t="b">
        <f t="shared" si="9"/>
        <v>1</v>
      </c>
      <c r="R19" t="b">
        <f t="shared" si="10"/>
        <v>1</v>
      </c>
      <c r="S19" t="b">
        <f t="shared" si="11"/>
        <v>1</v>
      </c>
      <c r="V19" t="b">
        <f t="shared" si="12"/>
        <v>1</v>
      </c>
      <c r="W19" t="b">
        <f t="shared" si="13"/>
        <v>1</v>
      </c>
      <c r="X19" t="b">
        <f t="shared" si="14"/>
        <v>1</v>
      </c>
      <c r="Y19" t="b">
        <f t="shared" si="15"/>
        <v>1</v>
      </c>
      <c r="Z19" t="b">
        <f t="shared" si="16"/>
        <v>1</v>
      </c>
      <c r="AA19" t="b">
        <f t="shared" si="17"/>
        <v>1</v>
      </c>
      <c r="AB19" t="b">
        <f t="shared" si="18"/>
        <v>1</v>
      </c>
      <c r="AC19" t="b">
        <f t="shared" si="19"/>
        <v>1</v>
      </c>
      <c r="AD19" t="b">
        <f t="shared" si="20"/>
        <v>1</v>
      </c>
      <c r="AE19" t="b">
        <f t="shared" si="21"/>
        <v>1</v>
      </c>
      <c r="AF19" t="b">
        <f t="shared" si="22"/>
        <v>1</v>
      </c>
      <c r="AG19" t="b">
        <f t="shared" si="23"/>
        <v>1</v>
      </c>
    </row>
    <row r="20" spans="1:33">
      <c r="A20" s="3" t="s">
        <v>221</v>
      </c>
      <c r="B20" s="27" t="s">
        <v>220</v>
      </c>
      <c r="F20" s="6" t="s">
        <v>193</v>
      </c>
      <c r="H20" t="b">
        <f t="shared" si="0"/>
        <v>0</v>
      </c>
      <c r="I20" t="b">
        <f t="shared" si="1"/>
        <v>1</v>
      </c>
      <c r="J20" t="b">
        <f t="shared" si="2"/>
        <v>0</v>
      </c>
      <c r="K20" t="b">
        <f t="shared" si="3"/>
        <v>1</v>
      </c>
      <c r="L20" t="b">
        <f t="shared" si="4"/>
        <v>0</v>
      </c>
      <c r="M20" t="b">
        <f t="shared" si="5"/>
        <v>1</v>
      </c>
      <c r="N20" t="b">
        <f t="shared" si="6"/>
        <v>0</v>
      </c>
      <c r="O20" t="b">
        <f t="shared" si="7"/>
        <v>0</v>
      </c>
      <c r="P20" t="b">
        <f t="shared" si="8"/>
        <v>0</v>
      </c>
      <c r="Q20" t="b">
        <f t="shared" si="9"/>
        <v>0</v>
      </c>
      <c r="R20" t="b">
        <f t="shared" si="10"/>
        <v>0</v>
      </c>
      <c r="S20" t="b">
        <f t="shared" si="11"/>
        <v>0</v>
      </c>
      <c r="V20" t="b">
        <f t="shared" si="12"/>
        <v>0</v>
      </c>
      <c r="W20" t="b">
        <f t="shared" si="13"/>
        <v>1</v>
      </c>
      <c r="X20" t="b">
        <f t="shared" si="14"/>
        <v>0</v>
      </c>
      <c r="Y20" t="b">
        <f t="shared" si="15"/>
        <v>1</v>
      </c>
      <c r="Z20" t="b">
        <f t="shared" si="16"/>
        <v>0</v>
      </c>
      <c r="AA20" t="b">
        <f t="shared" si="17"/>
        <v>1</v>
      </c>
      <c r="AB20" t="b">
        <f t="shared" si="18"/>
        <v>0</v>
      </c>
      <c r="AC20" t="b">
        <f t="shared" si="19"/>
        <v>0</v>
      </c>
      <c r="AD20" t="b">
        <f t="shared" si="20"/>
        <v>0</v>
      </c>
      <c r="AE20" t="b">
        <f t="shared" si="21"/>
        <v>0</v>
      </c>
      <c r="AF20" t="b">
        <f t="shared" si="22"/>
        <v>0</v>
      </c>
      <c r="AG20" t="b">
        <f t="shared" si="23"/>
        <v>0</v>
      </c>
    </row>
    <row r="21" spans="1:33">
      <c r="A21" s="3" t="s">
        <v>285</v>
      </c>
      <c r="B21" s="27" t="s">
        <v>192</v>
      </c>
      <c r="F21" s="6" t="s">
        <v>193</v>
      </c>
      <c r="H21" t="b">
        <f t="shared" si="0"/>
        <v>0</v>
      </c>
      <c r="I21" t="b">
        <f t="shared" si="1"/>
        <v>1</v>
      </c>
      <c r="J21" t="b">
        <f t="shared" si="2"/>
        <v>0</v>
      </c>
      <c r="K21" t="b">
        <f t="shared" si="3"/>
        <v>1</v>
      </c>
      <c r="L21" t="b">
        <f t="shared" si="4"/>
        <v>0</v>
      </c>
      <c r="M21" t="b">
        <f t="shared" si="5"/>
        <v>1</v>
      </c>
      <c r="N21" t="b">
        <f t="shared" si="6"/>
        <v>0</v>
      </c>
      <c r="O21" t="b">
        <f t="shared" si="7"/>
        <v>0</v>
      </c>
      <c r="P21" t="b">
        <f t="shared" si="8"/>
        <v>0</v>
      </c>
      <c r="Q21" t="b">
        <f t="shared" si="9"/>
        <v>0</v>
      </c>
      <c r="R21" t="b">
        <f t="shared" si="10"/>
        <v>0</v>
      </c>
      <c r="S21" t="b">
        <f t="shared" si="11"/>
        <v>0</v>
      </c>
      <c r="V21" t="b">
        <f t="shared" si="12"/>
        <v>0</v>
      </c>
      <c r="W21" t="b">
        <f t="shared" si="13"/>
        <v>1</v>
      </c>
      <c r="X21" t="b">
        <f t="shared" si="14"/>
        <v>0</v>
      </c>
      <c r="Y21" t="b">
        <f t="shared" si="15"/>
        <v>1</v>
      </c>
      <c r="Z21" t="b">
        <f t="shared" si="16"/>
        <v>0</v>
      </c>
      <c r="AA21" t="b">
        <f t="shared" si="17"/>
        <v>1</v>
      </c>
      <c r="AB21" t="b">
        <f t="shared" si="18"/>
        <v>0</v>
      </c>
      <c r="AC21" t="b">
        <f t="shared" si="19"/>
        <v>0</v>
      </c>
      <c r="AD21" t="b">
        <f t="shared" si="20"/>
        <v>0</v>
      </c>
      <c r="AE21" t="b">
        <f t="shared" si="21"/>
        <v>0</v>
      </c>
      <c r="AF21" t="b">
        <f t="shared" si="22"/>
        <v>0</v>
      </c>
      <c r="AG21" t="b">
        <f t="shared" si="23"/>
        <v>0</v>
      </c>
    </row>
    <row r="22" spans="1:33">
      <c r="A22" s="3" t="s">
        <v>222</v>
      </c>
      <c r="B22" s="27" t="s">
        <v>192</v>
      </c>
      <c r="F22" s="6" t="s">
        <v>193</v>
      </c>
      <c r="H22" t="b">
        <f t="shared" si="0"/>
        <v>0</v>
      </c>
      <c r="I22" t="b">
        <f t="shared" si="1"/>
        <v>1</v>
      </c>
      <c r="J22" t="b">
        <f t="shared" si="2"/>
        <v>0</v>
      </c>
      <c r="K22" t="b">
        <f t="shared" si="3"/>
        <v>1</v>
      </c>
      <c r="L22" t="b">
        <f t="shared" si="4"/>
        <v>0</v>
      </c>
      <c r="M22" t="b">
        <f t="shared" si="5"/>
        <v>1</v>
      </c>
      <c r="N22" t="b">
        <f t="shared" si="6"/>
        <v>0</v>
      </c>
      <c r="O22" t="b">
        <f t="shared" si="7"/>
        <v>0</v>
      </c>
      <c r="P22" t="b">
        <f t="shared" si="8"/>
        <v>0</v>
      </c>
      <c r="Q22" t="b">
        <f t="shared" si="9"/>
        <v>0</v>
      </c>
      <c r="R22" t="b">
        <f t="shared" si="10"/>
        <v>0</v>
      </c>
      <c r="S22" t="b">
        <f t="shared" si="11"/>
        <v>0</v>
      </c>
      <c r="V22" t="b">
        <f t="shared" si="12"/>
        <v>0</v>
      </c>
      <c r="W22" t="b">
        <f t="shared" si="13"/>
        <v>1</v>
      </c>
      <c r="X22" t="b">
        <f t="shared" si="14"/>
        <v>0</v>
      </c>
      <c r="Y22" t="b">
        <f t="shared" si="15"/>
        <v>1</v>
      </c>
      <c r="Z22" t="b">
        <f t="shared" si="16"/>
        <v>0</v>
      </c>
      <c r="AA22" t="b">
        <f t="shared" si="17"/>
        <v>1</v>
      </c>
      <c r="AB22" t="b">
        <f t="shared" si="18"/>
        <v>0</v>
      </c>
      <c r="AC22" t="b">
        <f t="shared" si="19"/>
        <v>0</v>
      </c>
      <c r="AD22" t="b">
        <f t="shared" si="20"/>
        <v>0</v>
      </c>
      <c r="AE22" t="b">
        <f t="shared" si="21"/>
        <v>0</v>
      </c>
      <c r="AF22" t="b">
        <f t="shared" si="22"/>
        <v>0</v>
      </c>
      <c r="AG22" t="b">
        <f t="shared" si="23"/>
        <v>0</v>
      </c>
    </row>
    <row r="23" spans="1:33">
      <c r="A23" s="3" t="s">
        <v>286</v>
      </c>
      <c r="B23" s="27" t="s">
        <v>192</v>
      </c>
      <c r="F23" s="6" t="s">
        <v>193</v>
      </c>
      <c r="H23" t="b">
        <f t="shared" si="0"/>
        <v>0</v>
      </c>
      <c r="I23" t="b">
        <f t="shared" si="1"/>
        <v>1</v>
      </c>
      <c r="J23" t="b">
        <f t="shared" si="2"/>
        <v>0</v>
      </c>
      <c r="K23" t="b">
        <f t="shared" si="3"/>
        <v>1</v>
      </c>
      <c r="L23" t="b">
        <f t="shared" si="4"/>
        <v>0</v>
      </c>
      <c r="M23" t="b">
        <f t="shared" si="5"/>
        <v>1</v>
      </c>
      <c r="N23" t="b">
        <f t="shared" si="6"/>
        <v>0</v>
      </c>
      <c r="O23" t="b">
        <f t="shared" si="7"/>
        <v>0</v>
      </c>
      <c r="P23" t="b">
        <f t="shared" si="8"/>
        <v>0</v>
      </c>
      <c r="Q23" t="b">
        <f t="shared" si="9"/>
        <v>0</v>
      </c>
      <c r="R23" t="b">
        <f t="shared" si="10"/>
        <v>0</v>
      </c>
      <c r="S23" t="b">
        <f t="shared" si="11"/>
        <v>0</v>
      </c>
      <c r="V23" t="b">
        <f t="shared" si="12"/>
        <v>0</v>
      </c>
      <c r="W23" t="b">
        <f t="shared" si="13"/>
        <v>1</v>
      </c>
      <c r="X23" t="b">
        <f t="shared" si="14"/>
        <v>0</v>
      </c>
      <c r="Y23" t="b">
        <f t="shared" si="15"/>
        <v>1</v>
      </c>
      <c r="Z23" t="b">
        <f t="shared" si="16"/>
        <v>0</v>
      </c>
      <c r="AA23" t="b">
        <f t="shared" si="17"/>
        <v>1</v>
      </c>
      <c r="AB23" t="b">
        <f t="shared" si="18"/>
        <v>0</v>
      </c>
      <c r="AC23" t="b">
        <f t="shared" si="19"/>
        <v>0</v>
      </c>
      <c r="AD23" t="b">
        <f t="shared" si="20"/>
        <v>0</v>
      </c>
      <c r="AE23" t="b">
        <f t="shared" si="21"/>
        <v>0</v>
      </c>
      <c r="AF23" t="b">
        <f t="shared" si="22"/>
        <v>0</v>
      </c>
      <c r="AG23" t="b">
        <f t="shared" si="23"/>
        <v>0</v>
      </c>
    </row>
    <row r="24" spans="1:33">
      <c r="A24" s="3" t="s">
        <v>287</v>
      </c>
      <c r="B24" s="27" t="s">
        <v>192</v>
      </c>
      <c r="F24" s="6" t="s">
        <v>193</v>
      </c>
      <c r="H24" t="b">
        <f t="shared" si="0"/>
        <v>0</v>
      </c>
      <c r="I24" t="b">
        <f t="shared" si="1"/>
        <v>1</v>
      </c>
      <c r="J24" t="b">
        <f t="shared" si="2"/>
        <v>0</v>
      </c>
      <c r="K24" t="b">
        <f t="shared" si="3"/>
        <v>1</v>
      </c>
      <c r="L24" t="b">
        <f t="shared" si="4"/>
        <v>0</v>
      </c>
      <c r="M24" t="b">
        <f t="shared" si="5"/>
        <v>1</v>
      </c>
      <c r="N24" t="b">
        <f t="shared" si="6"/>
        <v>0</v>
      </c>
      <c r="O24" t="b">
        <f t="shared" si="7"/>
        <v>0</v>
      </c>
      <c r="P24" t="b">
        <f t="shared" si="8"/>
        <v>0</v>
      </c>
      <c r="Q24" t="b">
        <f t="shared" si="9"/>
        <v>0</v>
      </c>
      <c r="R24" t="b">
        <f t="shared" si="10"/>
        <v>0</v>
      </c>
      <c r="S24" t="b">
        <f t="shared" si="11"/>
        <v>0</v>
      </c>
      <c r="V24" t="b">
        <f t="shared" si="12"/>
        <v>0</v>
      </c>
      <c r="W24" t="b">
        <f t="shared" si="13"/>
        <v>1</v>
      </c>
      <c r="X24" t="b">
        <f t="shared" si="14"/>
        <v>0</v>
      </c>
      <c r="Y24" t="b">
        <f t="shared" si="15"/>
        <v>1</v>
      </c>
      <c r="Z24" t="b">
        <f t="shared" si="16"/>
        <v>0</v>
      </c>
      <c r="AA24" t="b">
        <f t="shared" si="17"/>
        <v>1</v>
      </c>
      <c r="AB24" t="b">
        <f t="shared" si="18"/>
        <v>0</v>
      </c>
      <c r="AC24" t="b">
        <f t="shared" si="19"/>
        <v>0</v>
      </c>
      <c r="AD24" t="b">
        <f t="shared" si="20"/>
        <v>0</v>
      </c>
      <c r="AE24" t="b">
        <f t="shared" si="21"/>
        <v>0</v>
      </c>
      <c r="AF24" t="b">
        <f t="shared" si="22"/>
        <v>0</v>
      </c>
      <c r="AG24" t="b">
        <f t="shared" si="23"/>
        <v>0</v>
      </c>
    </row>
    <row r="25" spans="1:33">
      <c r="A25" s="3" t="s">
        <v>226</v>
      </c>
      <c r="B25" s="27" t="s">
        <v>192</v>
      </c>
      <c r="C25" s="27" t="s">
        <v>192</v>
      </c>
      <c r="D25" s="27" t="s">
        <v>192</v>
      </c>
      <c r="E25" s="27" t="s">
        <v>192</v>
      </c>
      <c r="F25" s="6" t="s">
        <v>193</v>
      </c>
      <c r="H25" t="b">
        <f t="shared" si="0"/>
        <v>1</v>
      </c>
      <c r="I25" t="b">
        <f t="shared" si="1"/>
        <v>1</v>
      </c>
      <c r="J25" t="b">
        <f t="shared" si="2"/>
        <v>1</v>
      </c>
      <c r="K25" t="b">
        <f t="shared" si="3"/>
        <v>1</v>
      </c>
      <c r="L25" t="b">
        <f t="shared" si="4"/>
        <v>1</v>
      </c>
      <c r="M25" t="b">
        <f t="shared" si="5"/>
        <v>1</v>
      </c>
      <c r="N25" t="b">
        <f t="shared" si="6"/>
        <v>1</v>
      </c>
      <c r="O25" t="b">
        <f t="shared" si="7"/>
        <v>1</v>
      </c>
      <c r="P25" t="b">
        <f t="shared" si="8"/>
        <v>1</v>
      </c>
      <c r="Q25" t="b">
        <f t="shared" si="9"/>
        <v>1</v>
      </c>
      <c r="R25" t="b">
        <f t="shared" si="10"/>
        <v>1</v>
      </c>
      <c r="S25" t="b">
        <f t="shared" si="11"/>
        <v>1</v>
      </c>
      <c r="V25" t="b">
        <f t="shared" si="12"/>
        <v>1</v>
      </c>
      <c r="W25" t="b">
        <f t="shared" si="13"/>
        <v>1</v>
      </c>
      <c r="X25" t="b">
        <f t="shared" si="14"/>
        <v>1</v>
      </c>
      <c r="Y25" t="b">
        <f t="shared" si="15"/>
        <v>1</v>
      </c>
      <c r="Z25" t="b">
        <f t="shared" si="16"/>
        <v>1</v>
      </c>
      <c r="AA25" t="b">
        <f t="shared" si="17"/>
        <v>1</v>
      </c>
      <c r="AB25" t="b">
        <f t="shared" si="18"/>
        <v>1</v>
      </c>
      <c r="AC25" t="b">
        <f t="shared" si="19"/>
        <v>1</v>
      </c>
      <c r="AD25" t="b">
        <f t="shared" si="20"/>
        <v>1</v>
      </c>
      <c r="AE25" t="b">
        <f t="shared" si="21"/>
        <v>1</v>
      </c>
      <c r="AF25" t="b">
        <f t="shared" si="22"/>
        <v>1</v>
      </c>
      <c r="AG25" t="b">
        <f t="shared" si="23"/>
        <v>1</v>
      </c>
    </row>
    <row r="26" spans="1:33">
      <c r="A26" s="3" t="s">
        <v>288</v>
      </c>
      <c r="B26" s="27" t="s">
        <v>220</v>
      </c>
      <c r="C26" s="27" t="s">
        <v>220</v>
      </c>
      <c r="D26" s="27" t="s">
        <v>220</v>
      </c>
      <c r="E26" s="27" t="s">
        <v>220</v>
      </c>
      <c r="F26" s="6" t="s">
        <v>193</v>
      </c>
      <c r="H26" t="b">
        <f t="shared" si="0"/>
        <v>1</v>
      </c>
      <c r="I26" t="b">
        <f t="shared" si="1"/>
        <v>1</v>
      </c>
      <c r="J26" t="b">
        <f t="shared" si="2"/>
        <v>1</v>
      </c>
      <c r="K26" t="b">
        <f t="shared" si="3"/>
        <v>1</v>
      </c>
      <c r="L26" t="b">
        <f t="shared" si="4"/>
        <v>1</v>
      </c>
      <c r="M26" t="b">
        <f t="shared" si="5"/>
        <v>1</v>
      </c>
      <c r="N26" t="b">
        <f t="shared" si="6"/>
        <v>1</v>
      </c>
      <c r="O26" t="b">
        <f t="shared" si="7"/>
        <v>1</v>
      </c>
      <c r="P26" t="b">
        <f t="shared" si="8"/>
        <v>1</v>
      </c>
      <c r="Q26" t="b">
        <f t="shared" si="9"/>
        <v>1</v>
      </c>
      <c r="R26" t="b">
        <f t="shared" si="10"/>
        <v>1</v>
      </c>
      <c r="S26" t="b">
        <f t="shared" si="11"/>
        <v>1</v>
      </c>
      <c r="V26" t="b">
        <f t="shared" si="12"/>
        <v>1</v>
      </c>
      <c r="W26" t="b">
        <f t="shared" si="13"/>
        <v>1</v>
      </c>
      <c r="X26" t="b">
        <f t="shared" si="14"/>
        <v>1</v>
      </c>
      <c r="Y26" t="b">
        <f t="shared" si="15"/>
        <v>1</v>
      </c>
      <c r="Z26" t="b">
        <f t="shared" si="16"/>
        <v>1</v>
      </c>
      <c r="AA26" t="b">
        <f t="shared" si="17"/>
        <v>1</v>
      </c>
      <c r="AB26" t="b">
        <f t="shared" si="18"/>
        <v>1</v>
      </c>
      <c r="AC26" t="b">
        <f t="shared" si="19"/>
        <v>1</v>
      </c>
      <c r="AD26" t="b">
        <f t="shared" si="20"/>
        <v>1</v>
      </c>
      <c r="AE26" t="b">
        <f t="shared" si="21"/>
        <v>1</v>
      </c>
      <c r="AF26" t="b">
        <f t="shared" si="22"/>
        <v>1</v>
      </c>
      <c r="AG26" t="b">
        <f t="shared" si="23"/>
        <v>1</v>
      </c>
    </row>
    <row r="27" spans="1:33">
      <c r="A27" s="3" t="s">
        <v>227</v>
      </c>
      <c r="B27" s="27" t="s">
        <v>192</v>
      </c>
      <c r="C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0"/>
        <v>1</v>
      </c>
      <c r="I27" t="b">
        <f t="shared" si="1"/>
        <v>1</v>
      </c>
      <c r="J27" t="b">
        <f t="shared" si="2"/>
        <v>1</v>
      </c>
      <c r="K27" t="b">
        <f t="shared" si="3"/>
        <v>1</v>
      </c>
      <c r="L27" t="b">
        <f t="shared" si="4"/>
        <v>1</v>
      </c>
      <c r="M27" t="b">
        <f t="shared" si="5"/>
        <v>1</v>
      </c>
      <c r="N27" t="b">
        <f t="shared" si="6"/>
        <v>1</v>
      </c>
      <c r="O27" t="b">
        <f t="shared" si="7"/>
        <v>1</v>
      </c>
      <c r="P27" t="b">
        <f t="shared" si="8"/>
        <v>1</v>
      </c>
      <c r="Q27" t="b">
        <f t="shared" si="9"/>
        <v>1</v>
      </c>
      <c r="R27" t="b">
        <f t="shared" si="10"/>
        <v>1</v>
      </c>
      <c r="S27" t="b">
        <f t="shared" si="11"/>
        <v>1</v>
      </c>
      <c r="V27" t="b">
        <f t="shared" si="12"/>
        <v>1</v>
      </c>
      <c r="W27" t="b">
        <f t="shared" si="13"/>
        <v>1</v>
      </c>
      <c r="X27" t="b">
        <f t="shared" si="14"/>
        <v>1</v>
      </c>
      <c r="Y27" t="b">
        <f t="shared" si="15"/>
        <v>1</v>
      </c>
      <c r="Z27" t="b">
        <f t="shared" si="16"/>
        <v>1</v>
      </c>
      <c r="AA27" t="b">
        <f t="shared" si="17"/>
        <v>1</v>
      </c>
      <c r="AB27" t="b">
        <f t="shared" si="18"/>
        <v>1</v>
      </c>
      <c r="AC27" t="b">
        <f t="shared" si="19"/>
        <v>1</v>
      </c>
      <c r="AD27" t="b">
        <f t="shared" si="20"/>
        <v>1</v>
      </c>
      <c r="AE27" t="b">
        <f t="shared" si="21"/>
        <v>1</v>
      </c>
      <c r="AF27" t="b">
        <f t="shared" si="22"/>
        <v>1</v>
      </c>
      <c r="AG27" t="b">
        <f t="shared" si="23"/>
        <v>1</v>
      </c>
    </row>
    <row r="28" spans="1:33">
      <c r="A28" t="s">
        <v>289</v>
      </c>
      <c r="B28" s="27" t="s">
        <v>192</v>
      </c>
      <c r="E28" s="27" t="s">
        <v>192</v>
      </c>
      <c r="F28" s="6" t="s">
        <v>196</v>
      </c>
      <c r="H28" t="b">
        <f t="shared" si="0"/>
        <v>0</v>
      </c>
      <c r="I28" t="b">
        <f t="shared" si="1"/>
        <v>1</v>
      </c>
      <c r="J28" t="b">
        <f t="shared" si="2"/>
        <v>0</v>
      </c>
      <c r="K28" t="b">
        <f t="shared" si="3"/>
        <v>1</v>
      </c>
      <c r="L28" t="b">
        <f t="shared" si="4"/>
        <v>1</v>
      </c>
      <c r="M28" t="b">
        <f t="shared" si="5"/>
        <v>1</v>
      </c>
      <c r="N28" t="b">
        <f t="shared" si="6"/>
        <v>0</v>
      </c>
      <c r="O28" t="b">
        <f t="shared" si="7"/>
        <v>0</v>
      </c>
      <c r="P28" t="b">
        <f t="shared" si="8"/>
        <v>0</v>
      </c>
      <c r="Q28" t="b">
        <f t="shared" si="9"/>
        <v>1</v>
      </c>
      <c r="R28" t="b">
        <f t="shared" si="10"/>
        <v>0</v>
      </c>
      <c r="S28" t="b">
        <f t="shared" si="11"/>
        <v>1</v>
      </c>
      <c r="V28" t="b">
        <f t="shared" si="12"/>
        <v>0</v>
      </c>
      <c r="W28" t="b">
        <f t="shared" si="13"/>
        <v>0</v>
      </c>
      <c r="X28" t="b">
        <f t="shared" si="14"/>
        <v>0</v>
      </c>
      <c r="Y28" t="b">
        <f t="shared" si="15"/>
        <v>0</v>
      </c>
      <c r="Z28" t="b">
        <f t="shared" si="16"/>
        <v>0</v>
      </c>
      <c r="AA28" t="b">
        <f t="shared" si="17"/>
        <v>0</v>
      </c>
      <c r="AB28" t="b">
        <f t="shared" si="18"/>
        <v>0</v>
      </c>
      <c r="AC28" t="b">
        <f t="shared" si="19"/>
        <v>0</v>
      </c>
      <c r="AD28" t="b">
        <f t="shared" si="20"/>
        <v>0</v>
      </c>
      <c r="AE28" t="b">
        <f t="shared" si="21"/>
        <v>0</v>
      </c>
      <c r="AF28" t="b">
        <f t="shared" si="22"/>
        <v>0</v>
      </c>
      <c r="AG28" t="b">
        <f t="shared" si="23"/>
        <v>0</v>
      </c>
    </row>
    <row r="29" spans="1:33">
      <c r="A29" s="3" t="s">
        <v>231</v>
      </c>
      <c r="B29" s="27" t="s">
        <v>192</v>
      </c>
      <c r="C29" s="27" t="s">
        <v>192</v>
      </c>
      <c r="D29" s="27" t="s">
        <v>220</v>
      </c>
      <c r="E29" s="27" t="s">
        <v>220</v>
      </c>
      <c r="F29" s="6" t="s">
        <v>193</v>
      </c>
      <c r="H29" t="b">
        <f t="shared" si="0"/>
        <v>1</v>
      </c>
      <c r="I29" t="b">
        <f t="shared" si="1"/>
        <v>1</v>
      </c>
      <c r="J29" t="b">
        <f t="shared" si="2"/>
        <v>1</v>
      </c>
      <c r="K29" t="b">
        <f t="shared" si="3"/>
        <v>1</v>
      </c>
      <c r="L29" t="b">
        <f t="shared" si="4"/>
        <v>1</v>
      </c>
      <c r="M29" t="b">
        <f t="shared" si="5"/>
        <v>1</v>
      </c>
      <c r="N29" t="b">
        <f t="shared" si="6"/>
        <v>1</v>
      </c>
      <c r="O29" t="b">
        <f t="shared" si="7"/>
        <v>1</v>
      </c>
      <c r="P29" t="b">
        <f t="shared" si="8"/>
        <v>1</v>
      </c>
      <c r="Q29" t="b">
        <f t="shared" si="9"/>
        <v>1</v>
      </c>
      <c r="R29" t="b">
        <f t="shared" si="10"/>
        <v>1</v>
      </c>
      <c r="S29" t="b">
        <f t="shared" si="11"/>
        <v>1</v>
      </c>
      <c r="V29" t="b">
        <f t="shared" si="12"/>
        <v>1</v>
      </c>
      <c r="W29" t="b">
        <f t="shared" si="13"/>
        <v>1</v>
      </c>
      <c r="X29" t="b">
        <f t="shared" si="14"/>
        <v>1</v>
      </c>
      <c r="Y29" t="b">
        <f t="shared" si="15"/>
        <v>1</v>
      </c>
      <c r="Z29" t="b">
        <f t="shared" si="16"/>
        <v>1</v>
      </c>
      <c r="AA29" t="b">
        <f t="shared" si="17"/>
        <v>1</v>
      </c>
      <c r="AB29" t="b">
        <f t="shared" si="18"/>
        <v>1</v>
      </c>
      <c r="AC29" t="b">
        <f t="shared" si="19"/>
        <v>1</v>
      </c>
      <c r="AD29" t="b">
        <f t="shared" si="20"/>
        <v>1</v>
      </c>
      <c r="AE29" t="b">
        <f t="shared" si="21"/>
        <v>1</v>
      </c>
      <c r="AF29" t="b">
        <f t="shared" si="22"/>
        <v>1</v>
      </c>
      <c r="AG29" t="b">
        <f t="shared" si="23"/>
        <v>1</v>
      </c>
    </row>
    <row r="30" spans="1:33">
      <c r="A30" s="3" t="s">
        <v>290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0"/>
        <v>1</v>
      </c>
      <c r="I30" t="b">
        <f t="shared" si="1"/>
        <v>1</v>
      </c>
      <c r="J30" t="b">
        <f t="shared" si="2"/>
        <v>1</v>
      </c>
      <c r="K30" t="b">
        <f t="shared" si="3"/>
        <v>1</v>
      </c>
      <c r="L30" t="b">
        <f t="shared" si="4"/>
        <v>1</v>
      </c>
      <c r="M30" t="b">
        <f t="shared" si="5"/>
        <v>1</v>
      </c>
      <c r="N30" t="b">
        <f t="shared" si="6"/>
        <v>1</v>
      </c>
      <c r="O30" t="b">
        <f t="shared" si="7"/>
        <v>1</v>
      </c>
      <c r="P30" t="b">
        <f t="shared" si="8"/>
        <v>1</v>
      </c>
      <c r="Q30" t="b">
        <f t="shared" si="9"/>
        <v>1</v>
      </c>
      <c r="R30" t="b">
        <f t="shared" si="10"/>
        <v>1</v>
      </c>
      <c r="S30" t="b">
        <f t="shared" si="11"/>
        <v>1</v>
      </c>
      <c r="V30" t="b">
        <f t="shared" si="12"/>
        <v>1</v>
      </c>
      <c r="W30" t="b">
        <f t="shared" si="13"/>
        <v>1</v>
      </c>
      <c r="X30" t="b">
        <f t="shared" si="14"/>
        <v>1</v>
      </c>
      <c r="Y30" t="b">
        <f t="shared" si="15"/>
        <v>1</v>
      </c>
      <c r="Z30" t="b">
        <f t="shared" si="16"/>
        <v>1</v>
      </c>
      <c r="AA30" t="b">
        <f t="shared" si="17"/>
        <v>1</v>
      </c>
      <c r="AB30" t="b">
        <f t="shared" si="18"/>
        <v>1</v>
      </c>
      <c r="AC30" t="b">
        <f t="shared" si="19"/>
        <v>1</v>
      </c>
      <c r="AD30" t="b">
        <f t="shared" si="20"/>
        <v>1</v>
      </c>
      <c r="AE30" t="b">
        <f t="shared" si="21"/>
        <v>1</v>
      </c>
      <c r="AF30" t="b">
        <f t="shared" si="22"/>
        <v>1</v>
      </c>
      <c r="AG30" t="b">
        <f t="shared" si="23"/>
        <v>1</v>
      </c>
    </row>
    <row r="31" spans="1:33">
      <c r="A31" t="s">
        <v>291</v>
      </c>
      <c r="C31" s="27" t="s">
        <v>192</v>
      </c>
      <c r="F31" s="6" t="s">
        <v>196</v>
      </c>
      <c r="H31" t="b">
        <f t="shared" si="0"/>
        <v>0</v>
      </c>
      <c r="I31" t="b">
        <f t="shared" si="1"/>
        <v>1</v>
      </c>
      <c r="J31" t="b">
        <f t="shared" si="2"/>
        <v>0</v>
      </c>
      <c r="K31" t="b">
        <f t="shared" si="3"/>
        <v>0</v>
      </c>
      <c r="L31" t="b">
        <f t="shared" si="4"/>
        <v>0</v>
      </c>
      <c r="M31" t="b">
        <f t="shared" si="5"/>
        <v>0</v>
      </c>
      <c r="N31" t="b">
        <f t="shared" si="6"/>
        <v>0</v>
      </c>
      <c r="O31" t="b">
        <f t="shared" si="7"/>
        <v>1</v>
      </c>
      <c r="P31" t="b">
        <f t="shared" si="8"/>
        <v>0</v>
      </c>
      <c r="Q31" t="b">
        <f t="shared" si="9"/>
        <v>1</v>
      </c>
      <c r="R31" t="b">
        <f t="shared" si="10"/>
        <v>0</v>
      </c>
      <c r="S31" t="b">
        <f t="shared" si="11"/>
        <v>0</v>
      </c>
      <c r="V31" t="b">
        <f t="shared" si="12"/>
        <v>0</v>
      </c>
      <c r="W31" t="b">
        <f t="shared" si="13"/>
        <v>0</v>
      </c>
      <c r="X31" t="b">
        <f t="shared" si="14"/>
        <v>0</v>
      </c>
      <c r="Y31" t="b">
        <f t="shared" si="15"/>
        <v>0</v>
      </c>
      <c r="Z31" t="b">
        <f t="shared" si="16"/>
        <v>0</v>
      </c>
      <c r="AA31" t="b">
        <f t="shared" si="17"/>
        <v>0</v>
      </c>
      <c r="AB31" t="b">
        <f t="shared" si="18"/>
        <v>0</v>
      </c>
      <c r="AC31" t="b">
        <f t="shared" si="19"/>
        <v>0</v>
      </c>
      <c r="AD31" t="b">
        <f t="shared" si="20"/>
        <v>0</v>
      </c>
      <c r="AE31" t="b">
        <f t="shared" si="21"/>
        <v>0</v>
      </c>
      <c r="AF31" t="b">
        <f t="shared" si="22"/>
        <v>0</v>
      </c>
      <c r="AG31" t="b">
        <f t="shared" si="23"/>
        <v>0</v>
      </c>
    </row>
    <row r="32" spans="1:33">
      <c r="A32" s="3" t="s">
        <v>233</v>
      </c>
      <c r="B32" s="27" t="s">
        <v>192</v>
      </c>
      <c r="C32" s="27" t="s">
        <v>192</v>
      </c>
      <c r="D32" s="27" t="s">
        <v>192</v>
      </c>
      <c r="E32" s="27" t="s">
        <v>192</v>
      </c>
      <c r="F32" s="6" t="s">
        <v>193</v>
      </c>
      <c r="H32" t="b">
        <f t="shared" si="0"/>
        <v>1</v>
      </c>
      <c r="I32" t="b">
        <f t="shared" si="1"/>
        <v>1</v>
      </c>
      <c r="J32" t="b">
        <f t="shared" si="2"/>
        <v>1</v>
      </c>
      <c r="K32" t="b">
        <f t="shared" si="3"/>
        <v>1</v>
      </c>
      <c r="L32" t="b">
        <f t="shared" si="4"/>
        <v>1</v>
      </c>
      <c r="M32" t="b">
        <f t="shared" si="5"/>
        <v>1</v>
      </c>
      <c r="N32" t="b">
        <f t="shared" si="6"/>
        <v>1</v>
      </c>
      <c r="O32" t="b">
        <f t="shared" si="7"/>
        <v>1</v>
      </c>
      <c r="P32" t="b">
        <f t="shared" si="8"/>
        <v>1</v>
      </c>
      <c r="Q32" t="b">
        <f t="shared" si="9"/>
        <v>1</v>
      </c>
      <c r="R32" t="b">
        <f t="shared" si="10"/>
        <v>1</v>
      </c>
      <c r="S32" t="b">
        <f t="shared" si="11"/>
        <v>1</v>
      </c>
      <c r="V32" t="b">
        <f t="shared" si="12"/>
        <v>1</v>
      </c>
      <c r="W32" t="b">
        <f t="shared" si="13"/>
        <v>1</v>
      </c>
      <c r="X32" t="b">
        <f t="shared" si="14"/>
        <v>1</v>
      </c>
      <c r="Y32" t="b">
        <f t="shared" si="15"/>
        <v>1</v>
      </c>
      <c r="Z32" t="b">
        <f t="shared" si="16"/>
        <v>1</v>
      </c>
      <c r="AA32" t="b">
        <f t="shared" si="17"/>
        <v>1</v>
      </c>
      <c r="AB32" t="b">
        <f t="shared" si="18"/>
        <v>1</v>
      </c>
      <c r="AC32" t="b">
        <f t="shared" si="19"/>
        <v>1</v>
      </c>
      <c r="AD32" t="b">
        <f t="shared" si="20"/>
        <v>1</v>
      </c>
      <c r="AE32" t="b">
        <f t="shared" si="21"/>
        <v>1</v>
      </c>
      <c r="AF32" t="b">
        <f t="shared" si="22"/>
        <v>1</v>
      </c>
      <c r="AG32" t="b">
        <f t="shared" si="23"/>
        <v>1</v>
      </c>
    </row>
    <row r="33" spans="1:33">
      <c r="A33" s="3" t="s">
        <v>234</v>
      </c>
      <c r="C33" s="27" t="s">
        <v>192</v>
      </c>
      <c r="D33" s="27" t="s">
        <v>192</v>
      </c>
      <c r="E33" s="27" t="s">
        <v>192</v>
      </c>
      <c r="F33" s="6" t="s">
        <v>193</v>
      </c>
      <c r="H33" t="b">
        <f t="shared" si="0"/>
        <v>0</v>
      </c>
      <c r="I33" t="b">
        <f t="shared" si="1"/>
        <v>1</v>
      </c>
      <c r="J33" t="b">
        <f t="shared" si="2"/>
        <v>0</v>
      </c>
      <c r="K33" t="b">
        <f t="shared" si="3"/>
        <v>1</v>
      </c>
      <c r="L33" t="b">
        <f t="shared" si="4"/>
        <v>0</v>
      </c>
      <c r="M33" t="b">
        <f t="shared" si="5"/>
        <v>1</v>
      </c>
      <c r="N33" t="b">
        <f t="shared" si="6"/>
        <v>1</v>
      </c>
      <c r="O33" t="b">
        <f t="shared" si="7"/>
        <v>1</v>
      </c>
      <c r="P33" t="b">
        <f t="shared" si="8"/>
        <v>1</v>
      </c>
      <c r="Q33" t="b">
        <f t="shared" si="9"/>
        <v>1</v>
      </c>
      <c r="R33" t="b">
        <f t="shared" si="10"/>
        <v>1</v>
      </c>
      <c r="S33" t="b">
        <f t="shared" si="11"/>
        <v>1</v>
      </c>
      <c r="V33" t="b">
        <f t="shared" si="12"/>
        <v>0</v>
      </c>
      <c r="W33" t="b">
        <f t="shared" si="13"/>
        <v>1</v>
      </c>
      <c r="X33" t="b">
        <f t="shared" si="14"/>
        <v>0</v>
      </c>
      <c r="Y33" t="b">
        <f t="shared" si="15"/>
        <v>1</v>
      </c>
      <c r="Z33" t="b">
        <f t="shared" si="16"/>
        <v>0</v>
      </c>
      <c r="AA33" t="b">
        <f t="shared" si="17"/>
        <v>1</v>
      </c>
      <c r="AB33" t="b">
        <f t="shared" si="18"/>
        <v>1</v>
      </c>
      <c r="AC33" t="b">
        <f t="shared" si="19"/>
        <v>1</v>
      </c>
      <c r="AD33" t="b">
        <f t="shared" si="20"/>
        <v>1</v>
      </c>
      <c r="AE33" t="b">
        <f t="shared" si="21"/>
        <v>1</v>
      </c>
      <c r="AF33" t="b">
        <f t="shared" si="22"/>
        <v>1</v>
      </c>
      <c r="AG33" t="b">
        <f t="shared" si="23"/>
        <v>1</v>
      </c>
    </row>
    <row r="34" spans="1:33">
      <c r="A34" s="3" t="s">
        <v>235</v>
      </c>
      <c r="D34" s="27" t="s">
        <v>192</v>
      </c>
      <c r="E34" s="27" t="s">
        <v>192</v>
      </c>
      <c r="F34" s="6" t="s">
        <v>193</v>
      </c>
      <c r="H34" t="b">
        <f t="shared" si="0"/>
        <v>0</v>
      </c>
      <c r="I34" t="b">
        <f t="shared" si="1"/>
        <v>0</v>
      </c>
      <c r="J34" t="b">
        <f t="shared" si="2"/>
        <v>0</v>
      </c>
      <c r="K34" t="b">
        <f t="shared" si="3"/>
        <v>1</v>
      </c>
      <c r="L34" t="b">
        <f t="shared" si="4"/>
        <v>0</v>
      </c>
      <c r="M34" t="b">
        <f t="shared" si="5"/>
        <v>1</v>
      </c>
      <c r="N34" t="b">
        <f t="shared" si="6"/>
        <v>0</v>
      </c>
      <c r="O34" t="b">
        <f t="shared" si="7"/>
        <v>1</v>
      </c>
      <c r="P34" t="b">
        <f t="shared" si="8"/>
        <v>0</v>
      </c>
      <c r="Q34" t="b">
        <f t="shared" si="9"/>
        <v>1</v>
      </c>
      <c r="R34" t="b">
        <f t="shared" si="10"/>
        <v>1</v>
      </c>
      <c r="S34" t="b">
        <f t="shared" si="11"/>
        <v>1</v>
      </c>
      <c r="V34" t="b">
        <f t="shared" si="12"/>
        <v>0</v>
      </c>
      <c r="W34" t="b">
        <f t="shared" si="13"/>
        <v>0</v>
      </c>
      <c r="X34" t="b">
        <f t="shared" si="14"/>
        <v>0</v>
      </c>
      <c r="Y34" t="b">
        <f t="shared" si="15"/>
        <v>1</v>
      </c>
      <c r="Z34" t="b">
        <f t="shared" si="16"/>
        <v>0</v>
      </c>
      <c r="AA34" t="b">
        <f t="shared" si="17"/>
        <v>1</v>
      </c>
      <c r="AB34" t="b">
        <f t="shared" si="18"/>
        <v>0</v>
      </c>
      <c r="AC34" t="b">
        <f t="shared" si="19"/>
        <v>1</v>
      </c>
      <c r="AD34" t="b">
        <f t="shared" si="20"/>
        <v>0</v>
      </c>
      <c r="AE34" t="b">
        <f t="shared" si="21"/>
        <v>1</v>
      </c>
      <c r="AF34" t="b">
        <f t="shared" si="22"/>
        <v>1</v>
      </c>
      <c r="AG34" t="b">
        <f t="shared" si="23"/>
        <v>1</v>
      </c>
    </row>
    <row r="35" spans="1:33">
      <c r="A35" s="3" t="s">
        <v>292</v>
      </c>
      <c r="B35" s="27" t="s">
        <v>192</v>
      </c>
      <c r="E35" s="27" t="s">
        <v>192</v>
      </c>
      <c r="F35" s="6" t="s">
        <v>193</v>
      </c>
      <c r="H35" t="b">
        <f t="shared" si="0"/>
        <v>0</v>
      </c>
      <c r="I35" t="b">
        <f t="shared" si="1"/>
        <v>1</v>
      </c>
      <c r="J35" t="b">
        <f t="shared" si="2"/>
        <v>0</v>
      </c>
      <c r="K35" t="b">
        <f t="shared" si="3"/>
        <v>1</v>
      </c>
      <c r="L35" t="b">
        <f t="shared" si="4"/>
        <v>1</v>
      </c>
      <c r="M35" t="b">
        <f t="shared" si="5"/>
        <v>1</v>
      </c>
      <c r="N35" t="b">
        <f t="shared" si="6"/>
        <v>0</v>
      </c>
      <c r="O35" t="b">
        <f t="shared" si="7"/>
        <v>0</v>
      </c>
      <c r="P35" t="b">
        <f t="shared" si="8"/>
        <v>0</v>
      </c>
      <c r="Q35" t="b">
        <f t="shared" si="9"/>
        <v>1</v>
      </c>
      <c r="R35" t="b">
        <f t="shared" si="10"/>
        <v>0</v>
      </c>
      <c r="S35" t="b">
        <f t="shared" si="11"/>
        <v>1</v>
      </c>
      <c r="V35" t="b">
        <f t="shared" si="12"/>
        <v>0</v>
      </c>
      <c r="W35" t="b">
        <f t="shared" si="13"/>
        <v>1</v>
      </c>
      <c r="X35" t="b">
        <f t="shared" si="14"/>
        <v>0</v>
      </c>
      <c r="Y35" t="b">
        <f t="shared" si="15"/>
        <v>1</v>
      </c>
      <c r="Z35" t="b">
        <f t="shared" si="16"/>
        <v>1</v>
      </c>
      <c r="AA35" t="b">
        <f t="shared" si="17"/>
        <v>1</v>
      </c>
      <c r="AB35" t="b">
        <f t="shared" si="18"/>
        <v>0</v>
      </c>
      <c r="AC35" t="b">
        <f t="shared" si="19"/>
        <v>0</v>
      </c>
      <c r="AD35" t="b">
        <f t="shared" si="20"/>
        <v>0</v>
      </c>
      <c r="AE35" t="b">
        <f t="shared" si="21"/>
        <v>1</v>
      </c>
      <c r="AF35" t="b">
        <f t="shared" si="22"/>
        <v>0</v>
      </c>
      <c r="AG35" t="b">
        <f t="shared" si="23"/>
        <v>1</v>
      </c>
    </row>
    <row r="36" spans="1:33">
      <c r="A36" s="3" t="s">
        <v>236</v>
      </c>
      <c r="B36" s="27" t="s">
        <v>192</v>
      </c>
      <c r="F36" s="6" t="s">
        <v>193</v>
      </c>
      <c r="H36" t="b">
        <f t="shared" si="0"/>
        <v>0</v>
      </c>
      <c r="I36" t="b">
        <f t="shared" si="1"/>
        <v>1</v>
      </c>
      <c r="J36" t="b">
        <f t="shared" si="2"/>
        <v>0</v>
      </c>
      <c r="K36" t="b">
        <f t="shared" si="3"/>
        <v>1</v>
      </c>
      <c r="L36" t="b">
        <f t="shared" si="4"/>
        <v>0</v>
      </c>
      <c r="M36" t="b">
        <f t="shared" si="5"/>
        <v>1</v>
      </c>
      <c r="N36" t="b">
        <f t="shared" si="6"/>
        <v>0</v>
      </c>
      <c r="O36" t="b">
        <f t="shared" si="7"/>
        <v>0</v>
      </c>
      <c r="P36" t="b">
        <f t="shared" si="8"/>
        <v>0</v>
      </c>
      <c r="Q36" t="b">
        <f t="shared" si="9"/>
        <v>0</v>
      </c>
      <c r="R36" t="b">
        <f t="shared" si="10"/>
        <v>0</v>
      </c>
      <c r="S36" t="b">
        <f t="shared" si="11"/>
        <v>0</v>
      </c>
      <c r="V36" t="b">
        <f t="shared" si="12"/>
        <v>0</v>
      </c>
      <c r="W36" t="b">
        <f t="shared" si="13"/>
        <v>1</v>
      </c>
      <c r="X36" t="b">
        <f t="shared" si="14"/>
        <v>0</v>
      </c>
      <c r="Y36" t="b">
        <f t="shared" si="15"/>
        <v>1</v>
      </c>
      <c r="Z36" t="b">
        <f t="shared" si="16"/>
        <v>0</v>
      </c>
      <c r="AA36" t="b">
        <f t="shared" si="17"/>
        <v>1</v>
      </c>
      <c r="AB36" t="b">
        <f t="shared" si="18"/>
        <v>0</v>
      </c>
      <c r="AC36" t="b">
        <f t="shared" si="19"/>
        <v>0</v>
      </c>
      <c r="AD36" t="b">
        <f t="shared" si="20"/>
        <v>0</v>
      </c>
      <c r="AE36" t="b">
        <f t="shared" si="21"/>
        <v>0</v>
      </c>
      <c r="AF36" t="b">
        <f t="shared" si="22"/>
        <v>0</v>
      </c>
      <c r="AG36" t="b">
        <f t="shared" si="23"/>
        <v>0</v>
      </c>
    </row>
    <row r="37" spans="1:33">
      <c r="A37" s="3" t="s">
        <v>237</v>
      </c>
      <c r="B37" s="27" t="s">
        <v>192</v>
      </c>
      <c r="D37" s="27" t="s">
        <v>192</v>
      </c>
      <c r="E37" s="27" t="s">
        <v>192</v>
      </c>
      <c r="F37" s="6" t="s">
        <v>193</v>
      </c>
      <c r="H37" t="b">
        <f t="shared" si="0"/>
        <v>0</v>
      </c>
      <c r="I37" t="b">
        <f t="shared" si="1"/>
        <v>1</v>
      </c>
      <c r="J37" t="b">
        <f t="shared" si="2"/>
        <v>1</v>
      </c>
      <c r="K37" t="b">
        <f t="shared" si="3"/>
        <v>1</v>
      </c>
      <c r="L37" t="b">
        <f t="shared" si="4"/>
        <v>1</v>
      </c>
      <c r="M37" t="b">
        <f t="shared" si="5"/>
        <v>1</v>
      </c>
      <c r="N37" t="b">
        <f t="shared" si="6"/>
        <v>0</v>
      </c>
      <c r="O37" t="b">
        <f t="shared" si="7"/>
        <v>1</v>
      </c>
      <c r="P37" t="b">
        <f t="shared" si="8"/>
        <v>0</v>
      </c>
      <c r="Q37" t="b">
        <f t="shared" si="9"/>
        <v>1</v>
      </c>
      <c r="R37" t="b">
        <f t="shared" si="10"/>
        <v>1</v>
      </c>
      <c r="S37" t="b">
        <f t="shared" si="11"/>
        <v>1</v>
      </c>
      <c r="V37" t="b">
        <f t="shared" si="12"/>
        <v>0</v>
      </c>
      <c r="W37" t="b">
        <f t="shared" si="13"/>
        <v>1</v>
      </c>
      <c r="X37" t="b">
        <f t="shared" si="14"/>
        <v>1</v>
      </c>
      <c r="Y37" t="b">
        <f t="shared" si="15"/>
        <v>1</v>
      </c>
      <c r="Z37" t="b">
        <f t="shared" si="16"/>
        <v>1</v>
      </c>
      <c r="AA37" t="b">
        <f t="shared" si="17"/>
        <v>1</v>
      </c>
      <c r="AB37" t="b">
        <f t="shared" si="18"/>
        <v>0</v>
      </c>
      <c r="AC37" t="b">
        <f t="shared" si="19"/>
        <v>1</v>
      </c>
      <c r="AD37" t="b">
        <f t="shared" si="20"/>
        <v>0</v>
      </c>
      <c r="AE37" t="b">
        <f t="shared" si="21"/>
        <v>1</v>
      </c>
      <c r="AF37" t="b">
        <f t="shared" si="22"/>
        <v>1</v>
      </c>
      <c r="AG37" t="b">
        <f t="shared" si="23"/>
        <v>1</v>
      </c>
    </row>
    <row r="38" spans="1:33">
      <c r="A38" s="3" t="s">
        <v>238</v>
      </c>
      <c r="D38" s="27" t="s">
        <v>192</v>
      </c>
      <c r="F38" s="6" t="s">
        <v>193</v>
      </c>
      <c r="H38" t="b">
        <f t="shared" si="0"/>
        <v>0</v>
      </c>
      <c r="I38" t="b">
        <f t="shared" si="1"/>
        <v>0</v>
      </c>
      <c r="J38" t="b">
        <f t="shared" si="2"/>
        <v>0</v>
      </c>
      <c r="K38" t="b">
        <f t="shared" si="3"/>
        <v>1</v>
      </c>
      <c r="L38" t="b">
        <f t="shared" si="4"/>
        <v>0</v>
      </c>
      <c r="M38" t="b">
        <f t="shared" si="5"/>
        <v>0</v>
      </c>
      <c r="N38" t="b">
        <f t="shared" si="6"/>
        <v>0</v>
      </c>
      <c r="O38" t="b">
        <f t="shared" si="7"/>
        <v>1</v>
      </c>
      <c r="P38" t="b">
        <f t="shared" si="8"/>
        <v>0</v>
      </c>
      <c r="Q38" t="b">
        <f t="shared" si="9"/>
        <v>0</v>
      </c>
      <c r="R38" t="b">
        <f t="shared" si="10"/>
        <v>0</v>
      </c>
      <c r="S38" t="b">
        <f t="shared" si="11"/>
        <v>1</v>
      </c>
      <c r="V38" t="b">
        <f t="shared" si="12"/>
        <v>0</v>
      </c>
      <c r="W38" t="b">
        <f t="shared" si="13"/>
        <v>0</v>
      </c>
      <c r="X38" t="b">
        <f t="shared" si="14"/>
        <v>0</v>
      </c>
      <c r="Y38" t="b">
        <f t="shared" si="15"/>
        <v>1</v>
      </c>
      <c r="Z38" t="b">
        <f t="shared" si="16"/>
        <v>0</v>
      </c>
      <c r="AA38" t="b">
        <f t="shared" si="17"/>
        <v>0</v>
      </c>
      <c r="AB38" t="b">
        <f t="shared" si="18"/>
        <v>0</v>
      </c>
      <c r="AC38" t="b">
        <f t="shared" si="19"/>
        <v>1</v>
      </c>
      <c r="AD38" t="b">
        <f t="shared" si="20"/>
        <v>0</v>
      </c>
      <c r="AE38" t="b">
        <f t="shared" si="21"/>
        <v>0</v>
      </c>
      <c r="AF38" t="b">
        <f t="shared" si="22"/>
        <v>0</v>
      </c>
      <c r="AG38" t="b">
        <f t="shared" si="23"/>
        <v>1</v>
      </c>
    </row>
    <row r="39" spans="1:33">
      <c r="A39" t="s">
        <v>293</v>
      </c>
      <c r="C39" s="27" t="s">
        <v>192</v>
      </c>
      <c r="F39" s="6" t="s">
        <v>196</v>
      </c>
      <c r="H39" t="b">
        <f t="shared" si="0"/>
        <v>0</v>
      </c>
      <c r="I39" t="b">
        <f t="shared" si="1"/>
        <v>1</v>
      </c>
      <c r="J39" t="b">
        <f t="shared" si="2"/>
        <v>0</v>
      </c>
      <c r="K39" t="b">
        <f t="shared" si="3"/>
        <v>0</v>
      </c>
      <c r="L39" t="b">
        <f t="shared" si="4"/>
        <v>0</v>
      </c>
      <c r="M39" t="b">
        <f t="shared" si="5"/>
        <v>0</v>
      </c>
      <c r="N39" t="b">
        <f t="shared" si="6"/>
        <v>0</v>
      </c>
      <c r="O39" t="b">
        <f t="shared" si="7"/>
        <v>1</v>
      </c>
      <c r="P39" t="b">
        <f t="shared" si="8"/>
        <v>0</v>
      </c>
      <c r="Q39" t="b">
        <f t="shared" si="9"/>
        <v>1</v>
      </c>
      <c r="R39" t="b">
        <f t="shared" si="10"/>
        <v>0</v>
      </c>
      <c r="S39" t="b">
        <f t="shared" si="11"/>
        <v>0</v>
      </c>
      <c r="V39" t="b">
        <f t="shared" si="12"/>
        <v>0</v>
      </c>
      <c r="W39" t="b">
        <f t="shared" si="13"/>
        <v>0</v>
      </c>
      <c r="X39" t="b">
        <f t="shared" si="14"/>
        <v>0</v>
      </c>
      <c r="Y39" t="b">
        <f t="shared" si="15"/>
        <v>0</v>
      </c>
      <c r="Z39" t="b">
        <f t="shared" si="16"/>
        <v>0</v>
      </c>
      <c r="AA39" t="b">
        <f t="shared" si="17"/>
        <v>0</v>
      </c>
      <c r="AB39" t="b">
        <f t="shared" si="18"/>
        <v>0</v>
      </c>
      <c r="AC39" t="b">
        <f t="shared" si="19"/>
        <v>0</v>
      </c>
      <c r="AD39" t="b">
        <f t="shared" si="20"/>
        <v>0</v>
      </c>
      <c r="AE39" t="b">
        <f t="shared" si="21"/>
        <v>0</v>
      </c>
      <c r="AF39" t="b">
        <f t="shared" si="22"/>
        <v>0</v>
      </c>
      <c r="AG39" t="b">
        <f t="shared" si="23"/>
        <v>0</v>
      </c>
    </row>
    <row r="40" spans="1:33">
      <c r="A40" t="s">
        <v>294</v>
      </c>
      <c r="D40" s="27" t="s">
        <v>192</v>
      </c>
      <c r="F40" s="6" t="s">
        <v>196</v>
      </c>
      <c r="H40" t="b">
        <f t="shared" si="0"/>
        <v>0</v>
      </c>
      <c r="I40" t="b">
        <f t="shared" si="1"/>
        <v>0</v>
      </c>
      <c r="J40" t="b">
        <f t="shared" si="2"/>
        <v>0</v>
      </c>
      <c r="K40" t="b">
        <f t="shared" si="3"/>
        <v>1</v>
      </c>
      <c r="L40" t="b">
        <f t="shared" si="4"/>
        <v>0</v>
      </c>
      <c r="M40" t="b">
        <f t="shared" si="5"/>
        <v>0</v>
      </c>
      <c r="N40" t="b">
        <f t="shared" si="6"/>
        <v>0</v>
      </c>
      <c r="O40" t="b">
        <f t="shared" si="7"/>
        <v>1</v>
      </c>
      <c r="P40" t="b">
        <f t="shared" si="8"/>
        <v>0</v>
      </c>
      <c r="Q40" t="b">
        <f t="shared" si="9"/>
        <v>0</v>
      </c>
      <c r="R40" t="b">
        <f t="shared" si="10"/>
        <v>0</v>
      </c>
      <c r="S40" t="b">
        <f t="shared" si="11"/>
        <v>1</v>
      </c>
      <c r="V40" t="b">
        <f t="shared" si="12"/>
        <v>0</v>
      </c>
      <c r="W40" t="b">
        <f t="shared" si="13"/>
        <v>0</v>
      </c>
      <c r="X40" t="b">
        <f t="shared" si="14"/>
        <v>0</v>
      </c>
      <c r="Y40" t="b">
        <f t="shared" si="15"/>
        <v>0</v>
      </c>
      <c r="Z40" t="b">
        <f t="shared" si="16"/>
        <v>0</v>
      </c>
      <c r="AA40" t="b">
        <f t="shared" si="17"/>
        <v>0</v>
      </c>
      <c r="AB40" t="b">
        <f t="shared" si="18"/>
        <v>0</v>
      </c>
      <c r="AC40" t="b">
        <f t="shared" si="19"/>
        <v>0</v>
      </c>
      <c r="AD40" t="b">
        <f t="shared" si="20"/>
        <v>0</v>
      </c>
      <c r="AE40" t="b">
        <f t="shared" si="21"/>
        <v>0</v>
      </c>
      <c r="AF40" t="b">
        <f t="shared" si="22"/>
        <v>0</v>
      </c>
      <c r="AG40" t="b">
        <f t="shared" si="23"/>
        <v>0</v>
      </c>
    </row>
    <row r="41" spans="1:33">
      <c r="A41" t="s">
        <v>295</v>
      </c>
      <c r="D41" s="27" t="s">
        <v>192</v>
      </c>
      <c r="F41" s="6" t="s">
        <v>196</v>
      </c>
      <c r="H41" t="b">
        <f t="shared" si="0"/>
        <v>0</v>
      </c>
      <c r="I41" t="b">
        <f t="shared" si="1"/>
        <v>0</v>
      </c>
      <c r="J41" t="b">
        <f t="shared" si="2"/>
        <v>0</v>
      </c>
      <c r="K41" t="b">
        <f t="shared" si="3"/>
        <v>1</v>
      </c>
      <c r="L41" t="b">
        <f t="shared" si="4"/>
        <v>0</v>
      </c>
      <c r="M41" t="b">
        <f t="shared" si="5"/>
        <v>0</v>
      </c>
      <c r="N41" t="b">
        <f t="shared" si="6"/>
        <v>0</v>
      </c>
      <c r="O41" t="b">
        <f t="shared" si="7"/>
        <v>1</v>
      </c>
      <c r="P41" t="b">
        <f t="shared" si="8"/>
        <v>0</v>
      </c>
      <c r="Q41" t="b">
        <f t="shared" si="9"/>
        <v>0</v>
      </c>
      <c r="R41" t="b">
        <f t="shared" si="10"/>
        <v>0</v>
      </c>
      <c r="S41" t="b">
        <f t="shared" si="11"/>
        <v>1</v>
      </c>
      <c r="V41" t="b">
        <f t="shared" si="12"/>
        <v>0</v>
      </c>
      <c r="W41" t="b">
        <f t="shared" si="13"/>
        <v>0</v>
      </c>
      <c r="X41" t="b">
        <f t="shared" si="14"/>
        <v>0</v>
      </c>
      <c r="Y41" t="b">
        <f t="shared" si="15"/>
        <v>0</v>
      </c>
      <c r="Z41" t="b">
        <f t="shared" si="16"/>
        <v>0</v>
      </c>
      <c r="AA41" t="b">
        <f t="shared" si="17"/>
        <v>0</v>
      </c>
      <c r="AB41" t="b">
        <f t="shared" si="18"/>
        <v>0</v>
      </c>
      <c r="AC41" t="b">
        <f t="shared" si="19"/>
        <v>0</v>
      </c>
      <c r="AD41" t="b">
        <f t="shared" si="20"/>
        <v>0</v>
      </c>
      <c r="AE41" t="b">
        <f t="shared" si="21"/>
        <v>0</v>
      </c>
      <c r="AF41" t="b">
        <f t="shared" si="22"/>
        <v>0</v>
      </c>
      <c r="AG41" t="b">
        <f t="shared" si="23"/>
        <v>0</v>
      </c>
    </row>
    <row r="42" spans="1:33">
      <c r="A42" t="s">
        <v>296</v>
      </c>
      <c r="D42" s="27" t="s">
        <v>192</v>
      </c>
      <c r="F42" s="6" t="s">
        <v>196</v>
      </c>
      <c r="H42" t="b">
        <f t="shared" si="0"/>
        <v>0</v>
      </c>
      <c r="I42" t="b">
        <f t="shared" si="1"/>
        <v>0</v>
      </c>
      <c r="J42" t="b">
        <f t="shared" si="2"/>
        <v>0</v>
      </c>
      <c r="K42" t="b">
        <f t="shared" si="3"/>
        <v>1</v>
      </c>
      <c r="L42" t="b">
        <f t="shared" si="4"/>
        <v>0</v>
      </c>
      <c r="M42" t="b">
        <f t="shared" si="5"/>
        <v>0</v>
      </c>
      <c r="N42" t="b">
        <f t="shared" si="6"/>
        <v>0</v>
      </c>
      <c r="O42" t="b">
        <f t="shared" si="7"/>
        <v>1</v>
      </c>
      <c r="P42" t="b">
        <f t="shared" si="8"/>
        <v>0</v>
      </c>
      <c r="Q42" t="b">
        <f t="shared" si="9"/>
        <v>0</v>
      </c>
      <c r="R42" t="b">
        <f t="shared" si="10"/>
        <v>0</v>
      </c>
      <c r="S42" t="b">
        <f t="shared" si="11"/>
        <v>1</v>
      </c>
      <c r="V42" t="b">
        <f t="shared" si="12"/>
        <v>0</v>
      </c>
      <c r="W42" t="b">
        <f t="shared" si="13"/>
        <v>0</v>
      </c>
      <c r="X42" t="b">
        <f t="shared" si="14"/>
        <v>0</v>
      </c>
      <c r="Y42" t="b">
        <f t="shared" si="15"/>
        <v>0</v>
      </c>
      <c r="Z42" t="b">
        <f t="shared" si="16"/>
        <v>0</v>
      </c>
      <c r="AA42" t="b">
        <f t="shared" si="17"/>
        <v>0</v>
      </c>
      <c r="AB42" t="b">
        <f t="shared" si="18"/>
        <v>0</v>
      </c>
      <c r="AC42" t="b">
        <f t="shared" si="19"/>
        <v>0</v>
      </c>
      <c r="AD42" t="b">
        <f t="shared" si="20"/>
        <v>0</v>
      </c>
      <c r="AE42" t="b">
        <f t="shared" si="21"/>
        <v>0</v>
      </c>
      <c r="AF42" t="b">
        <f t="shared" si="22"/>
        <v>0</v>
      </c>
      <c r="AG42" t="b">
        <f t="shared" si="23"/>
        <v>0</v>
      </c>
    </row>
    <row r="43" spans="1:33">
      <c r="A43" s="3" t="s">
        <v>240</v>
      </c>
      <c r="B43" s="27" t="s">
        <v>192</v>
      </c>
      <c r="C43" s="27" t="s">
        <v>192</v>
      </c>
      <c r="D43" s="27" t="s">
        <v>192</v>
      </c>
      <c r="E43" s="27" t="s">
        <v>192</v>
      </c>
      <c r="F43" s="6" t="s">
        <v>193</v>
      </c>
      <c r="H43" t="b">
        <f t="shared" si="0"/>
        <v>1</v>
      </c>
      <c r="I43" t="b">
        <f t="shared" si="1"/>
        <v>1</v>
      </c>
      <c r="J43" t="b">
        <f t="shared" si="2"/>
        <v>1</v>
      </c>
      <c r="K43" t="b">
        <f t="shared" si="3"/>
        <v>1</v>
      </c>
      <c r="L43" t="b">
        <f t="shared" si="4"/>
        <v>1</v>
      </c>
      <c r="M43" t="b">
        <f t="shared" si="5"/>
        <v>1</v>
      </c>
      <c r="N43" t="b">
        <f t="shared" si="6"/>
        <v>1</v>
      </c>
      <c r="O43" t="b">
        <f t="shared" si="7"/>
        <v>1</v>
      </c>
      <c r="P43" t="b">
        <f t="shared" si="8"/>
        <v>1</v>
      </c>
      <c r="Q43" t="b">
        <f t="shared" si="9"/>
        <v>1</v>
      </c>
      <c r="R43" t="b">
        <f t="shared" si="10"/>
        <v>1</v>
      </c>
      <c r="S43" t="b">
        <f t="shared" si="11"/>
        <v>1</v>
      </c>
      <c r="V43" t="b">
        <f t="shared" si="12"/>
        <v>1</v>
      </c>
      <c r="W43" t="b">
        <f t="shared" si="13"/>
        <v>1</v>
      </c>
      <c r="X43" t="b">
        <f t="shared" si="14"/>
        <v>1</v>
      </c>
      <c r="Y43" t="b">
        <f t="shared" si="15"/>
        <v>1</v>
      </c>
      <c r="Z43" t="b">
        <f t="shared" si="16"/>
        <v>1</v>
      </c>
      <c r="AA43" t="b">
        <f t="shared" si="17"/>
        <v>1</v>
      </c>
      <c r="AB43" t="b">
        <f t="shared" si="18"/>
        <v>1</v>
      </c>
      <c r="AC43" t="b">
        <f t="shared" si="19"/>
        <v>1</v>
      </c>
      <c r="AD43" t="b">
        <f t="shared" si="20"/>
        <v>1</v>
      </c>
      <c r="AE43" t="b">
        <f t="shared" si="21"/>
        <v>1</v>
      </c>
      <c r="AF43" t="b">
        <f t="shared" si="22"/>
        <v>1</v>
      </c>
      <c r="AG43" t="b">
        <f t="shared" si="23"/>
        <v>1</v>
      </c>
    </row>
    <row r="44" spans="1:33">
      <c r="A44" s="3" t="s">
        <v>241</v>
      </c>
      <c r="B44" s="27" t="s">
        <v>192</v>
      </c>
      <c r="C44" s="27" t="s">
        <v>192</v>
      </c>
      <c r="D44" s="27" t="s">
        <v>192</v>
      </c>
      <c r="E44" s="27" t="s">
        <v>192</v>
      </c>
      <c r="F44" s="6" t="s">
        <v>193</v>
      </c>
      <c r="H44" t="b">
        <f t="shared" si="0"/>
        <v>1</v>
      </c>
      <c r="I44" t="b">
        <f t="shared" si="1"/>
        <v>1</v>
      </c>
      <c r="J44" t="b">
        <f t="shared" si="2"/>
        <v>1</v>
      </c>
      <c r="K44" t="b">
        <f t="shared" si="3"/>
        <v>1</v>
      </c>
      <c r="L44" t="b">
        <f t="shared" si="4"/>
        <v>1</v>
      </c>
      <c r="M44" t="b">
        <f t="shared" si="5"/>
        <v>1</v>
      </c>
      <c r="N44" t="b">
        <f t="shared" si="6"/>
        <v>1</v>
      </c>
      <c r="O44" t="b">
        <f t="shared" si="7"/>
        <v>1</v>
      </c>
      <c r="P44" t="b">
        <f t="shared" si="8"/>
        <v>1</v>
      </c>
      <c r="Q44" t="b">
        <f t="shared" si="9"/>
        <v>1</v>
      </c>
      <c r="R44" t="b">
        <f t="shared" si="10"/>
        <v>1</v>
      </c>
      <c r="S44" t="b">
        <f t="shared" si="11"/>
        <v>1</v>
      </c>
      <c r="V44" t="b">
        <f t="shared" si="12"/>
        <v>1</v>
      </c>
      <c r="W44" t="b">
        <f t="shared" si="13"/>
        <v>1</v>
      </c>
      <c r="X44" t="b">
        <f t="shared" si="14"/>
        <v>1</v>
      </c>
      <c r="Y44" t="b">
        <f t="shared" si="15"/>
        <v>1</v>
      </c>
      <c r="Z44" t="b">
        <f t="shared" si="16"/>
        <v>1</v>
      </c>
      <c r="AA44" t="b">
        <f t="shared" si="17"/>
        <v>1</v>
      </c>
      <c r="AB44" t="b">
        <f t="shared" si="18"/>
        <v>1</v>
      </c>
      <c r="AC44" t="b">
        <f t="shared" si="19"/>
        <v>1</v>
      </c>
      <c r="AD44" t="b">
        <f t="shared" si="20"/>
        <v>1</v>
      </c>
      <c r="AE44" t="b">
        <f t="shared" si="21"/>
        <v>1</v>
      </c>
      <c r="AF44" t="b">
        <f t="shared" si="22"/>
        <v>1</v>
      </c>
      <c r="AG44" t="b">
        <f t="shared" si="23"/>
        <v>1</v>
      </c>
    </row>
    <row r="45" spans="1:33">
      <c r="A45" t="s">
        <v>297</v>
      </c>
      <c r="D45" s="27" t="s">
        <v>192</v>
      </c>
      <c r="F45" s="6" t="s">
        <v>196</v>
      </c>
      <c r="H45" t="b">
        <f t="shared" si="0"/>
        <v>0</v>
      </c>
      <c r="I45" t="b">
        <f t="shared" si="1"/>
        <v>0</v>
      </c>
      <c r="J45" t="b">
        <f t="shared" si="2"/>
        <v>0</v>
      </c>
      <c r="K45" t="b">
        <f t="shared" si="3"/>
        <v>1</v>
      </c>
      <c r="L45" t="b">
        <f t="shared" si="4"/>
        <v>0</v>
      </c>
      <c r="M45" t="b">
        <f t="shared" si="5"/>
        <v>0</v>
      </c>
      <c r="N45" t="b">
        <f t="shared" si="6"/>
        <v>0</v>
      </c>
      <c r="O45" t="b">
        <f t="shared" si="7"/>
        <v>1</v>
      </c>
      <c r="P45" t="b">
        <f t="shared" si="8"/>
        <v>0</v>
      </c>
      <c r="Q45" t="b">
        <f t="shared" si="9"/>
        <v>0</v>
      </c>
      <c r="R45" t="b">
        <f t="shared" si="10"/>
        <v>0</v>
      </c>
      <c r="S45" t="b">
        <f t="shared" si="11"/>
        <v>1</v>
      </c>
      <c r="V45" t="b">
        <f t="shared" si="12"/>
        <v>0</v>
      </c>
      <c r="W45" t="b">
        <f t="shared" si="13"/>
        <v>0</v>
      </c>
      <c r="X45" t="b">
        <f t="shared" si="14"/>
        <v>0</v>
      </c>
      <c r="Y45" t="b">
        <f t="shared" si="15"/>
        <v>0</v>
      </c>
      <c r="Z45" t="b">
        <f t="shared" si="16"/>
        <v>0</v>
      </c>
      <c r="AA45" t="b">
        <f t="shared" si="17"/>
        <v>0</v>
      </c>
      <c r="AB45" t="b">
        <f t="shared" si="18"/>
        <v>0</v>
      </c>
      <c r="AC45" t="b">
        <f t="shared" si="19"/>
        <v>0</v>
      </c>
      <c r="AD45" t="b">
        <f t="shared" si="20"/>
        <v>0</v>
      </c>
      <c r="AE45" t="b">
        <f t="shared" si="21"/>
        <v>0</v>
      </c>
      <c r="AF45" t="b">
        <f t="shared" si="22"/>
        <v>0</v>
      </c>
      <c r="AG45" t="b">
        <f t="shared" si="23"/>
        <v>0</v>
      </c>
    </row>
    <row r="46" spans="1:33">
      <c r="A46" s="3" t="s">
        <v>246</v>
      </c>
      <c r="B46" s="27" t="s">
        <v>192</v>
      </c>
      <c r="C46" s="27" t="s">
        <v>192</v>
      </c>
      <c r="D46" s="27" t="s">
        <v>192</v>
      </c>
      <c r="E46" s="27" t="s">
        <v>192</v>
      </c>
      <c r="F46" s="6" t="s">
        <v>193</v>
      </c>
      <c r="H46" t="b">
        <f t="shared" si="0"/>
        <v>1</v>
      </c>
      <c r="I46" t="b">
        <f t="shared" si="1"/>
        <v>1</v>
      </c>
      <c r="J46" t="b">
        <f t="shared" si="2"/>
        <v>1</v>
      </c>
      <c r="K46" t="b">
        <f t="shared" si="3"/>
        <v>1</v>
      </c>
      <c r="L46" t="b">
        <f t="shared" si="4"/>
        <v>1</v>
      </c>
      <c r="M46" t="b">
        <f t="shared" si="5"/>
        <v>1</v>
      </c>
      <c r="N46" t="b">
        <f t="shared" si="6"/>
        <v>1</v>
      </c>
      <c r="O46" t="b">
        <f t="shared" si="7"/>
        <v>1</v>
      </c>
      <c r="P46" t="b">
        <f t="shared" si="8"/>
        <v>1</v>
      </c>
      <c r="Q46" t="b">
        <f t="shared" si="9"/>
        <v>1</v>
      </c>
      <c r="R46" t="b">
        <f t="shared" si="10"/>
        <v>1</v>
      </c>
      <c r="S46" t="b">
        <f t="shared" si="11"/>
        <v>1</v>
      </c>
      <c r="V46" t="b">
        <f t="shared" si="12"/>
        <v>1</v>
      </c>
      <c r="W46" t="b">
        <f t="shared" si="13"/>
        <v>1</v>
      </c>
      <c r="X46" t="b">
        <f t="shared" si="14"/>
        <v>1</v>
      </c>
      <c r="Y46" t="b">
        <f t="shared" si="15"/>
        <v>1</v>
      </c>
      <c r="Z46" t="b">
        <f t="shared" si="16"/>
        <v>1</v>
      </c>
      <c r="AA46" t="b">
        <f t="shared" si="17"/>
        <v>1</v>
      </c>
      <c r="AB46" t="b">
        <f t="shared" si="18"/>
        <v>1</v>
      </c>
      <c r="AC46" t="b">
        <f t="shared" si="19"/>
        <v>1</v>
      </c>
      <c r="AD46" t="b">
        <f t="shared" si="20"/>
        <v>1</v>
      </c>
      <c r="AE46" t="b">
        <f t="shared" si="21"/>
        <v>1</v>
      </c>
      <c r="AF46" t="b">
        <f t="shared" si="22"/>
        <v>1</v>
      </c>
      <c r="AG46" t="b">
        <f t="shared" si="23"/>
        <v>1</v>
      </c>
    </row>
    <row r="47" spans="1:33">
      <c r="A47" s="3" t="s">
        <v>247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0"/>
        <v>1</v>
      </c>
      <c r="I47" t="b">
        <f t="shared" si="1"/>
        <v>1</v>
      </c>
      <c r="J47" t="b">
        <f t="shared" si="2"/>
        <v>1</v>
      </c>
      <c r="K47" t="b">
        <f t="shared" si="3"/>
        <v>1</v>
      </c>
      <c r="L47" t="b">
        <f t="shared" si="4"/>
        <v>1</v>
      </c>
      <c r="M47" t="b">
        <f t="shared" si="5"/>
        <v>1</v>
      </c>
      <c r="N47" t="b">
        <f t="shared" si="6"/>
        <v>1</v>
      </c>
      <c r="O47" t="b">
        <f t="shared" si="7"/>
        <v>1</v>
      </c>
      <c r="P47" t="b">
        <f t="shared" si="8"/>
        <v>1</v>
      </c>
      <c r="Q47" t="b">
        <f t="shared" si="9"/>
        <v>1</v>
      </c>
      <c r="R47" t="b">
        <f t="shared" si="10"/>
        <v>1</v>
      </c>
      <c r="S47" t="b">
        <f t="shared" si="11"/>
        <v>1</v>
      </c>
      <c r="V47" t="b">
        <f t="shared" si="12"/>
        <v>1</v>
      </c>
      <c r="W47" t="b">
        <f t="shared" si="13"/>
        <v>1</v>
      </c>
      <c r="X47" t="b">
        <f t="shared" si="14"/>
        <v>1</v>
      </c>
      <c r="Y47" t="b">
        <f t="shared" si="15"/>
        <v>1</v>
      </c>
      <c r="Z47" t="b">
        <f t="shared" si="16"/>
        <v>1</v>
      </c>
      <c r="AA47" t="b">
        <f t="shared" si="17"/>
        <v>1</v>
      </c>
      <c r="AB47" t="b">
        <f t="shared" si="18"/>
        <v>1</v>
      </c>
      <c r="AC47" t="b">
        <f t="shared" si="19"/>
        <v>1</v>
      </c>
      <c r="AD47" t="b">
        <f t="shared" si="20"/>
        <v>1</v>
      </c>
      <c r="AE47" t="b">
        <f t="shared" si="21"/>
        <v>1</v>
      </c>
      <c r="AF47" t="b">
        <f t="shared" si="22"/>
        <v>1</v>
      </c>
      <c r="AG47" t="b">
        <f t="shared" si="23"/>
        <v>1</v>
      </c>
    </row>
    <row r="48" spans="1:33">
      <c r="A48" s="3" t="s">
        <v>248</v>
      </c>
      <c r="B48" s="27" t="s">
        <v>192</v>
      </c>
      <c r="C48" s="27" t="s">
        <v>192</v>
      </c>
      <c r="D48" s="27" t="s">
        <v>192</v>
      </c>
      <c r="E48" s="27" t="s">
        <v>192</v>
      </c>
      <c r="F48" s="6" t="s">
        <v>193</v>
      </c>
      <c r="H48" t="b">
        <f t="shared" si="0"/>
        <v>1</v>
      </c>
      <c r="I48" t="b">
        <f t="shared" si="1"/>
        <v>1</v>
      </c>
      <c r="J48" t="b">
        <f t="shared" si="2"/>
        <v>1</v>
      </c>
      <c r="K48" t="b">
        <f t="shared" si="3"/>
        <v>1</v>
      </c>
      <c r="L48" t="b">
        <f t="shared" si="4"/>
        <v>1</v>
      </c>
      <c r="M48" t="b">
        <f t="shared" si="5"/>
        <v>1</v>
      </c>
      <c r="N48" t="b">
        <f t="shared" si="6"/>
        <v>1</v>
      </c>
      <c r="O48" t="b">
        <f t="shared" si="7"/>
        <v>1</v>
      </c>
      <c r="P48" t="b">
        <f t="shared" si="8"/>
        <v>1</v>
      </c>
      <c r="Q48" t="b">
        <f t="shared" si="9"/>
        <v>1</v>
      </c>
      <c r="R48" t="b">
        <f t="shared" si="10"/>
        <v>1</v>
      </c>
      <c r="S48" t="b">
        <f t="shared" si="11"/>
        <v>1</v>
      </c>
      <c r="V48" t="b">
        <f t="shared" si="12"/>
        <v>1</v>
      </c>
      <c r="W48" t="b">
        <f t="shared" si="13"/>
        <v>1</v>
      </c>
      <c r="X48" t="b">
        <f t="shared" si="14"/>
        <v>1</v>
      </c>
      <c r="Y48" t="b">
        <f t="shared" si="15"/>
        <v>1</v>
      </c>
      <c r="Z48" t="b">
        <f t="shared" si="16"/>
        <v>1</v>
      </c>
      <c r="AA48" t="b">
        <f t="shared" si="17"/>
        <v>1</v>
      </c>
      <c r="AB48" t="b">
        <f t="shared" si="18"/>
        <v>1</v>
      </c>
      <c r="AC48" t="b">
        <f t="shared" si="19"/>
        <v>1</v>
      </c>
      <c r="AD48" t="b">
        <f t="shared" si="20"/>
        <v>1</v>
      </c>
      <c r="AE48" t="b">
        <f t="shared" si="21"/>
        <v>1</v>
      </c>
      <c r="AF48" t="b">
        <f t="shared" si="22"/>
        <v>1</v>
      </c>
      <c r="AG48" t="b">
        <f t="shared" si="23"/>
        <v>1</v>
      </c>
    </row>
    <row r="49" spans="1:34">
      <c r="A49" s="3" t="s">
        <v>249</v>
      </c>
      <c r="B49" s="27" t="s">
        <v>192</v>
      </c>
      <c r="C49" s="27" t="s">
        <v>192</v>
      </c>
      <c r="D49" s="27" t="s">
        <v>192</v>
      </c>
      <c r="E49" s="27" t="s">
        <v>192</v>
      </c>
      <c r="F49" s="6" t="s">
        <v>193</v>
      </c>
      <c r="H49" t="b">
        <f t="shared" si="0"/>
        <v>1</v>
      </c>
      <c r="I49" t="b">
        <f t="shared" si="1"/>
        <v>1</v>
      </c>
      <c r="J49" t="b">
        <f t="shared" si="2"/>
        <v>1</v>
      </c>
      <c r="K49" t="b">
        <f t="shared" si="3"/>
        <v>1</v>
      </c>
      <c r="L49" t="b">
        <f t="shared" si="4"/>
        <v>1</v>
      </c>
      <c r="M49" t="b">
        <f t="shared" si="5"/>
        <v>1</v>
      </c>
      <c r="N49" t="b">
        <f t="shared" si="6"/>
        <v>1</v>
      </c>
      <c r="O49" t="b">
        <f t="shared" si="7"/>
        <v>1</v>
      </c>
      <c r="P49" t="b">
        <f t="shared" si="8"/>
        <v>1</v>
      </c>
      <c r="Q49" t="b">
        <f t="shared" si="9"/>
        <v>1</v>
      </c>
      <c r="R49" t="b">
        <f t="shared" si="10"/>
        <v>1</v>
      </c>
      <c r="S49" t="b">
        <f t="shared" si="11"/>
        <v>1</v>
      </c>
      <c r="V49" t="b">
        <f t="shared" si="12"/>
        <v>1</v>
      </c>
      <c r="W49" t="b">
        <f t="shared" si="13"/>
        <v>1</v>
      </c>
      <c r="X49" t="b">
        <f t="shared" si="14"/>
        <v>1</v>
      </c>
      <c r="Y49" t="b">
        <f t="shared" si="15"/>
        <v>1</v>
      </c>
      <c r="Z49" t="b">
        <f t="shared" si="16"/>
        <v>1</v>
      </c>
      <c r="AA49" t="b">
        <f t="shared" si="17"/>
        <v>1</v>
      </c>
      <c r="AB49" t="b">
        <f t="shared" si="18"/>
        <v>1</v>
      </c>
      <c r="AC49" t="b">
        <f t="shared" si="19"/>
        <v>1</v>
      </c>
      <c r="AD49" t="b">
        <f t="shared" si="20"/>
        <v>1</v>
      </c>
      <c r="AE49" t="b">
        <f t="shared" si="21"/>
        <v>1</v>
      </c>
      <c r="AF49" t="b">
        <f t="shared" si="22"/>
        <v>1</v>
      </c>
      <c r="AG49" t="b">
        <f t="shared" si="23"/>
        <v>1</v>
      </c>
    </row>
    <row r="50" spans="1:34">
      <c r="A50" s="3" t="s">
        <v>298</v>
      </c>
      <c r="C50" s="27" t="s">
        <v>192</v>
      </c>
      <c r="D50" s="27" t="s">
        <v>192</v>
      </c>
      <c r="F50" s="6" t="s">
        <v>193</v>
      </c>
      <c r="H50" t="b">
        <f t="shared" si="0"/>
        <v>0</v>
      </c>
      <c r="I50" t="b">
        <f t="shared" si="1"/>
        <v>1</v>
      </c>
      <c r="J50" t="b">
        <f t="shared" si="2"/>
        <v>0</v>
      </c>
      <c r="K50" t="b">
        <f t="shared" si="3"/>
        <v>1</v>
      </c>
      <c r="L50" t="b">
        <f t="shared" si="4"/>
        <v>0</v>
      </c>
      <c r="M50" t="b">
        <f t="shared" si="5"/>
        <v>0</v>
      </c>
      <c r="N50" t="b">
        <f t="shared" si="6"/>
        <v>1</v>
      </c>
      <c r="O50" t="b">
        <f t="shared" si="7"/>
        <v>1</v>
      </c>
      <c r="P50" t="b">
        <f t="shared" si="8"/>
        <v>0</v>
      </c>
      <c r="Q50" t="b">
        <f t="shared" si="9"/>
        <v>1</v>
      </c>
      <c r="R50" t="b">
        <f t="shared" si="10"/>
        <v>0</v>
      </c>
      <c r="S50" t="b">
        <f t="shared" si="11"/>
        <v>1</v>
      </c>
      <c r="V50" t="b">
        <f t="shared" si="12"/>
        <v>0</v>
      </c>
      <c r="W50" t="b">
        <f t="shared" si="13"/>
        <v>1</v>
      </c>
      <c r="X50" t="b">
        <f t="shared" si="14"/>
        <v>0</v>
      </c>
      <c r="Y50" t="b">
        <f t="shared" si="15"/>
        <v>1</v>
      </c>
      <c r="Z50" t="b">
        <f t="shared" si="16"/>
        <v>0</v>
      </c>
      <c r="AA50" t="b">
        <f t="shared" si="17"/>
        <v>0</v>
      </c>
      <c r="AB50" t="b">
        <f t="shared" si="18"/>
        <v>1</v>
      </c>
      <c r="AC50" t="b">
        <f t="shared" si="19"/>
        <v>1</v>
      </c>
      <c r="AD50" t="b">
        <f t="shared" si="20"/>
        <v>0</v>
      </c>
      <c r="AE50" t="b">
        <f t="shared" si="21"/>
        <v>1</v>
      </c>
      <c r="AF50" t="b">
        <f t="shared" si="22"/>
        <v>0</v>
      </c>
      <c r="AG50" t="b">
        <f t="shared" si="23"/>
        <v>1</v>
      </c>
    </row>
    <row r="51" spans="1:34">
      <c r="A51" s="3" t="s">
        <v>253</v>
      </c>
      <c r="B51" s="27" t="s">
        <v>192</v>
      </c>
      <c r="C51" s="27" t="s">
        <v>220</v>
      </c>
      <c r="D51" s="27" t="s">
        <v>192</v>
      </c>
      <c r="E51" s="27" t="s">
        <v>192</v>
      </c>
      <c r="F51" s="6" t="s">
        <v>193</v>
      </c>
      <c r="H51" t="b">
        <f t="shared" si="0"/>
        <v>1</v>
      </c>
      <c r="I51" t="b">
        <f t="shared" si="1"/>
        <v>1</v>
      </c>
      <c r="J51" t="b">
        <f t="shared" si="2"/>
        <v>1</v>
      </c>
      <c r="K51" t="b">
        <f t="shared" si="3"/>
        <v>1</v>
      </c>
      <c r="L51" t="b">
        <f t="shared" si="4"/>
        <v>1</v>
      </c>
      <c r="M51" t="b">
        <f t="shared" si="5"/>
        <v>1</v>
      </c>
      <c r="N51" t="b">
        <f t="shared" si="6"/>
        <v>1</v>
      </c>
      <c r="O51" t="b">
        <f t="shared" si="7"/>
        <v>1</v>
      </c>
      <c r="P51" t="b">
        <f t="shared" si="8"/>
        <v>1</v>
      </c>
      <c r="Q51" t="b">
        <f t="shared" si="9"/>
        <v>1</v>
      </c>
      <c r="R51" t="b">
        <f t="shared" si="10"/>
        <v>1</v>
      </c>
      <c r="S51" t="b">
        <f t="shared" si="11"/>
        <v>1</v>
      </c>
      <c r="V51" t="b">
        <f t="shared" si="12"/>
        <v>1</v>
      </c>
      <c r="W51" t="b">
        <f t="shared" si="13"/>
        <v>1</v>
      </c>
      <c r="X51" t="b">
        <f t="shared" si="14"/>
        <v>1</v>
      </c>
      <c r="Y51" t="b">
        <f t="shared" si="15"/>
        <v>1</v>
      </c>
      <c r="Z51" t="b">
        <f t="shared" si="16"/>
        <v>1</v>
      </c>
      <c r="AA51" t="b">
        <f t="shared" si="17"/>
        <v>1</v>
      </c>
      <c r="AB51" t="b">
        <f t="shared" si="18"/>
        <v>1</v>
      </c>
      <c r="AC51" t="b">
        <f t="shared" si="19"/>
        <v>1</v>
      </c>
      <c r="AD51" t="b">
        <f t="shared" si="20"/>
        <v>1</v>
      </c>
      <c r="AE51" t="b">
        <f t="shared" si="21"/>
        <v>1</v>
      </c>
      <c r="AF51" t="b">
        <f t="shared" si="22"/>
        <v>1</v>
      </c>
      <c r="AG51" t="b">
        <f t="shared" si="23"/>
        <v>1</v>
      </c>
    </row>
    <row r="52" spans="1:34">
      <c r="A52" s="3" t="s">
        <v>254</v>
      </c>
      <c r="B52" s="27" t="s">
        <v>192</v>
      </c>
      <c r="E52" s="27" t="s">
        <v>192</v>
      </c>
      <c r="F52" s="6" t="s">
        <v>193</v>
      </c>
      <c r="H52" t="b">
        <f t="shared" si="0"/>
        <v>0</v>
      </c>
      <c r="I52" t="b">
        <f t="shared" si="1"/>
        <v>1</v>
      </c>
      <c r="J52" t="b">
        <f t="shared" si="2"/>
        <v>0</v>
      </c>
      <c r="K52" t="b">
        <f t="shared" si="3"/>
        <v>1</v>
      </c>
      <c r="L52" t="b">
        <f t="shared" si="4"/>
        <v>1</v>
      </c>
      <c r="M52" t="b">
        <f t="shared" si="5"/>
        <v>1</v>
      </c>
      <c r="N52" t="b">
        <f t="shared" si="6"/>
        <v>0</v>
      </c>
      <c r="O52" t="b">
        <f t="shared" si="7"/>
        <v>0</v>
      </c>
      <c r="P52" t="b">
        <f t="shared" si="8"/>
        <v>0</v>
      </c>
      <c r="Q52" t="b">
        <f t="shared" si="9"/>
        <v>1</v>
      </c>
      <c r="R52" t="b">
        <f t="shared" si="10"/>
        <v>0</v>
      </c>
      <c r="S52" t="b">
        <f t="shared" si="11"/>
        <v>1</v>
      </c>
      <c r="V52" t="b">
        <f t="shared" si="12"/>
        <v>0</v>
      </c>
      <c r="W52" t="b">
        <f t="shared" si="13"/>
        <v>1</v>
      </c>
      <c r="X52" t="b">
        <f t="shared" si="14"/>
        <v>0</v>
      </c>
      <c r="Y52" t="b">
        <f t="shared" si="15"/>
        <v>1</v>
      </c>
      <c r="Z52" t="b">
        <f t="shared" si="16"/>
        <v>1</v>
      </c>
      <c r="AA52" t="b">
        <f t="shared" si="17"/>
        <v>1</v>
      </c>
      <c r="AB52" t="b">
        <f t="shared" si="18"/>
        <v>0</v>
      </c>
      <c r="AC52" t="b">
        <f t="shared" si="19"/>
        <v>0</v>
      </c>
      <c r="AD52" t="b">
        <f t="shared" si="20"/>
        <v>0</v>
      </c>
      <c r="AE52" t="b">
        <f t="shared" si="21"/>
        <v>1</v>
      </c>
      <c r="AF52" t="b">
        <f t="shared" si="22"/>
        <v>0</v>
      </c>
      <c r="AG52" t="b">
        <f t="shared" si="23"/>
        <v>1</v>
      </c>
    </row>
    <row r="53" spans="1:34">
      <c r="A53" s="3" t="s">
        <v>299</v>
      </c>
      <c r="B53" s="27" t="s">
        <v>192</v>
      </c>
      <c r="F53" s="6" t="s">
        <v>193</v>
      </c>
      <c r="H53" t="b">
        <f t="shared" si="0"/>
        <v>0</v>
      </c>
      <c r="I53" t="b">
        <f t="shared" si="1"/>
        <v>1</v>
      </c>
      <c r="J53" t="b">
        <f t="shared" si="2"/>
        <v>0</v>
      </c>
      <c r="K53" t="b">
        <f t="shared" si="3"/>
        <v>1</v>
      </c>
      <c r="L53" t="b">
        <f t="shared" si="4"/>
        <v>0</v>
      </c>
      <c r="M53" t="b">
        <f t="shared" si="5"/>
        <v>1</v>
      </c>
      <c r="N53" t="b">
        <f t="shared" si="6"/>
        <v>0</v>
      </c>
      <c r="O53" t="b">
        <f t="shared" si="7"/>
        <v>0</v>
      </c>
      <c r="P53" t="b">
        <f t="shared" si="8"/>
        <v>0</v>
      </c>
      <c r="Q53" t="b">
        <f t="shared" si="9"/>
        <v>0</v>
      </c>
      <c r="R53" t="b">
        <f t="shared" si="10"/>
        <v>0</v>
      </c>
      <c r="S53" t="b">
        <f t="shared" si="11"/>
        <v>0</v>
      </c>
      <c r="V53" t="b">
        <f t="shared" si="12"/>
        <v>0</v>
      </c>
      <c r="W53" t="b">
        <f t="shared" si="13"/>
        <v>1</v>
      </c>
      <c r="X53" t="b">
        <f t="shared" si="14"/>
        <v>0</v>
      </c>
      <c r="Y53" t="b">
        <f t="shared" si="15"/>
        <v>1</v>
      </c>
      <c r="Z53" t="b">
        <f t="shared" si="16"/>
        <v>0</v>
      </c>
      <c r="AA53" t="b">
        <f t="shared" si="17"/>
        <v>1</v>
      </c>
      <c r="AB53" t="b">
        <f t="shared" si="18"/>
        <v>0</v>
      </c>
      <c r="AC53" t="b">
        <f t="shared" si="19"/>
        <v>0</v>
      </c>
      <c r="AD53" t="b">
        <f t="shared" si="20"/>
        <v>0</v>
      </c>
      <c r="AE53" t="b">
        <f t="shared" si="21"/>
        <v>0</v>
      </c>
      <c r="AF53" t="b">
        <f t="shared" si="22"/>
        <v>0</v>
      </c>
      <c r="AG53" t="b">
        <f t="shared" si="23"/>
        <v>0</v>
      </c>
    </row>
    <row r="54" spans="1:34">
      <c r="A54" s="3" t="s">
        <v>255</v>
      </c>
      <c r="C54" s="27" t="s">
        <v>192</v>
      </c>
      <c r="D54" s="27" t="s">
        <v>192</v>
      </c>
      <c r="E54" s="27" t="s">
        <v>192</v>
      </c>
      <c r="F54" s="6" t="s">
        <v>193</v>
      </c>
      <c r="H54" t="b">
        <f t="shared" si="0"/>
        <v>0</v>
      </c>
      <c r="I54" t="b">
        <f t="shared" si="1"/>
        <v>1</v>
      </c>
      <c r="J54" t="b">
        <f t="shared" si="2"/>
        <v>0</v>
      </c>
      <c r="K54" t="b">
        <f t="shared" si="3"/>
        <v>1</v>
      </c>
      <c r="L54" t="b">
        <f t="shared" si="4"/>
        <v>0</v>
      </c>
      <c r="M54" t="b">
        <f t="shared" si="5"/>
        <v>1</v>
      </c>
      <c r="N54" t="b">
        <f t="shared" si="6"/>
        <v>1</v>
      </c>
      <c r="O54" t="b">
        <f t="shared" si="7"/>
        <v>1</v>
      </c>
      <c r="P54" t="b">
        <f t="shared" si="8"/>
        <v>1</v>
      </c>
      <c r="Q54" t="b">
        <f t="shared" si="9"/>
        <v>1</v>
      </c>
      <c r="R54" t="b">
        <f t="shared" si="10"/>
        <v>1</v>
      </c>
      <c r="S54" t="b">
        <f t="shared" si="11"/>
        <v>1</v>
      </c>
      <c r="V54" t="b">
        <f t="shared" si="12"/>
        <v>0</v>
      </c>
      <c r="W54" t="b">
        <f t="shared" si="13"/>
        <v>1</v>
      </c>
      <c r="X54" t="b">
        <f t="shared" si="14"/>
        <v>0</v>
      </c>
      <c r="Y54" t="b">
        <f t="shared" si="15"/>
        <v>1</v>
      </c>
      <c r="Z54" t="b">
        <f t="shared" si="16"/>
        <v>0</v>
      </c>
      <c r="AA54" t="b">
        <f t="shared" si="17"/>
        <v>1</v>
      </c>
      <c r="AB54" t="b">
        <f t="shared" si="18"/>
        <v>1</v>
      </c>
      <c r="AC54" t="b">
        <f t="shared" si="19"/>
        <v>1</v>
      </c>
      <c r="AD54" t="b">
        <f t="shared" si="20"/>
        <v>1</v>
      </c>
      <c r="AE54" t="b">
        <f t="shared" si="21"/>
        <v>1</v>
      </c>
      <c r="AF54" t="b">
        <f t="shared" si="22"/>
        <v>1</v>
      </c>
      <c r="AG54" t="b">
        <f t="shared" si="23"/>
        <v>1</v>
      </c>
    </row>
    <row r="55" spans="1:34">
      <c r="A55" s="3" t="s">
        <v>300</v>
      </c>
      <c r="D55" s="27" t="s">
        <v>192</v>
      </c>
      <c r="F55" s="6" t="s">
        <v>193</v>
      </c>
      <c r="H55" t="b">
        <f t="shared" si="0"/>
        <v>0</v>
      </c>
      <c r="I55" t="b">
        <f t="shared" si="1"/>
        <v>0</v>
      </c>
      <c r="J55" t="b">
        <f t="shared" si="2"/>
        <v>0</v>
      </c>
      <c r="K55" t="b">
        <f t="shared" si="3"/>
        <v>1</v>
      </c>
      <c r="L55" t="b">
        <f t="shared" si="4"/>
        <v>0</v>
      </c>
      <c r="M55" t="b">
        <f t="shared" si="5"/>
        <v>0</v>
      </c>
      <c r="N55" t="b">
        <f t="shared" si="6"/>
        <v>0</v>
      </c>
      <c r="O55" t="b">
        <f t="shared" si="7"/>
        <v>1</v>
      </c>
      <c r="P55" t="b">
        <f t="shared" si="8"/>
        <v>0</v>
      </c>
      <c r="Q55" t="b">
        <f t="shared" si="9"/>
        <v>0</v>
      </c>
      <c r="R55" t="b">
        <f t="shared" si="10"/>
        <v>0</v>
      </c>
      <c r="S55" t="b">
        <f t="shared" si="11"/>
        <v>1</v>
      </c>
      <c r="V55" t="b">
        <f t="shared" si="12"/>
        <v>0</v>
      </c>
      <c r="W55" t="b">
        <f t="shared" si="13"/>
        <v>0</v>
      </c>
      <c r="X55" t="b">
        <f t="shared" si="14"/>
        <v>0</v>
      </c>
      <c r="Y55" t="b">
        <f t="shared" si="15"/>
        <v>1</v>
      </c>
      <c r="Z55" t="b">
        <f t="shared" si="16"/>
        <v>0</v>
      </c>
      <c r="AA55" t="b">
        <f t="shared" si="17"/>
        <v>0</v>
      </c>
      <c r="AB55" t="b">
        <f t="shared" si="18"/>
        <v>0</v>
      </c>
      <c r="AC55" t="b">
        <f t="shared" si="19"/>
        <v>1</v>
      </c>
      <c r="AD55" t="b">
        <f t="shared" si="20"/>
        <v>0</v>
      </c>
      <c r="AE55" t="b">
        <f t="shared" si="21"/>
        <v>0</v>
      </c>
      <c r="AF55" t="b">
        <f t="shared" si="22"/>
        <v>0</v>
      </c>
      <c r="AG55" t="b">
        <f t="shared" si="23"/>
        <v>1</v>
      </c>
    </row>
    <row r="56" spans="1:34">
      <c r="A56" s="3" t="s">
        <v>301</v>
      </c>
      <c r="B56" s="27" t="s">
        <v>192</v>
      </c>
      <c r="C56" s="27" t="s">
        <v>192</v>
      </c>
      <c r="D56" s="27" t="s">
        <v>192</v>
      </c>
      <c r="E56" s="27" t="s">
        <v>192</v>
      </c>
      <c r="F56" s="6" t="s">
        <v>193</v>
      </c>
      <c r="H56" t="b">
        <f t="shared" si="0"/>
        <v>1</v>
      </c>
      <c r="I56" t="b">
        <f t="shared" si="1"/>
        <v>1</v>
      </c>
      <c r="J56" t="b">
        <f t="shared" si="2"/>
        <v>1</v>
      </c>
      <c r="K56" t="b">
        <f t="shared" si="3"/>
        <v>1</v>
      </c>
      <c r="L56" t="b">
        <f t="shared" si="4"/>
        <v>1</v>
      </c>
      <c r="M56" t="b">
        <f t="shared" si="5"/>
        <v>1</v>
      </c>
      <c r="N56" t="b">
        <f t="shared" si="6"/>
        <v>1</v>
      </c>
      <c r="O56" t="b">
        <f t="shared" si="7"/>
        <v>1</v>
      </c>
      <c r="P56" t="b">
        <f t="shared" si="8"/>
        <v>1</v>
      </c>
      <c r="Q56" t="b">
        <f t="shared" si="9"/>
        <v>1</v>
      </c>
      <c r="R56" t="b">
        <f t="shared" si="10"/>
        <v>1</v>
      </c>
      <c r="S56" t="b">
        <f t="shared" si="11"/>
        <v>1</v>
      </c>
      <c r="V56" t="b">
        <f t="shared" si="12"/>
        <v>1</v>
      </c>
      <c r="W56" t="b">
        <f t="shared" si="13"/>
        <v>1</v>
      </c>
      <c r="X56" t="b">
        <f t="shared" si="14"/>
        <v>1</v>
      </c>
      <c r="Y56" t="b">
        <f t="shared" si="15"/>
        <v>1</v>
      </c>
      <c r="Z56" t="b">
        <f t="shared" si="16"/>
        <v>1</v>
      </c>
      <c r="AA56" t="b">
        <f t="shared" si="17"/>
        <v>1</v>
      </c>
      <c r="AB56" t="b">
        <f t="shared" si="18"/>
        <v>1</v>
      </c>
      <c r="AC56" t="b">
        <f t="shared" si="19"/>
        <v>1</v>
      </c>
      <c r="AD56" t="b">
        <f t="shared" si="20"/>
        <v>1</v>
      </c>
      <c r="AE56" t="b">
        <f t="shared" si="21"/>
        <v>1</v>
      </c>
      <c r="AF56" t="b">
        <f t="shared" si="22"/>
        <v>1</v>
      </c>
      <c r="AG56" t="b">
        <f t="shared" si="23"/>
        <v>1</v>
      </c>
    </row>
    <row r="57" spans="1:34" ht="15">
      <c r="A57" s="3" t="s">
        <v>302</v>
      </c>
      <c r="D57" s="27" t="s">
        <v>192</v>
      </c>
      <c r="F57" s="6" t="s">
        <v>193</v>
      </c>
      <c r="H57" t="b">
        <f t="shared" si="0"/>
        <v>0</v>
      </c>
      <c r="I57" t="b">
        <f t="shared" si="1"/>
        <v>0</v>
      </c>
      <c r="J57" t="b">
        <f t="shared" si="2"/>
        <v>0</v>
      </c>
      <c r="K57" t="b">
        <f t="shared" si="3"/>
        <v>1</v>
      </c>
      <c r="L57" t="b">
        <f t="shared" si="4"/>
        <v>0</v>
      </c>
      <c r="M57" t="b">
        <f t="shared" si="5"/>
        <v>0</v>
      </c>
      <c r="N57" t="b">
        <f t="shared" si="6"/>
        <v>0</v>
      </c>
      <c r="O57" t="b">
        <f t="shared" si="7"/>
        <v>1</v>
      </c>
      <c r="P57" t="b">
        <f t="shared" si="8"/>
        <v>0</v>
      </c>
      <c r="Q57" t="b">
        <f t="shared" si="9"/>
        <v>0</v>
      </c>
      <c r="R57" t="b">
        <f t="shared" si="10"/>
        <v>0</v>
      </c>
      <c r="S57" t="b">
        <f t="shared" si="11"/>
        <v>1</v>
      </c>
      <c r="V57" t="b">
        <f t="shared" si="12"/>
        <v>0</v>
      </c>
      <c r="W57" t="b">
        <f t="shared" si="13"/>
        <v>0</v>
      </c>
      <c r="X57" t="b">
        <f t="shared" si="14"/>
        <v>0</v>
      </c>
      <c r="Y57" t="b">
        <f t="shared" si="15"/>
        <v>1</v>
      </c>
      <c r="Z57" t="b">
        <f t="shared" si="16"/>
        <v>0</v>
      </c>
      <c r="AA57" t="b">
        <f t="shared" si="17"/>
        <v>0</v>
      </c>
      <c r="AB57" t="b">
        <f t="shared" si="18"/>
        <v>0</v>
      </c>
      <c r="AC57" t="b">
        <f t="shared" si="19"/>
        <v>1</v>
      </c>
      <c r="AD57" t="b">
        <f t="shared" si="20"/>
        <v>0</v>
      </c>
      <c r="AE57" t="b">
        <f t="shared" si="21"/>
        <v>0</v>
      </c>
      <c r="AF57" t="b">
        <f t="shared" si="22"/>
        <v>0</v>
      </c>
      <c r="AG57" t="b">
        <f t="shared" si="23"/>
        <v>1</v>
      </c>
    </row>
    <row r="58" spans="1:34">
      <c r="A58" t="s">
        <v>303</v>
      </c>
      <c r="C58"/>
      <c r="E58" s="27" t="s">
        <v>192</v>
      </c>
      <c r="F58" s="6" t="s">
        <v>196</v>
      </c>
      <c r="H58" t="b">
        <f t="shared" si="0"/>
        <v>0</v>
      </c>
      <c r="I58" t="b">
        <f t="shared" si="1"/>
        <v>0</v>
      </c>
      <c r="J58" t="b">
        <f t="shared" si="2"/>
        <v>0</v>
      </c>
      <c r="K58" t="b">
        <f t="shared" si="3"/>
        <v>0</v>
      </c>
      <c r="L58" t="b">
        <f t="shared" si="4"/>
        <v>0</v>
      </c>
      <c r="M58" t="b">
        <f t="shared" si="5"/>
        <v>1</v>
      </c>
      <c r="N58" t="b">
        <f t="shared" si="6"/>
        <v>0</v>
      </c>
      <c r="O58" t="b">
        <f t="shared" si="7"/>
        <v>0</v>
      </c>
      <c r="P58" t="b">
        <f t="shared" si="8"/>
        <v>0</v>
      </c>
      <c r="Q58" t="b">
        <f t="shared" si="9"/>
        <v>1</v>
      </c>
      <c r="R58" t="b">
        <f t="shared" si="10"/>
        <v>0</v>
      </c>
      <c r="S58" t="b">
        <f t="shared" si="11"/>
        <v>1</v>
      </c>
      <c r="V58" t="b">
        <f t="shared" si="12"/>
        <v>0</v>
      </c>
      <c r="W58" t="b">
        <f t="shared" si="13"/>
        <v>0</v>
      </c>
      <c r="X58" t="b">
        <f t="shared" si="14"/>
        <v>0</v>
      </c>
      <c r="Y58" t="b">
        <f t="shared" si="15"/>
        <v>0</v>
      </c>
      <c r="Z58" t="b">
        <f t="shared" si="16"/>
        <v>0</v>
      </c>
      <c r="AA58" t="b">
        <f t="shared" si="17"/>
        <v>0</v>
      </c>
      <c r="AB58" t="b">
        <f t="shared" si="18"/>
        <v>0</v>
      </c>
      <c r="AC58" t="b">
        <f t="shared" si="19"/>
        <v>0</v>
      </c>
      <c r="AD58" t="b">
        <f t="shared" si="20"/>
        <v>0</v>
      </c>
      <c r="AE58" t="b">
        <f t="shared" si="21"/>
        <v>0</v>
      </c>
      <c r="AF58" t="b">
        <f t="shared" si="22"/>
        <v>0</v>
      </c>
      <c r="AG58" t="b">
        <f t="shared" si="23"/>
        <v>0</v>
      </c>
    </row>
    <row r="59" spans="1:34">
      <c r="A59" t="s">
        <v>304</v>
      </c>
      <c r="C59"/>
      <c r="E59" s="27" t="s">
        <v>192</v>
      </c>
      <c r="F59" s="6" t="s">
        <v>196</v>
      </c>
      <c r="H59" t="b">
        <f t="shared" si="0"/>
        <v>0</v>
      </c>
      <c r="I59" t="b">
        <f t="shared" si="1"/>
        <v>0</v>
      </c>
      <c r="J59" t="b">
        <f t="shared" si="2"/>
        <v>0</v>
      </c>
      <c r="K59" t="b">
        <f t="shared" si="3"/>
        <v>0</v>
      </c>
      <c r="L59" t="b">
        <f t="shared" si="4"/>
        <v>0</v>
      </c>
      <c r="M59" t="b">
        <f t="shared" si="5"/>
        <v>1</v>
      </c>
      <c r="N59" t="b">
        <f t="shared" si="6"/>
        <v>0</v>
      </c>
      <c r="O59" t="b">
        <f t="shared" si="7"/>
        <v>0</v>
      </c>
      <c r="P59" t="b">
        <f t="shared" si="8"/>
        <v>0</v>
      </c>
      <c r="Q59" t="b">
        <f t="shared" si="9"/>
        <v>1</v>
      </c>
      <c r="R59" t="b">
        <f t="shared" si="10"/>
        <v>0</v>
      </c>
      <c r="S59" t="b">
        <f t="shared" si="11"/>
        <v>1</v>
      </c>
      <c r="V59" t="b">
        <f t="shared" si="12"/>
        <v>0</v>
      </c>
      <c r="W59" t="b">
        <f t="shared" si="13"/>
        <v>0</v>
      </c>
      <c r="X59" t="b">
        <f t="shared" si="14"/>
        <v>0</v>
      </c>
      <c r="Y59" t="b">
        <f t="shared" si="15"/>
        <v>0</v>
      </c>
      <c r="Z59" t="b">
        <f t="shared" si="16"/>
        <v>0</v>
      </c>
      <c r="AA59" t="b">
        <f t="shared" si="17"/>
        <v>0</v>
      </c>
      <c r="AB59" t="b">
        <f t="shared" si="18"/>
        <v>0</v>
      </c>
      <c r="AC59" t="b">
        <f t="shared" si="19"/>
        <v>0</v>
      </c>
      <c r="AD59" t="b">
        <f t="shared" si="20"/>
        <v>0</v>
      </c>
      <c r="AE59" t="b">
        <f t="shared" si="21"/>
        <v>0</v>
      </c>
      <c r="AF59" t="b">
        <f t="shared" si="22"/>
        <v>0</v>
      </c>
      <c r="AG59" t="b">
        <f t="shared" si="23"/>
        <v>0</v>
      </c>
    </row>
    <row r="60" spans="1:34">
      <c r="C60"/>
      <c r="F60" s="6"/>
    </row>
    <row r="61" spans="1:34">
      <c r="A61" s="47" t="s">
        <v>261</v>
      </c>
      <c r="B61" s="47"/>
      <c r="C61" s="47"/>
      <c r="D61" s="47"/>
      <c r="E61" s="47"/>
      <c r="F61" s="47"/>
      <c r="G61" s="47"/>
      <c r="H61">
        <f>COUNTIF(H2:H59,TRUE())</f>
        <v>25</v>
      </c>
      <c r="I61">
        <f>COUNTIF(I2:I59,TRUE())</f>
        <v>46</v>
      </c>
      <c r="J61">
        <f>COUNTIF(J2:J59,TRUE())</f>
        <v>25</v>
      </c>
      <c r="K61">
        <f>COUNTIF(K2:K59,TRUE())</f>
        <v>52</v>
      </c>
      <c r="L61">
        <f>COUNTIF(L2:L59,TRUE())</f>
        <v>28</v>
      </c>
      <c r="M61">
        <f>COUNTIF(M2:M59,TRUE())</f>
        <v>43</v>
      </c>
      <c r="N61">
        <f>COUNTIF(N2:N59,TRUE())</f>
        <v>28</v>
      </c>
      <c r="O61">
        <f>COUNTIF(O2:O59,TRUE())</f>
        <v>44</v>
      </c>
      <c r="P61">
        <f>COUNTIF(P2:P59,TRUE())</f>
        <v>26</v>
      </c>
      <c r="Q61">
        <f>COUNTIF(Q2:Q59,TRUE())</f>
        <v>40</v>
      </c>
      <c r="R61">
        <f>COUNTIF(R2:R59,TRUE())</f>
        <v>28</v>
      </c>
      <c r="S61">
        <f>COUNTIF(S2:S59,TRUE())</f>
        <v>44</v>
      </c>
      <c r="T61" s="16" t="s">
        <v>262</v>
      </c>
      <c r="V61">
        <f>COUNTIF(V2:V59,TRUE())</f>
        <v>24</v>
      </c>
      <c r="W61">
        <f>COUNTIF(W2:W59,TRUE())</f>
        <v>40</v>
      </c>
      <c r="X61">
        <f>COUNTIF(X2:X59,TRUE())</f>
        <v>25</v>
      </c>
      <c r="Y61">
        <f>COUNTIF(Y2:Y59,TRUE())</f>
        <v>44</v>
      </c>
      <c r="Z61">
        <f>COUNTIF(Z2:Z59,TRUE())</f>
        <v>27</v>
      </c>
      <c r="AA61">
        <f>COUNTIF(AA2:AA59,TRUE())</f>
        <v>39</v>
      </c>
      <c r="AB61">
        <f>COUNTIF(AB2:AB59,TRUE())</f>
        <v>27</v>
      </c>
      <c r="AC61">
        <f>COUNTIF(AC2:AC59,TRUE())</f>
        <v>34</v>
      </c>
      <c r="AD61">
        <f>COUNTIF(AD2:AD59,TRUE())</f>
        <v>26</v>
      </c>
      <c r="AE61">
        <f>COUNTIF(AE2:AE59,TRUE())</f>
        <v>32</v>
      </c>
      <c r="AF61">
        <f>COUNTIF(AF2:AF59,TRUE())</f>
        <v>28</v>
      </c>
      <c r="AG61">
        <f>COUNTIF(AG2:AG59,TRUE())</f>
        <v>35</v>
      </c>
      <c r="AH61" s="16" t="s">
        <v>262</v>
      </c>
    </row>
    <row r="62" spans="1:34">
      <c r="G62" s="6" t="s">
        <v>132</v>
      </c>
      <c r="H62" s="55">
        <f>H61/I61</f>
        <v>0.54347826086956519</v>
      </c>
      <c r="I62" s="55"/>
      <c r="J62" s="55">
        <f>J61/K61</f>
        <v>0.48076923076923078</v>
      </c>
      <c r="K62" s="55"/>
      <c r="L62" s="55">
        <f>L61/M61</f>
        <v>0.65116279069767447</v>
      </c>
      <c r="M62" s="55"/>
      <c r="N62" s="55">
        <f>N61/O61</f>
        <v>0.63636363636363635</v>
      </c>
      <c r="O62" s="55"/>
      <c r="P62" s="55">
        <f>P61/Q61</f>
        <v>0.65</v>
      </c>
      <c r="Q62" s="55"/>
      <c r="R62" s="55">
        <f>R61/S61</f>
        <v>0.63636363636363635</v>
      </c>
      <c r="S62" s="55"/>
      <c r="T62" s="24">
        <f>AVERAGE(H62:S62)</f>
        <v>0.59968959251062381</v>
      </c>
      <c r="U62" s="6" t="s">
        <v>132</v>
      </c>
      <c r="V62" s="55">
        <f>V61/W61</f>
        <v>0.6</v>
      </c>
      <c r="W62" s="55"/>
      <c r="X62" s="55">
        <f>X61/Y61</f>
        <v>0.56818181818181823</v>
      </c>
      <c r="Y62" s="55"/>
      <c r="Z62" s="55">
        <f>Z61/AA61</f>
        <v>0.69230769230769229</v>
      </c>
      <c r="AA62" s="55"/>
      <c r="AB62" s="55">
        <f>AB61/AC61</f>
        <v>0.79411764705882348</v>
      </c>
      <c r="AC62" s="55"/>
      <c r="AD62" s="55">
        <f>AD61/AE61</f>
        <v>0.8125</v>
      </c>
      <c r="AE62" s="55"/>
      <c r="AF62" s="55">
        <f>AF61/AG61</f>
        <v>0.8</v>
      </c>
      <c r="AG62" s="55"/>
      <c r="AH62" s="24">
        <f>AVERAGE(V62:AG62)</f>
        <v>0.71118452625805562</v>
      </c>
    </row>
    <row r="63" spans="1:34">
      <c r="T63" s="24">
        <f>GEOMEAN(H62:S62)</f>
        <v>0.59592107864136867</v>
      </c>
      <c r="AH63" s="24">
        <f>GEOMEAN(V62:AG62)</f>
        <v>0.70408105258323417</v>
      </c>
    </row>
  </sheetData>
  <autoFilter ref="A1:F59" xr:uid="{00000000-0001-0000-0400-000000000000}"/>
  <mergeCells count="13">
    <mergeCell ref="A61:G61"/>
    <mergeCell ref="H62:I62"/>
    <mergeCell ref="J62:K62"/>
    <mergeCell ref="L62:M62"/>
    <mergeCell ref="N62:O62"/>
    <mergeCell ref="AB62:AC62"/>
    <mergeCell ref="AD62:AE62"/>
    <mergeCell ref="AF62:AG62"/>
    <mergeCell ref="P62:Q62"/>
    <mergeCell ref="R62:S62"/>
    <mergeCell ref="V62:W62"/>
    <mergeCell ref="X62:Y62"/>
    <mergeCell ref="Z62:AA62"/>
  </mergeCells>
  <conditionalFormatting sqref="F2:F60">
    <cfRule type="containsText" dxfId="270" priority="6" operator="containsText" text="No">
      <formula>NOT(ISERROR(SEARCH("No",F2)))</formula>
    </cfRule>
    <cfRule type="containsText" dxfId="269" priority="7" operator="containsText" text="Yes">
      <formula>NOT(ISERROR(SEARCH("Yes",F2)))</formula>
    </cfRule>
  </conditionalFormatting>
  <conditionalFormatting sqref="F58:F60">
    <cfRule type="containsText" dxfId="268" priority="3" operator="containsText" text="No">
      <formula>NOT(ISERROR(SEARCH("No",F58)))</formula>
    </cfRule>
    <cfRule type="containsText" dxfId="267" priority="4" operator="containsText" text="Yes">
      <formula>NOT(ISERROR(SEARCH("Yes",F58)))</formula>
    </cfRule>
  </conditionalFormatting>
  <conditionalFormatting sqref="C58:C60">
    <cfRule type="containsText" dxfId="266" priority="1" operator="containsText" text="No">
      <formula>NOT(ISERROR(SEARCH("No",C58)))</formula>
    </cfRule>
    <cfRule type="containsText" dxfId="265" priority="2" operator="containsText" text="Yes">
      <formula>NOT(ISERROR(SEARCH("Yes",C58)))</formula>
    </cfRule>
  </conditionalFormatting>
  <dataValidations count="1">
    <dataValidation operator="equal" allowBlank="1" showInputMessage="1" showErrorMessage="1" sqref="C58:C60" xr:uid="{8326026A-314A-4EC6-ABCC-C1AA229AC9ED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73"/>
  <sheetViews>
    <sheetView topLeftCell="A36" zoomScale="85" zoomScaleNormal="85" workbookViewId="0">
      <selection sqref="A1:F61"/>
    </sheetView>
  </sheetViews>
  <sheetFormatPr defaultColWidth="8.7109375" defaultRowHeight="14.45"/>
  <cols>
    <col min="1" max="1" width="27.85546875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305</v>
      </c>
      <c r="C1" s="27" t="s">
        <v>306</v>
      </c>
      <c r="D1" s="27" t="s">
        <v>307</v>
      </c>
      <c r="E1" s="27" t="s">
        <v>308</v>
      </c>
      <c r="F1" t="s">
        <v>178</v>
      </c>
      <c r="H1" t="s">
        <v>309</v>
      </c>
      <c r="I1" t="s">
        <v>310</v>
      </c>
      <c r="J1" t="s">
        <v>311</v>
      </c>
      <c r="K1" t="s">
        <v>312</v>
      </c>
      <c r="L1" t="s">
        <v>313</v>
      </c>
      <c r="M1" t="s">
        <v>314</v>
      </c>
      <c r="N1" t="s">
        <v>315</v>
      </c>
      <c r="O1" t="s">
        <v>316</v>
      </c>
      <c r="P1" t="s">
        <v>317</v>
      </c>
      <c r="Q1" t="s">
        <v>318</v>
      </c>
      <c r="R1" t="s">
        <v>319</v>
      </c>
      <c r="S1" t="s">
        <v>320</v>
      </c>
      <c r="V1" t="s">
        <v>309</v>
      </c>
      <c r="W1" t="s">
        <v>310</v>
      </c>
      <c r="X1" t="s">
        <v>311</v>
      </c>
      <c r="Y1" t="s">
        <v>312</v>
      </c>
      <c r="Z1" t="s">
        <v>313</v>
      </c>
      <c r="AA1" t="s">
        <v>314</v>
      </c>
      <c r="AB1" t="s">
        <v>315</v>
      </c>
      <c r="AC1" t="s">
        <v>316</v>
      </c>
      <c r="AD1" t="s">
        <v>317</v>
      </c>
      <c r="AE1" t="s">
        <v>318</v>
      </c>
      <c r="AF1" t="s">
        <v>319</v>
      </c>
      <c r="AG1" t="s">
        <v>320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4" si="0">AND(B2&lt;&gt;"",C2&lt;&gt;"")</f>
        <v>1</v>
      </c>
      <c r="I2" t="b">
        <f t="shared" ref="I2:I34" si="1">OR(B2&lt;&gt;"",C2&lt;&gt;"")</f>
        <v>1</v>
      </c>
      <c r="J2" t="b">
        <f t="shared" ref="J2:J34" si="2">AND(B2&lt;&gt;"",D2&lt;&gt;"")</f>
        <v>1</v>
      </c>
      <c r="K2" t="b">
        <f t="shared" ref="K2:K34" si="3">OR(B2&lt;&gt;"",D2&lt;&gt;"")</f>
        <v>1</v>
      </c>
      <c r="L2" t="b">
        <f t="shared" ref="L2:L34" si="4">AND(B2&lt;&gt;"",E2&lt;&gt;"")</f>
        <v>1</v>
      </c>
      <c r="M2" t="b">
        <f t="shared" ref="M2:M34" si="5">OR(B2&lt;&gt;"",E2&lt;&gt;"")</f>
        <v>1</v>
      </c>
      <c r="N2" t="b">
        <f t="shared" ref="N2:N34" si="6">AND(C2&lt;&gt;"",D2&lt;&gt;"")</f>
        <v>1</v>
      </c>
      <c r="O2" t="b">
        <f t="shared" ref="O2:O34" si="7">OR(C2&lt;&gt;"",D2&lt;&gt;"")</f>
        <v>1</v>
      </c>
      <c r="P2" t="b">
        <f t="shared" ref="P2:P34" si="8">AND(C2&lt;&gt;"",E2&lt;&gt;"")</f>
        <v>1</v>
      </c>
      <c r="Q2" t="b">
        <f t="shared" ref="Q2:Q34" si="9">OR(C2&lt;&gt;"",E2&lt;&gt;"")</f>
        <v>1</v>
      </c>
      <c r="R2" t="b">
        <f t="shared" ref="R2:R34" si="10">AND(D2&lt;&gt;"",E2&lt;&gt;"")</f>
        <v>1</v>
      </c>
      <c r="S2" t="b">
        <f t="shared" ref="S2:S34" si="11">OR(D2&lt;&gt;"",E2&lt;&gt;"")</f>
        <v>1</v>
      </c>
      <c r="V2" t="b">
        <f t="shared" ref="V2:V34" si="12">AND(B2&lt;&gt;"",C2&lt;&gt;"",F2="No")</f>
        <v>1</v>
      </c>
      <c r="W2" t="b">
        <f t="shared" ref="W2:W34" si="13">AND(OR(B2&lt;&gt;"",C2&lt;&gt;""),F2="No")</f>
        <v>1</v>
      </c>
      <c r="X2" t="b">
        <f t="shared" ref="X2:X34" si="14">AND(B2&lt;&gt;"",D2&lt;&gt;"",F2="No")</f>
        <v>1</v>
      </c>
      <c r="Y2" t="b">
        <f t="shared" ref="Y2:Y34" si="15">AND(OR(B2&lt;&gt;"",D2&lt;&gt;""),F2="No")</f>
        <v>1</v>
      </c>
      <c r="Z2" t="b">
        <f t="shared" ref="Z2:Z34" si="16">AND(B2&lt;&gt;"",E2&lt;&gt;"",F2="No")</f>
        <v>1</v>
      </c>
      <c r="AA2" t="b">
        <f t="shared" ref="AA2:AA34" si="17">AND(OR(B2&lt;&gt;"",E2&lt;&gt;""),F2="No")</f>
        <v>1</v>
      </c>
      <c r="AB2" t="b">
        <f t="shared" ref="AB2:AB34" si="18">AND(C2&lt;&gt;"",D2&lt;&gt;"",F2="No")</f>
        <v>1</v>
      </c>
      <c r="AC2" t="b">
        <f t="shared" ref="AC2:AC34" si="19">AND(OR(C2&lt;&gt;"",D2&lt;&gt;""),F2="No")</f>
        <v>1</v>
      </c>
      <c r="AD2" t="b">
        <f t="shared" ref="AD2:AD34" si="20">AND(C2&lt;&gt;"",E2&lt;&gt;"",F2="No")</f>
        <v>1</v>
      </c>
      <c r="AE2" t="b">
        <f t="shared" ref="AE2:AE34" si="21">AND(OR(C2&lt;&gt;"",E2&lt;&gt;""),F2="No")</f>
        <v>1</v>
      </c>
      <c r="AF2" t="b">
        <f t="shared" ref="AF2:AF34" si="22">AND(D2&lt;&gt;"",E2&lt;&gt;"",F2="No")</f>
        <v>1</v>
      </c>
      <c r="AG2" t="b">
        <f t="shared" ref="AG2:AG34" si="23">AND(OR(D2&lt;&gt;"",E2&lt;&gt;""),F2="No")</f>
        <v>1</v>
      </c>
    </row>
    <row r="3" spans="1:33">
      <c r="A3" s="3" t="s">
        <v>321</v>
      </c>
      <c r="E3" s="27" t="s">
        <v>220</v>
      </c>
      <c r="F3" s="6" t="s">
        <v>193</v>
      </c>
      <c r="H3" t="b">
        <f t="shared" ref="H3:H61" si="24">AND(B3&lt;&gt;"",C3&lt;&gt;"")</f>
        <v>0</v>
      </c>
      <c r="I3" t="b">
        <f t="shared" ref="I3:I61" si="25">OR(B3&lt;&gt;"",C3&lt;&gt;"")</f>
        <v>0</v>
      </c>
      <c r="J3" t="b">
        <f t="shared" ref="J3:J61" si="26">AND(B3&lt;&gt;"",D3&lt;&gt;"")</f>
        <v>0</v>
      </c>
      <c r="K3" t="b">
        <f t="shared" ref="K3:K61" si="27">OR(B3&lt;&gt;"",D3&lt;&gt;"")</f>
        <v>0</v>
      </c>
      <c r="L3" t="b">
        <f t="shared" ref="L3:L61" si="28">AND(B3&lt;&gt;"",E3&lt;&gt;"")</f>
        <v>0</v>
      </c>
      <c r="M3" t="b">
        <f t="shared" ref="M3:M61" si="29">OR(B3&lt;&gt;"",E3&lt;&gt;"")</f>
        <v>1</v>
      </c>
      <c r="N3" t="b">
        <f t="shared" ref="N3:N61" si="30">AND(C3&lt;&gt;"",D3&lt;&gt;"")</f>
        <v>0</v>
      </c>
      <c r="O3" t="b">
        <f t="shared" ref="O3:O61" si="31">OR(C3&lt;&gt;"",D3&lt;&gt;"")</f>
        <v>0</v>
      </c>
      <c r="P3" t="b">
        <f t="shared" ref="P3:P61" si="32">AND(C3&lt;&gt;"",E3&lt;&gt;"")</f>
        <v>0</v>
      </c>
      <c r="Q3" t="b">
        <f t="shared" ref="Q3:Q61" si="33">OR(C3&lt;&gt;"",E3&lt;&gt;"")</f>
        <v>1</v>
      </c>
      <c r="R3" t="b">
        <f t="shared" ref="R3:R61" si="34">AND(D3&lt;&gt;"",E3&lt;&gt;"")</f>
        <v>0</v>
      </c>
      <c r="S3" t="b">
        <f t="shared" ref="S3:S61" si="35">OR(D3&lt;&gt;"",E3&lt;&gt;"")</f>
        <v>1</v>
      </c>
      <c r="V3" t="b">
        <f t="shared" ref="V3:V61" si="36">AND(B3&lt;&gt;"",C3&lt;&gt;"",F3="No")</f>
        <v>0</v>
      </c>
      <c r="W3" t="b">
        <f t="shared" ref="W3:W61" si="37">AND(OR(B3&lt;&gt;"",C3&lt;&gt;""),F3="No")</f>
        <v>0</v>
      </c>
      <c r="X3" t="b">
        <f t="shared" ref="X3:X61" si="38">AND(B3&lt;&gt;"",D3&lt;&gt;"",F3="No")</f>
        <v>0</v>
      </c>
      <c r="Y3" t="b">
        <f t="shared" ref="Y3:Y61" si="39">AND(OR(B3&lt;&gt;"",D3&lt;&gt;""),F3="No")</f>
        <v>0</v>
      </c>
      <c r="Z3" t="b">
        <f t="shared" ref="Z3:Z61" si="40">AND(B3&lt;&gt;"",E3&lt;&gt;"",F3="No")</f>
        <v>0</v>
      </c>
      <c r="AA3" t="b">
        <f t="shared" ref="AA3:AA61" si="41">AND(OR(B3&lt;&gt;"",E3&lt;&gt;""),F3="No")</f>
        <v>1</v>
      </c>
      <c r="AB3" t="b">
        <f t="shared" ref="AB3:AB61" si="42">AND(C3&lt;&gt;"",D3&lt;&gt;"",F3="No")</f>
        <v>0</v>
      </c>
      <c r="AC3" t="b">
        <f t="shared" ref="AC3:AC61" si="43">AND(OR(C3&lt;&gt;"",D3&lt;&gt;""),F3="No")</f>
        <v>0</v>
      </c>
      <c r="AD3" t="b">
        <f t="shared" ref="AD3:AD61" si="44">AND(C3&lt;&gt;"",E3&lt;&gt;"",F3="No")</f>
        <v>0</v>
      </c>
      <c r="AE3" t="b">
        <f t="shared" ref="AE3:AE61" si="45">AND(OR(C3&lt;&gt;"",E3&lt;&gt;""),F3="No")</f>
        <v>1</v>
      </c>
      <c r="AF3" t="b">
        <f t="shared" ref="AF3:AF61" si="46">AND(D3&lt;&gt;"",E3&lt;&gt;"",F3="No")</f>
        <v>0</v>
      </c>
      <c r="AG3" t="b">
        <f t="shared" ref="AG3:AG61" si="47">AND(OR(D3&lt;&gt;"",E3&lt;&gt;""),F3="No")</f>
        <v>1</v>
      </c>
    </row>
    <row r="4" spans="1:33">
      <c r="A4" s="3" t="s">
        <v>199</v>
      </c>
      <c r="B4" s="27" t="s">
        <v>220</v>
      </c>
      <c r="C4" s="27" t="s">
        <v>192</v>
      </c>
      <c r="D4" s="27" t="s">
        <v>192</v>
      </c>
      <c r="E4" s="27" t="s">
        <v>220</v>
      </c>
      <c r="F4" s="6" t="s">
        <v>193</v>
      </c>
      <c r="H4" t="b">
        <f t="shared" si="24"/>
        <v>1</v>
      </c>
      <c r="I4" t="b">
        <f t="shared" si="25"/>
        <v>1</v>
      </c>
      <c r="J4" t="b">
        <f t="shared" si="26"/>
        <v>1</v>
      </c>
      <c r="K4" t="b">
        <f t="shared" si="27"/>
        <v>1</v>
      </c>
      <c r="L4" t="b">
        <f t="shared" si="28"/>
        <v>1</v>
      </c>
      <c r="M4" t="b">
        <f t="shared" si="29"/>
        <v>1</v>
      </c>
      <c r="N4" t="b">
        <f t="shared" si="30"/>
        <v>1</v>
      </c>
      <c r="O4" t="b">
        <f t="shared" si="31"/>
        <v>1</v>
      </c>
      <c r="P4" t="b">
        <f t="shared" si="32"/>
        <v>1</v>
      </c>
      <c r="Q4" t="b">
        <f t="shared" si="33"/>
        <v>1</v>
      </c>
      <c r="R4" t="b">
        <f t="shared" si="34"/>
        <v>1</v>
      </c>
      <c r="S4" t="b">
        <f t="shared" si="35"/>
        <v>1</v>
      </c>
      <c r="V4" t="b">
        <f t="shared" si="36"/>
        <v>1</v>
      </c>
      <c r="W4" t="b">
        <f t="shared" si="37"/>
        <v>1</v>
      </c>
      <c r="X4" t="b">
        <f t="shared" si="38"/>
        <v>1</v>
      </c>
      <c r="Y4" t="b">
        <f t="shared" si="39"/>
        <v>1</v>
      </c>
      <c r="Z4" t="b">
        <f t="shared" si="40"/>
        <v>1</v>
      </c>
      <c r="AA4" t="b">
        <f t="shared" si="41"/>
        <v>1</v>
      </c>
      <c r="AB4" t="b">
        <f t="shared" si="42"/>
        <v>1</v>
      </c>
      <c r="AC4" t="b">
        <f t="shared" si="43"/>
        <v>1</v>
      </c>
      <c r="AD4" t="b">
        <f t="shared" si="44"/>
        <v>1</v>
      </c>
      <c r="AE4" t="b">
        <f t="shared" si="45"/>
        <v>1</v>
      </c>
      <c r="AF4" t="b">
        <f t="shared" si="46"/>
        <v>1</v>
      </c>
      <c r="AG4" t="b">
        <f t="shared" si="47"/>
        <v>1</v>
      </c>
    </row>
    <row r="5" spans="1:33">
      <c r="A5" t="s">
        <v>322</v>
      </c>
      <c r="D5" s="27" t="s">
        <v>192</v>
      </c>
      <c r="F5" s="6" t="s">
        <v>196</v>
      </c>
      <c r="H5" t="b">
        <f t="shared" si="24"/>
        <v>0</v>
      </c>
      <c r="I5" t="b">
        <f t="shared" si="25"/>
        <v>0</v>
      </c>
      <c r="J5" t="b">
        <f t="shared" si="26"/>
        <v>0</v>
      </c>
      <c r="K5" t="b">
        <f t="shared" si="27"/>
        <v>1</v>
      </c>
      <c r="L5" t="b">
        <f t="shared" si="28"/>
        <v>0</v>
      </c>
      <c r="M5" t="b">
        <f t="shared" si="29"/>
        <v>0</v>
      </c>
      <c r="N5" t="b">
        <f t="shared" si="30"/>
        <v>0</v>
      </c>
      <c r="O5" t="b">
        <f t="shared" si="31"/>
        <v>1</v>
      </c>
      <c r="P5" t="b">
        <f t="shared" si="32"/>
        <v>0</v>
      </c>
      <c r="Q5" t="b">
        <f t="shared" si="33"/>
        <v>0</v>
      </c>
      <c r="R5" t="b">
        <f t="shared" si="34"/>
        <v>0</v>
      </c>
      <c r="S5" t="b">
        <f t="shared" si="35"/>
        <v>1</v>
      </c>
      <c r="V5" t="b">
        <f t="shared" si="36"/>
        <v>0</v>
      </c>
      <c r="W5" t="b">
        <f t="shared" si="37"/>
        <v>0</v>
      </c>
      <c r="X5" t="b">
        <f t="shared" si="38"/>
        <v>0</v>
      </c>
      <c r="Y5" t="b">
        <f t="shared" si="39"/>
        <v>0</v>
      </c>
      <c r="Z5" t="b">
        <f t="shared" si="40"/>
        <v>0</v>
      </c>
      <c r="AA5" t="b">
        <f t="shared" si="41"/>
        <v>0</v>
      </c>
      <c r="AB5" t="b">
        <f t="shared" si="42"/>
        <v>0</v>
      </c>
      <c r="AC5" t="b">
        <f t="shared" si="43"/>
        <v>0</v>
      </c>
      <c r="AD5" t="b">
        <f t="shared" si="44"/>
        <v>0</v>
      </c>
      <c r="AE5" t="b">
        <f t="shared" si="45"/>
        <v>0</v>
      </c>
      <c r="AF5" t="b">
        <f t="shared" si="46"/>
        <v>0</v>
      </c>
      <c r="AG5" t="b">
        <f t="shared" si="47"/>
        <v>0</v>
      </c>
    </row>
    <row r="6" spans="1:33">
      <c r="A6" s="3" t="s">
        <v>202</v>
      </c>
      <c r="B6" s="27" t="s">
        <v>220</v>
      </c>
      <c r="C6" s="27" t="s">
        <v>192</v>
      </c>
      <c r="D6" s="27" t="s">
        <v>192</v>
      </c>
      <c r="E6" s="27" t="s">
        <v>220</v>
      </c>
      <c r="F6" s="6" t="s">
        <v>193</v>
      </c>
      <c r="H6" t="b">
        <f t="shared" si="24"/>
        <v>1</v>
      </c>
      <c r="I6" t="b">
        <f t="shared" si="25"/>
        <v>1</v>
      </c>
      <c r="J6" t="b">
        <f t="shared" si="26"/>
        <v>1</v>
      </c>
      <c r="K6" t="b">
        <f t="shared" si="27"/>
        <v>1</v>
      </c>
      <c r="L6" t="b">
        <f t="shared" si="28"/>
        <v>1</v>
      </c>
      <c r="M6" t="b">
        <f t="shared" si="29"/>
        <v>1</v>
      </c>
      <c r="N6" t="b">
        <f t="shared" si="30"/>
        <v>1</v>
      </c>
      <c r="O6" t="b">
        <f t="shared" si="31"/>
        <v>1</v>
      </c>
      <c r="P6" t="b">
        <f t="shared" si="32"/>
        <v>1</v>
      </c>
      <c r="Q6" t="b">
        <f t="shared" si="33"/>
        <v>1</v>
      </c>
      <c r="R6" t="b">
        <f t="shared" si="34"/>
        <v>1</v>
      </c>
      <c r="S6" t="b">
        <f t="shared" si="35"/>
        <v>1</v>
      </c>
      <c r="V6" t="b">
        <f t="shared" si="36"/>
        <v>1</v>
      </c>
      <c r="W6" t="b">
        <f t="shared" si="37"/>
        <v>1</v>
      </c>
      <c r="X6" t="b">
        <f t="shared" si="38"/>
        <v>1</v>
      </c>
      <c r="Y6" t="b">
        <f t="shared" si="39"/>
        <v>1</v>
      </c>
      <c r="Z6" t="b">
        <f t="shared" si="40"/>
        <v>1</v>
      </c>
      <c r="AA6" t="b">
        <f t="shared" si="41"/>
        <v>1</v>
      </c>
      <c r="AB6" t="b">
        <f t="shared" si="42"/>
        <v>1</v>
      </c>
      <c r="AC6" t="b">
        <f t="shared" si="43"/>
        <v>1</v>
      </c>
      <c r="AD6" t="b">
        <f t="shared" si="44"/>
        <v>1</v>
      </c>
      <c r="AE6" t="b">
        <f t="shared" si="45"/>
        <v>1</v>
      </c>
      <c r="AF6" t="b">
        <f t="shared" si="46"/>
        <v>1</v>
      </c>
      <c r="AG6" t="b">
        <f t="shared" si="47"/>
        <v>1</v>
      </c>
    </row>
    <row r="7" spans="1:33">
      <c r="A7" s="3" t="s">
        <v>204</v>
      </c>
      <c r="B7" s="27" t="s">
        <v>192</v>
      </c>
      <c r="C7" s="27" t="s">
        <v>192</v>
      </c>
      <c r="D7" s="27" t="s">
        <v>192</v>
      </c>
      <c r="E7" s="27" t="s">
        <v>220</v>
      </c>
      <c r="F7" s="6" t="s">
        <v>193</v>
      </c>
      <c r="H7" t="b">
        <f t="shared" si="24"/>
        <v>1</v>
      </c>
      <c r="I7" t="b">
        <f t="shared" si="25"/>
        <v>1</v>
      </c>
      <c r="J7" t="b">
        <f t="shared" si="26"/>
        <v>1</v>
      </c>
      <c r="K7" t="b">
        <f t="shared" si="27"/>
        <v>1</v>
      </c>
      <c r="L7" t="b">
        <f t="shared" si="28"/>
        <v>1</v>
      </c>
      <c r="M7" t="b">
        <f t="shared" si="29"/>
        <v>1</v>
      </c>
      <c r="N7" t="b">
        <f t="shared" si="30"/>
        <v>1</v>
      </c>
      <c r="O7" t="b">
        <f t="shared" si="31"/>
        <v>1</v>
      </c>
      <c r="P7" t="b">
        <f t="shared" si="32"/>
        <v>1</v>
      </c>
      <c r="Q7" t="b">
        <f t="shared" si="33"/>
        <v>1</v>
      </c>
      <c r="R7" t="b">
        <f t="shared" si="34"/>
        <v>1</v>
      </c>
      <c r="S7" t="b">
        <f t="shared" si="35"/>
        <v>1</v>
      </c>
      <c r="V7" t="b">
        <f t="shared" si="36"/>
        <v>1</v>
      </c>
      <c r="W7" t="b">
        <f t="shared" si="37"/>
        <v>1</v>
      </c>
      <c r="X7" t="b">
        <f t="shared" si="38"/>
        <v>1</v>
      </c>
      <c r="Y7" t="b">
        <f t="shared" si="39"/>
        <v>1</v>
      </c>
      <c r="Z7" t="b">
        <f t="shared" si="40"/>
        <v>1</v>
      </c>
      <c r="AA7" t="b">
        <f t="shared" si="41"/>
        <v>1</v>
      </c>
      <c r="AB7" t="b">
        <f t="shared" si="42"/>
        <v>1</v>
      </c>
      <c r="AC7" t="b">
        <f t="shared" si="43"/>
        <v>1</v>
      </c>
      <c r="AD7" t="b">
        <f t="shared" si="44"/>
        <v>1</v>
      </c>
      <c r="AE7" t="b">
        <f t="shared" si="45"/>
        <v>1</v>
      </c>
      <c r="AF7" t="b">
        <f t="shared" si="46"/>
        <v>1</v>
      </c>
      <c r="AG7" t="b">
        <f t="shared" si="47"/>
        <v>1</v>
      </c>
    </row>
    <row r="8" spans="1:33">
      <c r="A8" s="3" t="s">
        <v>323</v>
      </c>
      <c r="B8" s="27" t="s">
        <v>192</v>
      </c>
      <c r="F8" s="6" t="s">
        <v>193</v>
      </c>
      <c r="H8" t="b">
        <f t="shared" si="24"/>
        <v>0</v>
      </c>
      <c r="I8" t="b">
        <f t="shared" si="25"/>
        <v>1</v>
      </c>
      <c r="J8" t="b">
        <f t="shared" si="26"/>
        <v>0</v>
      </c>
      <c r="K8" t="b">
        <f t="shared" si="27"/>
        <v>1</v>
      </c>
      <c r="L8" t="b">
        <f t="shared" si="28"/>
        <v>0</v>
      </c>
      <c r="M8" t="b">
        <f t="shared" si="29"/>
        <v>1</v>
      </c>
      <c r="N8" t="b">
        <f t="shared" si="30"/>
        <v>0</v>
      </c>
      <c r="O8" t="b">
        <f t="shared" si="31"/>
        <v>0</v>
      </c>
      <c r="P8" t="b">
        <f t="shared" si="32"/>
        <v>0</v>
      </c>
      <c r="Q8" t="b">
        <f t="shared" si="33"/>
        <v>0</v>
      </c>
      <c r="R8" t="b">
        <f t="shared" si="34"/>
        <v>0</v>
      </c>
      <c r="S8" t="b">
        <f t="shared" si="35"/>
        <v>0</v>
      </c>
      <c r="V8" t="b">
        <f t="shared" si="36"/>
        <v>0</v>
      </c>
      <c r="W8" t="b">
        <f t="shared" si="37"/>
        <v>1</v>
      </c>
      <c r="X8" t="b">
        <f t="shared" si="38"/>
        <v>0</v>
      </c>
      <c r="Y8" t="b">
        <f t="shared" si="39"/>
        <v>1</v>
      </c>
      <c r="Z8" t="b">
        <f t="shared" si="40"/>
        <v>0</v>
      </c>
      <c r="AA8" t="b">
        <f t="shared" si="41"/>
        <v>1</v>
      </c>
      <c r="AB8" t="b">
        <f t="shared" si="42"/>
        <v>0</v>
      </c>
      <c r="AC8" t="b">
        <f t="shared" si="43"/>
        <v>0</v>
      </c>
      <c r="AD8" t="b">
        <f t="shared" si="44"/>
        <v>0</v>
      </c>
      <c r="AE8" t="b">
        <f t="shared" si="45"/>
        <v>0</v>
      </c>
      <c r="AF8" t="b">
        <f t="shared" si="46"/>
        <v>0</v>
      </c>
      <c r="AG8" t="b">
        <f t="shared" si="47"/>
        <v>0</v>
      </c>
    </row>
    <row r="9" spans="1:33">
      <c r="A9" t="s">
        <v>324</v>
      </c>
      <c r="B9" s="27" t="s">
        <v>192</v>
      </c>
      <c r="F9" s="6" t="s">
        <v>196</v>
      </c>
      <c r="H9" t="b">
        <f t="shared" si="24"/>
        <v>0</v>
      </c>
      <c r="I9" t="b">
        <f t="shared" si="25"/>
        <v>1</v>
      </c>
      <c r="J9" t="b">
        <f t="shared" si="26"/>
        <v>0</v>
      </c>
      <c r="K9" t="b">
        <f t="shared" si="27"/>
        <v>1</v>
      </c>
      <c r="L9" t="b">
        <f t="shared" si="28"/>
        <v>0</v>
      </c>
      <c r="M9" t="b">
        <f t="shared" si="29"/>
        <v>1</v>
      </c>
      <c r="N9" t="b">
        <f t="shared" si="30"/>
        <v>0</v>
      </c>
      <c r="O9" t="b">
        <f t="shared" si="31"/>
        <v>0</v>
      </c>
      <c r="P9" t="b">
        <f t="shared" si="32"/>
        <v>0</v>
      </c>
      <c r="Q9" t="b">
        <f t="shared" si="33"/>
        <v>0</v>
      </c>
      <c r="R9" t="b">
        <f t="shared" si="34"/>
        <v>0</v>
      </c>
      <c r="S9" t="b">
        <f t="shared" si="35"/>
        <v>0</v>
      </c>
      <c r="V9" t="b">
        <f t="shared" si="36"/>
        <v>0</v>
      </c>
      <c r="W9" t="b">
        <f t="shared" si="37"/>
        <v>0</v>
      </c>
      <c r="X9" t="b">
        <f t="shared" si="38"/>
        <v>0</v>
      </c>
      <c r="Y9" t="b">
        <f t="shared" si="39"/>
        <v>0</v>
      </c>
      <c r="Z9" t="b">
        <f t="shared" si="40"/>
        <v>0</v>
      </c>
      <c r="AA9" t="b">
        <f t="shared" si="41"/>
        <v>0</v>
      </c>
      <c r="AB9" t="b">
        <f t="shared" si="42"/>
        <v>0</v>
      </c>
      <c r="AC9" t="b">
        <f t="shared" si="43"/>
        <v>0</v>
      </c>
      <c r="AD9" t="b">
        <f t="shared" si="44"/>
        <v>0</v>
      </c>
      <c r="AE9" t="b">
        <f t="shared" si="45"/>
        <v>0</v>
      </c>
      <c r="AF9" t="b">
        <f t="shared" si="46"/>
        <v>0</v>
      </c>
      <c r="AG9" t="b">
        <f t="shared" si="47"/>
        <v>0</v>
      </c>
    </row>
    <row r="10" spans="1:33">
      <c r="A10" t="s">
        <v>325</v>
      </c>
      <c r="B10" s="27" t="s">
        <v>192</v>
      </c>
      <c r="F10" s="6" t="s">
        <v>196</v>
      </c>
      <c r="H10" t="b">
        <f t="shared" si="24"/>
        <v>0</v>
      </c>
      <c r="I10" t="b">
        <f t="shared" si="25"/>
        <v>1</v>
      </c>
      <c r="J10" t="b">
        <f t="shared" si="26"/>
        <v>0</v>
      </c>
      <c r="K10" t="b">
        <f t="shared" si="27"/>
        <v>1</v>
      </c>
      <c r="L10" t="b">
        <f t="shared" si="28"/>
        <v>0</v>
      </c>
      <c r="M10" t="b">
        <f t="shared" si="29"/>
        <v>1</v>
      </c>
      <c r="N10" t="b">
        <f t="shared" si="30"/>
        <v>0</v>
      </c>
      <c r="O10" t="b">
        <f t="shared" si="31"/>
        <v>0</v>
      </c>
      <c r="P10" t="b">
        <f t="shared" si="32"/>
        <v>0</v>
      </c>
      <c r="Q10" t="b">
        <f t="shared" si="33"/>
        <v>0</v>
      </c>
      <c r="R10" t="b">
        <f t="shared" si="34"/>
        <v>0</v>
      </c>
      <c r="S10" t="b">
        <f t="shared" si="35"/>
        <v>0</v>
      </c>
      <c r="V10" t="b">
        <f t="shared" si="36"/>
        <v>0</v>
      </c>
      <c r="W10" t="b">
        <f t="shared" si="37"/>
        <v>0</v>
      </c>
      <c r="X10" t="b">
        <f t="shared" si="38"/>
        <v>0</v>
      </c>
      <c r="Y10" t="b">
        <f t="shared" si="39"/>
        <v>0</v>
      </c>
      <c r="Z10" t="b">
        <f t="shared" si="40"/>
        <v>0</v>
      </c>
      <c r="AA10" t="b">
        <f t="shared" si="41"/>
        <v>0</v>
      </c>
      <c r="AB10" t="b">
        <f t="shared" si="42"/>
        <v>0</v>
      </c>
      <c r="AC10" t="b">
        <f t="shared" si="43"/>
        <v>0</v>
      </c>
      <c r="AD10" t="b">
        <f t="shared" si="44"/>
        <v>0</v>
      </c>
      <c r="AE10" t="b">
        <f t="shared" si="45"/>
        <v>0</v>
      </c>
      <c r="AF10" t="b">
        <f t="shared" si="46"/>
        <v>0</v>
      </c>
      <c r="AG10" t="b">
        <f t="shared" si="47"/>
        <v>0</v>
      </c>
    </row>
    <row r="11" spans="1:33">
      <c r="A11" t="s">
        <v>326</v>
      </c>
      <c r="B11" s="27" t="s">
        <v>192</v>
      </c>
      <c r="F11" s="6" t="s">
        <v>196</v>
      </c>
      <c r="H11" t="b">
        <f t="shared" si="24"/>
        <v>0</v>
      </c>
      <c r="I11" t="b">
        <f t="shared" si="25"/>
        <v>1</v>
      </c>
      <c r="J11" t="b">
        <f t="shared" si="26"/>
        <v>0</v>
      </c>
      <c r="K11" t="b">
        <f t="shared" si="27"/>
        <v>1</v>
      </c>
      <c r="L11" t="b">
        <f t="shared" si="28"/>
        <v>0</v>
      </c>
      <c r="M11" t="b">
        <f t="shared" si="29"/>
        <v>1</v>
      </c>
      <c r="N11" t="b">
        <f t="shared" si="30"/>
        <v>0</v>
      </c>
      <c r="O11" t="b">
        <f t="shared" si="31"/>
        <v>0</v>
      </c>
      <c r="P11" t="b">
        <f t="shared" si="32"/>
        <v>0</v>
      </c>
      <c r="Q11" t="b">
        <f t="shared" si="33"/>
        <v>0</v>
      </c>
      <c r="R11" t="b">
        <f t="shared" si="34"/>
        <v>0</v>
      </c>
      <c r="S11" t="b">
        <f t="shared" si="35"/>
        <v>0</v>
      </c>
      <c r="V11" t="b">
        <f t="shared" si="36"/>
        <v>0</v>
      </c>
      <c r="W11" t="b">
        <f t="shared" si="37"/>
        <v>0</v>
      </c>
      <c r="X11" t="b">
        <f t="shared" si="38"/>
        <v>0</v>
      </c>
      <c r="Y11" t="b">
        <f t="shared" si="39"/>
        <v>0</v>
      </c>
      <c r="Z11" t="b">
        <f t="shared" si="40"/>
        <v>0</v>
      </c>
      <c r="AA11" t="b">
        <f t="shared" si="41"/>
        <v>0</v>
      </c>
      <c r="AB11" t="b">
        <f t="shared" si="42"/>
        <v>0</v>
      </c>
      <c r="AC11" t="b">
        <f t="shared" si="43"/>
        <v>0</v>
      </c>
      <c r="AD11" t="b">
        <f t="shared" si="44"/>
        <v>0</v>
      </c>
      <c r="AE11" t="b">
        <f t="shared" si="45"/>
        <v>0</v>
      </c>
      <c r="AF11" t="b">
        <f t="shared" si="46"/>
        <v>0</v>
      </c>
      <c r="AG11" t="b">
        <f t="shared" si="47"/>
        <v>0</v>
      </c>
    </row>
    <row r="12" spans="1:33">
      <c r="A12" t="s">
        <v>327</v>
      </c>
      <c r="B12" s="27" t="s">
        <v>192</v>
      </c>
      <c r="F12" s="6" t="s">
        <v>196</v>
      </c>
      <c r="H12" t="b">
        <f t="shared" si="24"/>
        <v>0</v>
      </c>
      <c r="I12" t="b">
        <f t="shared" si="25"/>
        <v>1</v>
      </c>
      <c r="J12" t="b">
        <f t="shared" si="26"/>
        <v>0</v>
      </c>
      <c r="K12" t="b">
        <f t="shared" si="27"/>
        <v>1</v>
      </c>
      <c r="L12" t="b">
        <f t="shared" si="28"/>
        <v>0</v>
      </c>
      <c r="M12" t="b">
        <f t="shared" si="29"/>
        <v>1</v>
      </c>
      <c r="N12" t="b">
        <f t="shared" si="30"/>
        <v>0</v>
      </c>
      <c r="O12" t="b">
        <f t="shared" si="31"/>
        <v>0</v>
      </c>
      <c r="P12" t="b">
        <f t="shared" si="32"/>
        <v>0</v>
      </c>
      <c r="Q12" t="b">
        <f t="shared" si="33"/>
        <v>0</v>
      </c>
      <c r="R12" t="b">
        <f t="shared" si="34"/>
        <v>0</v>
      </c>
      <c r="S12" t="b">
        <f t="shared" si="35"/>
        <v>0</v>
      </c>
      <c r="V12" t="b">
        <f t="shared" si="36"/>
        <v>0</v>
      </c>
      <c r="W12" t="b">
        <f t="shared" si="37"/>
        <v>0</v>
      </c>
      <c r="X12" t="b">
        <f t="shared" si="38"/>
        <v>0</v>
      </c>
      <c r="Y12" t="b">
        <f t="shared" si="39"/>
        <v>0</v>
      </c>
      <c r="Z12" t="b">
        <f t="shared" si="40"/>
        <v>0</v>
      </c>
      <c r="AA12" t="b">
        <f t="shared" si="41"/>
        <v>0</v>
      </c>
      <c r="AB12" t="b">
        <f t="shared" si="42"/>
        <v>0</v>
      </c>
      <c r="AC12" t="b">
        <f t="shared" si="43"/>
        <v>0</v>
      </c>
      <c r="AD12" t="b">
        <f t="shared" si="44"/>
        <v>0</v>
      </c>
      <c r="AE12" t="b">
        <f t="shared" si="45"/>
        <v>0</v>
      </c>
      <c r="AF12" t="b">
        <f t="shared" si="46"/>
        <v>0</v>
      </c>
      <c r="AG12" t="b">
        <f t="shared" si="47"/>
        <v>0</v>
      </c>
    </row>
    <row r="13" spans="1:33">
      <c r="A13" t="s">
        <v>328</v>
      </c>
      <c r="B13"/>
      <c r="C13" s="27" t="s">
        <v>192</v>
      </c>
      <c r="D13" s="27" t="s">
        <v>192</v>
      </c>
      <c r="E13" s="27" t="s">
        <v>192</v>
      </c>
      <c r="F13" s="6" t="s">
        <v>196</v>
      </c>
      <c r="H13" t="b">
        <f t="shared" si="24"/>
        <v>0</v>
      </c>
      <c r="I13" t="b">
        <f t="shared" si="25"/>
        <v>1</v>
      </c>
      <c r="J13" t="b">
        <f t="shared" si="26"/>
        <v>0</v>
      </c>
      <c r="K13" t="b">
        <f t="shared" si="27"/>
        <v>1</v>
      </c>
      <c r="L13" t="b">
        <f t="shared" si="28"/>
        <v>0</v>
      </c>
      <c r="M13" t="b">
        <f t="shared" si="29"/>
        <v>1</v>
      </c>
      <c r="N13" t="b">
        <f t="shared" si="30"/>
        <v>1</v>
      </c>
      <c r="O13" t="b">
        <f t="shared" si="31"/>
        <v>1</v>
      </c>
      <c r="P13" t="b">
        <f t="shared" si="32"/>
        <v>1</v>
      </c>
      <c r="Q13" t="b">
        <f t="shared" si="33"/>
        <v>1</v>
      </c>
      <c r="R13" t="b">
        <f t="shared" si="34"/>
        <v>1</v>
      </c>
      <c r="S13" t="b">
        <f t="shared" si="35"/>
        <v>1</v>
      </c>
      <c r="V13" t="b">
        <f t="shared" si="36"/>
        <v>0</v>
      </c>
      <c r="W13" t="b">
        <f t="shared" si="37"/>
        <v>0</v>
      </c>
      <c r="X13" t="b">
        <f t="shared" si="38"/>
        <v>0</v>
      </c>
      <c r="Y13" t="b">
        <f t="shared" si="39"/>
        <v>0</v>
      </c>
      <c r="Z13" t="b">
        <f t="shared" si="40"/>
        <v>0</v>
      </c>
      <c r="AA13" t="b">
        <f t="shared" si="41"/>
        <v>0</v>
      </c>
      <c r="AB13" t="b">
        <f t="shared" si="42"/>
        <v>0</v>
      </c>
      <c r="AC13" t="b">
        <f t="shared" si="43"/>
        <v>0</v>
      </c>
      <c r="AD13" t="b">
        <f t="shared" si="44"/>
        <v>0</v>
      </c>
      <c r="AE13" t="b">
        <f t="shared" si="45"/>
        <v>0</v>
      </c>
      <c r="AF13" t="b">
        <f t="shared" si="46"/>
        <v>0</v>
      </c>
      <c r="AG13" t="b">
        <f t="shared" si="47"/>
        <v>0</v>
      </c>
    </row>
    <row r="14" spans="1:33">
      <c r="A14" t="s">
        <v>329</v>
      </c>
      <c r="B14"/>
      <c r="C14" s="27" t="s">
        <v>192</v>
      </c>
      <c r="D14"/>
      <c r="E14"/>
      <c r="F14" s="6" t="s">
        <v>196</v>
      </c>
      <c r="H14" t="b">
        <f t="shared" si="24"/>
        <v>0</v>
      </c>
      <c r="I14" t="b">
        <f t="shared" si="25"/>
        <v>1</v>
      </c>
      <c r="J14" t="b">
        <f t="shared" si="26"/>
        <v>0</v>
      </c>
      <c r="K14" t="b">
        <f t="shared" si="27"/>
        <v>0</v>
      </c>
      <c r="L14" t="b">
        <f t="shared" si="28"/>
        <v>0</v>
      </c>
      <c r="M14" t="b">
        <f t="shared" si="29"/>
        <v>0</v>
      </c>
      <c r="N14" t="b">
        <f t="shared" si="30"/>
        <v>0</v>
      </c>
      <c r="O14" t="b">
        <f t="shared" si="31"/>
        <v>1</v>
      </c>
      <c r="P14" t="b">
        <f t="shared" si="32"/>
        <v>0</v>
      </c>
      <c r="Q14" t="b">
        <f t="shared" si="33"/>
        <v>1</v>
      </c>
      <c r="R14" t="b">
        <f t="shared" si="34"/>
        <v>0</v>
      </c>
      <c r="S14" t="b">
        <f t="shared" si="35"/>
        <v>0</v>
      </c>
      <c r="V14" t="b">
        <f t="shared" si="36"/>
        <v>0</v>
      </c>
      <c r="W14" t="b">
        <f t="shared" si="37"/>
        <v>0</v>
      </c>
      <c r="X14" t="b">
        <f t="shared" si="38"/>
        <v>0</v>
      </c>
      <c r="Y14" t="b">
        <f t="shared" si="39"/>
        <v>0</v>
      </c>
      <c r="Z14" t="b">
        <f t="shared" si="40"/>
        <v>0</v>
      </c>
      <c r="AA14" t="b">
        <f t="shared" si="41"/>
        <v>0</v>
      </c>
      <c r="AB14" t="b">
        <f t="shared" si="42"/>
        <v>0</v>
      </c>
      <c r="AC14" t="b">
        <f t="shared" si="43"/>
        <v>0</v>
      </c>
      <c r="AD14" t="b">
        <f t="shared" si="44"/>
        <v>0</v>
      </c>
      <c r="AE14" t="b">
        <f t="shared" si="45"/>
        <v>0</v>
      </c>
      <c r="AF14" t="b">
        <f t="shared" si="46"/>
        <v>0</v>
      </c>
      <c r="AG14" t="b">
        <f t="shared" si="47"/>
        <v>0</v>
      </c>
    </row>
    <row r="15" spans="1:33">
      <c r="A15" t="s">
        <v>330</v>
      </c>
      <c r="B15"/>
      <c r="D15" s="27" t="s">
        <v>192</v>
      </c>
      <c r="E15"/>
      <c r="F15" s="6" t="s">
        <v>196</v>
      </c>
      <c r="H15" t="b">
        <f t="shared" si="24"/>
        <v>0</v>
      </c>
      <c r="I15" t="b">
        <f t="shared" si="25"/>
        <v>0</v>
      </c>
      <c r="J15" t="b">
        <f t="shared" si="26"/>
        <v>0</v>
      </c>
      <c r="K15" t="b">
        <f t="shared" si="27"/>
        <v>1</v>
      </c>
      <c r="L15" t="b">
        <f t="shared" si="28"/>
        <v>0</v>
      </c>
      <c r="M15" t="b">
        <f t="shared" si="29"/>
        <v>0</v>
      </c>
      <c r="N15" t="b">
        <f t="shared" si="30"/>
        <v>0</v>
      </c>
      <c r="O15" t="b">
        <f t="shared" si="31"/>
        <v>1</v>
      </c>
      <c r="P15" t="b">
        <f t="shared" si="32"/>
        <v>0</v>
      </c>
      <c r="Q15" t="b">
        <f t="shared" si="33"/>
        <v>0</v>
      </c>
      <c r="R15" t="b">
        <f t="shared" si="34"/>
        <v>0</v>
      </c>
      <c r="S15" t="b">
        <f t="shared" si="35"/>
        <v>1</v>
      </c>
      <c r="V15" t="b">
        <f t="shared" si="36"/>
        <v>0</v>
      </c>
      <c r="W15" t="b">
        <f t="shared" si="37"/>
        <v>0</v>
      </c>
      <c r="X15" t="b">
        <f t="shared" si="38"/>
        <v>0</v>
      </c>
      <c r="Y15" t="b">
        <f t="shared" si="39"/>
        <v>0</v>
      </c>
      <c r="Z15" t="b">
        <f t="shared" si="40"/>
        <v>0</v>
      </c>
      <c r="AA15" t="b">
        <f t="shared" si="41"/>
        <v>0</v>
      </c>
      <c r="AB15" t="b">
        <f t="shared" si="42"/>
        <v>0</v>
      </c>
      <c r="AC15" t="b">
        <f t="shared" si="43"/>
        <v>0</v>
      </c>
      <c r="AD15" t="b">
        <f t="shared" si="44"/>
        <v>0</v>
      </c>
      <c r="AE15" t="b">
        <f t="shared" si="45"/>
        <v>0</v>
      </c>
      <c r="AF15" t="b">
        <f t="shared" si="46"/>
        <v>0</v>
      </c>
      <c r="AG15" t="b">
        <f t="shared" si="47"/>
        <v>0</v>
      </c>
    </row>
    <row r="16" spans="1:33">
      <c r="A16" t="s">
        <v>331</v>
      </c>
      <c r="B16"/>
      <c r="D16" s="27" t="s">
        <v>192</v>
      </c>
      <c r="E16"/>
      <c r="F16" s="6" t="s">
        <v>196</v>
      </c>
      <c r="H16" t="b">
        <f t="shared" si="24"/>
        <v>0</v>
      </c>
      <c r="I16" t="b">
        <f t="shared" si="25"/>
        <v>0</v>
      </c>
      <c r="J16" t="b">
        <f t="shared" si="26"/>
        <v>0</v>
      </c>
      <c r="K16" t="b">
        <f t="shared" si="27"/>
        <v>1</v>
      </c>
      <c r="L16" t="b">
        <f t="shared" si="28"/>
        <v>0</v>
      </c>
      <c r="M16" t="b">
        <f t="shared" si="29"/>
        <v>0</v>
      </c>
      <c r="N16" t="b">
        <f t="shared" si="30"/>
        <v>0</v>
      </c>
      <c r="O16" t="b">
        <f t="shared" si="31"/>
        <v>1</v>
      </c>
      <c r="P16" t="b">
        <f t="shared" si="32"/>
        <v>0</v>
      </c>
      <c r="Q16" t="b">
        <f t="shared" si="33"/>
        <v>0</v>
      </c>
      <c r="R16" t="b">
        <f t="shared" si="34"/>
        <v>0</v>
      </c>
      <c r="S16" t="b">
        <f t="shared" si="35"/>
        <v>1</v>
      </c>
      <c r="V16" t="b">
        <f t="shared" si="36"/>
        <v>0</v>
      </c>
      <c r="W16" t="b">
        <f t="shared" si="37"/>
        <v>0</v>
      </c>
      <c r="X16" t="b">
        <f t="shared" si="38"/>
        <v>0</v>
      </c>
      <c r="Y16" t="b">
        <f t="shared" si="39"/>
        <v>0</v>
      </c>
      <c r="Z16" t="b">
        <f t="shared" si="40"/>
        <v>0</v>
      </c>
      <c r="AA16" t="b">
        <f t="shared" si="41"/>
        <v>0</v>
      </c>
      <c r="AB16" t="b">
        <f t="shared" si="42"/>
        <v>0</v>
      </c>
      <c r="AC16" t="b">
        <f t="shared" si="43"/>
        <v>0</v>
      </c>
      <c r="AD16" t="b">
        <f t="shared" si="44"/>
        <v>0</v>
      </c>
      <c r="AE16" t="b">
        <f t="shared" si="45"/>
        <v>0</v>
      </c>
      <c r="AF16" t="b">
        <f t="shared" si="46"/>
        <v>0</v>
      </c>
      <c r="AG16" t="b">
        <f t="shared" si="47"/>
        <v>0</v>
      </c>
    </row>
    <row r="17" spans="1:33">
      <c r="A17" t="s">
        <v>332</v>
      </c>
      <c r="B17"/>
      <c r="D17" s="27" t="s">
        <v>192</v>
      </c>
      <c r="E17"/>
      <c r="F17" s="6" t="s">
        <v>196</v>
      </c>
      <c r="H17" t="b">
        <f t="shared" si="24"/>
        <v>0</v>
      </c>
      <c r="I17" t="b">
        <f t="shared" si="25"/>
        <v>0</v>
      </c>
      <c r="J17" t="b">
        <f t="shared" si="26"/>
        <v>0</v>
      </c>
      <c r="K17" t="b">
        <f t="shared" si="27"/>
        <v>1</v>
      </c>
      <c r="L17" t="b">
        <f t="shared" si="28"/>
        <v>0</v>
      </c>
      <c r="M17" t="b">
        <f t="shared" si="29"/>
        <v>0</v>
      </c>
      <c r="N17" t="b">
        <f t="shared" si="30"/>
        <v>0</v>
      </c>
      <c r="O17" t="b">
        <f t="shared" si="31"/>
        <v>1</v>
      </c>
      <c r="P17" t="b">
        <f t="shared" si="32"/>
        <v>0</v>
      </c>
      <c r="Q17" t="b">
        <f t="shared" si="33"/>
        <v>0</v>
      </c>
      <c r="R17" t="b">
        <f t="shared" si="34"/>
        <v>0</v>
      </c>
      <c r="S17" t="b">
        <f t="shared" si="35"/>
        <v>1</v>
      </c>
      <c r="V17" t="b">
        <f t="shared" si="36"/>
        <v>0</v>
      </c>
      <c r="W17" t="b">
        <f t="shared" si="37"/>
        <v>0</v>
      </c>
      <c r="X17" t="b">
        <f t="shared" si="38"/>
        <v>0</v>
      </c>
      <c r="Y17" t="b">
        <f t="shared" si="39"/>
        <v>0</v>
      </c>
      <c r="Z17" t="b">
        <f t="shared" si="40"/>
        <v>0</v>
      </c>
      <c r="AA17" t="b">
        <f t="shared" si="41"/>
        <v>0</v>
      </c>
      <c r="AB17" t="b">
        <f t="shared" si="42"/>
        <v>0</v>
      </c>
      <c r="AC17" t="b">
        <f t="shared" si="43"/>
        <v>0</v>
      </c>
      <c r="AD17" t="b">
        <f t="shared" si="44"/>
        <v>0</v>
      </c>
      <c r="AE17" t="b">
        <f t="shared" si="45"/>
        <v>0</v>
      </c>
      <c r="AF17" t="b">
        <f t="shared" si="46"/>
        <v>0</v>
      </c>
      <c r="AG17" t="b">
        <f t="shared" si="47"/>
        <v>0</v>
      </c>
    </row>
    <row r="18" spans="1:33">
      <c r="A18" s="3" t="s">
        <v>214</v>
      </c>
      <c r="B18" s="27" t="s">
        <v>192</v>
      </c>
      <c r="C18" s="27" t="s">
        <v>220</v>
      </c>
      <c r="D18" s="27" t="s">
        <v>220</v>
      </c>
      <c r="E18" s="27" t="s">
        <v>220</v>
      </c>
      <c r="F18" s="6" t="s">
        <v>193</v>
      </c>
      <c r="H18" t="b">
        <f t="shared" si="24"/>
        <v>1</v>
      </c>
      <c r="I18" t="b">
        <f t="shared" si="25"/>
        <v>1</v>
      </c>
      <c r="J18" t="b">
        <f t="shared" si="26"/>
        <v>1</v>
      </c>
      <c r="K18" t="b">
        <f t="shared" si="27"/>
        <v>1</v>
      </c>
      <c r="L18" t="b">
        <f t="shared" si="28"/>
        <v>1</v>
      </c>
      <c r="M18" t="b">
        <f t="shared" si="29"/>
        <v>1</v>
      </c>
      <c r="N18" t="b">
        <f t="shared" si="30"/>
        <v>1</v>
      </c>
      <c r="O18" t="b">
        <f t="shared" si="31"/>
        <v>1</v>
      </c>
      <c r="P18" t="b">
        <f t="shared" si="32"/>
        <v>1</v>
      </c>
      <c r="Q18" t="b">
        <f t="shared" si="33"/>
        <v>1</v>
      </c>
      <c r="R18" t="b">
        <f t="shared" si="34"/>
        <v>1</v>
      </c>
      <c r="S18" t="b">
        <f t="shared" si="35"/>
        <v>1</v>
      </c>
      <c r="V18" t="b">
        <f t="shared" si="36"/>
        <v>1</v>
      </c>
      <c r="W18" t="b">
        <f t="shared" si="37"/>
        <v>1</v>
      </c>
      <c r="X18" t="b">
        <f t="shared" si="38"/>
        <v>1</v>
      </c>
      <c r="Y18" t="b">
        <f t="shared" si="39"/>
        <v>1</v>
      </c>
      <c r="Z18" t="b">
        <f t="shared" si="40"/>
        <v>1</v>
      </c>
      <c r="AA18" t="b">
        <f t="shared" si="41"/>
        <v>1</v>
      </c>
      <c r="AB18" t="b">
        <f t="shared" si="42"/>
        <v>1</v>
      </c>
      <c r="AC18" t="b">
        <f t="shared" si="43"/>
        <v>1</v>
      </c>
      <c r="AD18" t="b">
        <f t="shared" si="44"/>
        <v>1</v>
      </c>
      <c r="AE18" t="b">
        <f t="shared" si="45"/>
        <v>1</v>
      </c>
      <c r="AF18" t="b">
        <f t="shared" si="46"/>
        <v>1</v>
      </c>
      <c r="AG18" t="b">
        <f t="shared" si="47"/>
        <v>1</v>
      </c>
    </row>
    <row r="19" spans="1:33">
      <c r="A19" s="3" t="s">
        <v>215</v>
      </c>
      <c r="B19"/>
      <c r="C19" s="27" t="s">
        <v>220</v>
      </c>
      <c r="D19" s="27" t="s">
        <v>220</v>
      </c>
      <c r="E19" s="27" t="s">
        <v>220</v>
      </c>
      <c r="F19" s="6" t="s">
        <v>193</v>
      </c>
      <c r="H19" t="b">
        <f t="shared" si="24"/>
        <v>0</v>
      </c>
      <c r="I19" t="b">
        <f t="shared" si="25"/>
        <v>1</v>
      </c>
      <c r="J19" t="b">
        <f t="shared" si="26"/>
        <v>0</v>
      </c>
      <c r="K19" t="b">
        <f t="shared" si="27"/>
        <v>1</v>
      </c>
      <c r="L19" t="b">
        <f t="shared" si="28"/>
        <v>0</v>
      </c>
      <c r="M19" t="b">
        <f t="shared" si="29"/>
        <v>1</v>
      </c>
      <c r="N19" t="b">
        <f t="shared" si="30"/>
        <v>1</v>
      </c>
      <c r="O19" t="b">
        <f t="shared" si="31"/>
        <v>1</v>
      </c>
      <c r="P19" t="b">
        <f t="shared" si="32"/>
        <v>1</v>
      </c>
      <c r="Q19" t="b">
        <f t="shared" si="33"/>
        <v>1</v>
      </c>
      <c r="R19" t="b">
        <f t="shared" si="34"/>
        <v>1</v>
      </c>
      <c r="S19" t="b">
        <f t="shared" si="35"/>
        <v>1</v>
      </c>
      <c r="V19" t="b">
        <f t="shared" si="36"/>
        <v>0</v>
      </c>
      <c r="W19" t="b">
        <f t="shared" si="37"/>
        <v>1</v>
      </c>
      <c r="X19" t="b">
        <f t="shared" si="38"/>
        <v>0</v>
      </c>
      <c r="Y19" t="b">
        <f t="shared" si="39"/>
        <v>1</v>
      </c>
      <c r="Z19" t="b">
        <f t="shared" si="40"/>
        <v>0</v>
      </c>
      <c r="AA19" t="b">
        <f t="shared" si="41"/>
        <v>1</v>
      </c>
      <c r="AB19" t="b">
        <f t="shared" si="42"/>
        <v>1</v>
      </c>
      <c r="AC19" t="b">
        <f t="shared" si="43"/>
        <v>1</v>
      </c>
      <c r="AD19" t="b">
        <f t="shared" si="44"/>
        <v>1</v>
      </c>
      <c r="AE19" t="b">
        <f t="shared" si="45"/>
        <v>1</v>
      </c>
      <c r="AF19" t="b">
        <f t="shared" si="46"/>
        <v>1</v>
      </c>
      <c r="AG19" t="b">
        <f t="shared" si="47"/>
        <v>1</v>
      </c>
    </row>
    <row r="20" spans="1:33">
      <c r="A20" s="3" t="s">
        <v>216</v>
      </c>
      <c r="B20" s="27" t="s">
        <v>220</v>
      </c>
      <c r="C20" s="27" t="s">
        <v>220</v>
      </c>
      <c r="D20" s="27" t="s">
        <v>220</v>
      </c>
      <c r="E20" s="27" t="s">
        <v>220</v>
      </c>
      <c r="F20" s="6" t="s">
        <v>193</v>
      </c>
      <c r="H20" t="b">
        <f t="shared" si="24"/>
        <v>1</v>
      </c>
      <c r="I20" t="b">
        <f t="shared" si="25"/>
        <v>1</v>
      </c>
      <c r="J20" t="b">
        <f t="shared" si="26"/>
        <v>1</v>
      </c>
      <c r="K20" t="b">
        <f t="shared" si="27"/>
        <v>1</v>
      </c>
      <c r="L20" t="b">
        <f t="shared" si="28"/>
        <v>1</v>
      </c>
      <c r="M20" t="b">
        <f t="shared" si="29"/>
        <v>1</v>
      </c>
      <c r="N20" t="b">
        <f t="shared" si="30"/>
        <v>1</v>
      </c>
      <c r="O20" t="b">
        <f t="shared" si="31"/>
        <v>1</v>
      </c>
      <c r="P20" t="b">
        <f t="shared" si="32"/>
        <v>1</v>
      </c>
      <c r="Q20" t="b">
        <f t="shared" si="33"/>
        <v>1</v>
      </c>
      <c r="R20" t="b">
        <f t="shared" si="34"/>
        <v>1</v>
      </c>
      <c r="S20" t="b">
        <f t="shared" si="35"/>
        <v>1</v>
      </c>
      <c r="V20" t="b">
        <f t="shared" si="36"/>
        <v>1</v>
      </c>
      <c r="W20" t="b">
        <f t="shared" si="37"/>
        <v>1</v>
      </c>
      <c r="X20" t="b">
        <f t="shared" si="38"/>
        <v>1</v>
      </c>
      <c r="Y20" t="b">
        <f t="shared" si="39"/>
        <v>1</v>
      </c>
      <c r="Z20" t="b">
        <f t="shared" si="40"/>
        <v>1</v>
      </c>
      <c r="AA20" t="b">
        <f t="shared" si="41"/>
        <v>1</v>
      </c>
      <c r="AB20" t="b">
        <f t="shared" si="42"/>
        <v>1</v>
      </c>
      <c r="AC20" t="b">
        <f t="shared" si="43"/>
        <v>1</v>
      </c>
      <c r="AD20" t="b">
        <f t="shared" si="44"/>
        <v>1</v>
      </c>
      <c r="AE20" t="b">
        <f t="shared" si="45"/>
        <v>1</v>
      </c>
      <c r="AF20" t="b">
        <f t="shared" si="46"/>
        <v>1</v>
      </c>
      <c r="AG20" t="b">
        <f t="shared" si="47"/>
        <v>1</v>
      </c>
    </row>
    <row r="21" spans="1:33">
      <c r="A21" s="3" t="s">
        <v>217</v>
      </c>
      <c r="B21" s="27" t="s">
        <v>192</v>
      </c>
      <c r="D21" s="27" t="s">
        <v>220</v>
      </c>
      <c r="E21" s="27" t="s">
        <v>220</v>
      </c>
      <c r="F21" s="6" t="s">
        <v>193</v>
      </c>
      <c r="H21" t="b">
        <f t="shared" si="24"/>
        <v>0</v>
      </c>
      <c r="I21" t="b">
        <f t="shared" si="25"/>
        <v>1</v>
      </c>
      <c r="J21" t="b">
        <f t="shared" si="26"/>
        <v>1</v>
      </c>
      <c r="K21" t="b">
        <f t="shared" si="27"/>
        <v>1</v>
      </c>
      <c r="L21" t="b">
        <f t="shared" si="28"/>
        <v>1</v>
      </c>
      <c r="M21" t="b">
        <f t="shared" si="29"/>
        <v>1</v>
      </c>
      <c r="N21" t="b">
        <f t="shared" si="30"/>
        <v>0</v>
      </c>
      <c r="O21" t="b">
        <f t="shared" si="31"/>
        <v>1</v>
      </c>
      <c r="P21" t="b">
        <f t="shared" si="32"/>
        <v>0</v>
      </c>
      <c r="Q21" t="b">
        <f t="shared" si="33"/>
        <v>1</v>
      </c>
      <c r="R21" t="b">
        <f t="shared" si="34"/>
        <v>1</v>
      </c>
      <c r="S21" t="b">
        <f t="shared" si="35"/>
        <v>1</v>
      </c>
      <c r="V21" t="b">
        <f t="shared" si="36"/>
        <v>0</v>
      </c>
      <c r="W21" t="b">
        <f t="shared" si="37"/>
        <v>1</v>
      </c>
      <c r="X21" t="b">
        <f t="shared" si="38"/>
        <v>1</v>
      </c>
      <c r="Y21" t="b">
        <f t="shared" si="39"/>
        <v>1</v>
      </c>
      <c r="Z21" t="b">
        <f t="shared" si="40"/>
        <v>1</v>
      </c>
      <c r="AA21" t="b">
        <f t="shared" si="41"/>
        <v>1</v>
      </c>
      <c r="AB21" t="b">
        <f t="shared" si="42"/>
        <v>0</v>
      </c>
      <c r="AC21" t="b">
        <f t="shared" si="43"/>
        <v>1</v>
      </c>
      <c r="AD21" t="b">
        <f t="shared" si="44"/>
        <v>0</v>
      </c>
      <c r="AE21" t="b">
        <f t="shared" si="45"/>
        <v>1</v>
      </c>
      <c r="AF21" t="b">
        <f t="shared" si="46"/>
        <v>1</v>
      </c>
      <c r="AG21" t="b">
        <f t="shared" si="47"/>
        <v>1</v>
      </c>
    </row>
    <row r="22" spans="1:33">
      <c r="A22" s="3" t="s">
        <v>218</v>
      </c>
      <c r="B22" s="27" t="s">
        <v>192</v>
      </c>
      <c r="D22" s="27" t="s">
        <v>220</v>
      </c>
      <c r="E22" s="27" t="s">
        <v>220</v>
      </c>
      <c r="F22" s="6" t="s">
        <v>193</v>
      </c>
      <c r="H22" t="b">
        <f t="shared" si="24"/>
        <v>0</v>
      </c>
      <c r="I22" t="b">
        <f t="shared" si="25"/>
        <v>1</v>
      </c>
      <c r="J22" t="b">
        <f t="shared" si="26"/>
        <v>1</v>
      </c>
      <c r="K22" t="b">
        <f t="shared" si="27"/>
        <v>1</v>
      </c>
      <c r="L22" t="b">
        <f t="shared" si="28"/>
        <v>1</v>
      </c>
      <c r="M22" t="b">
        <f t="shared" si="29"/>
        <v>1</v>
      </c>
      <c r="N22" t="b">
        <f t="shared" si="30"/>
        <v>0</v>
      </c>
      <c r="O22" t="b">
        <f t="shared" si="31"/>
        <v>1</v>
      </c>
      <c r="P22" t="b">
        <f t="shared" si="32"/>
        <v>0</v>
      </c>
      <c r="Q22" t="b">
        <f t="shared" si="33"/>
        <v>1</v>
      </c>
      <c r="R22" t="b">
        <f t="shared" si="34"/>
        <v>1</v>
      </c>
      <c r="S22" t="b">
        <f t="shared" si="35"/>
        <v>1</v>
      </c>
      <c r="V22" t="b">
        <f t="shared" si="36"/>
        <v>0</v>
      </c>
      <c r="W22" t="b">
        <f t="shared" si="37"/>
        <v>1</v>
      </c>
      <c r="X22" t="b">
        <f t="shared" si="38"/>
        <v>1</v>
      </c>
      <c r="Y22" t="b">
        <f t="shared" si="39"/>
        <v>1</v>
      </c>
      <c r="Z22" t="b">
        <f t="shared" si="40"/>
        <v>1</v>
      </c>
      <c r="AA22" t="b">
        <f t="shared" si="41"/>
        <v>1</v>
      </c>
      <c r="AB22" t="b">
        <f t="shared" si="42"/>
        <v>0</v>
      </c>
      <c r="AC22" t="b">
        <f t="shared" si="43"/>
        <v>1</v>
      </c>
      <c r="AD22" t="b">
        <f t="shared" si="44"/>
        <v>0</v>
      </c>
      <c r="AE22" t="b">
        <f t="shared" si="45"/>
        <v>1</v>
      </c>
      <c r="AF22" t="b">
        <f t="shared" si="46"/>
        <v>1</v>
      </c>
      <c r="AG22" t="b">
        <f t="shared" si="47"/>
        <v>1</v>
      </c>
    </row>
    <row r="23" spans="1:33">
      <c r="A23" s="3" t="s">
        <v>333</v>
      </c>
      <c r="B23"/>
      <c r="C23" s="27" t="s">
        <v>192</v>
      </c>
      <c r="E23" s="27" t="s">
        <v>192</v>
      </c>
      <c r="F23" s="6" t="s">
        <v>193</v>
      </c>
      <c r="H23" t="b">
        <f t="shared" si="24"/>
        <v>0</v>
      </c>
      <c r="I23" t="b">
        <f t="shared" si="25"/>
        <v>1</v>
      </c>
      <c r="J23" t="b">
        <f t="shared" si="26"/>
        <v>0</v>
      </c>
      <c r="K23" t="b">
        <f t="shared" si="27"/>
        <v>0</v>
      </c>
      <c r="L23" t="b">
        <f t="shared" si="28"/>
        <v>0</v>
      </c>
      <c r="M23" t="b">
        <f t="shared" si="29"/>
        <v>1</v>
      </c>
      <c r="N23" t="b">
        <f t="shared" si="30"/>
        <v>0</v>
      </c>
      <c r="O23" t="b">
        <f t="shared" si="31"/>
        <v>1</v>
      </c>
      <c r="P23" t="b">
        <f t="shared" si="32"/>
        <v>1</v>
      </c>
      <c r="Q23" t="b">
        <f t="shared" si="33"/>
        <v>1</v>
      </c>
      <c r="R23" t="b">
        <f t="shared" si="34"/>
        <v>0</v>
      </c>
      <c r="S23" t="b">
        <f t="shared" si="35"/>
        <v>1</v>
      </c>
      <c r="V23" t="b">
        <f t="shared" si="36"/>
        <v>0</v>
      </c>
      <c r="W23" t="b">
        <f t="shared" si="37"/>
        <v>1</v>
      </c>
      <c r="X23" t="b">
        <f t="shared" si="38"/>
        <v>0</v>
      </c>
      <c r="Y23" t="b">
        <f t="shared" si="39"/>
        <v>0</v>
      </c>
      <c r="Z23" t="b">
        <f t="shared" si="40"/>
        <v>0</v>
      </c>
      <c r="AA23" t="b">
        <f t="shared" si="41"/>
        <v>1</v>
      </c>
      <c r="AB23" t="b">
        <f t="shared" si="42"/>
        <v>0</v>
      </c>
      <c r="AC23" t="b">
        <f t="shared" si="43"/>
        <v>1</v>
      </c>
      <c r="AD23" t="b">
        <f t="shared" si="44"/>
        <v>1</v>
      </c>
      <c r="AE23" t="b">
        <f t="shared" si="45"/>
        <v>1</v>
      </c>
      <c r="AF23" t="b">
        <f t="shared" si="46"/>
        <v>0</v>
      </c>
      <c r="AG23" t="b">
        <f t="shared" si="47"/>
        <v>1</v>
      </c>
    </row>
    <row r="24" spans="1:33">
      <c r="A24" s="3" t="s">
        <v>219</v>
      </c>
      <c r="B24" s="27" t="s">
        <v>192</v>
      </c>
      <c r="C24" s="27" t="s">
        <v>192</v>
      </c>
      <c r="D24" s="27" t="s">
        <v>192</v>
      </c>
      <c r="E24" s="27" t="s">
        <v>192</v>
      </c>
      <c r="F24" s="6" t="s">
        <v>193</v>
      </c>
      <c r="H24" t="b">
        <f t="shared" si="24"/>
        <v>1</v>
      </c>
      <c r="I24" t="b">
        <f t="shared" si="25"/>
        <v>1</v>
      </c>
      <c r="J24" t="b">
        <f t="shared" si="26"/>
        <v>1</v>
      </c>
      <c r="K24" t="b">
        <f t="shared" si="27"/>
        <v>1</v>
      </c>
      <c r="L24" t="b">
        <f t="shared" si="28"/>
        <v>1</v>
      </c>
      <c r="M24" t="b">
        <f t="shared" si="29"/>
        <v>1</v>
      </c>
      <c r="N24" t="b">
        <f t="shared" si="30"/>
        <v>1</v>
      </c>
      <c r="O24" t="b">
        <f t="shared" si="31"/>
        <v>1</v>
      </c>
      <c r="P24" t="b">
        <f t="shared" si="32"/>
        <v>1</v>
      </c>
      <c r="Q24" t="b">
        <f t="shared" si="33"/>
        <v>1</v>
      </c>
      <c r="R24" t="b">
        <f t="shared" si="34"/>
        <v>1</v>
      </c>
      <c r="S24" t="b">
        <f t="shared" si="35"/>
        <v>1</v>
      </c>
      <c r="V24" t="b">
        <f t="shared" si="36"/>
        <v>1</v>
      </c>
      <c r="W24" t="b">
        <f t="shared" si="37"/>
        <v>1</v>
      </c>
      <c r="X24" t="b">
        <f t="shared" si="38"/>
        <v>1</v>
      </c>
      <c r="Y24" t="b">
        <f t="shared" si="39"/>
        <v>1</v>
      </c>
      <c r="Z24" t="b">
        <f t="shared" si="40"/>
        <v>1</v>
      </c>
      <c r="AA24" t="b">
        <f t="shared" si="41"/>
        <v>1</v>
      </c>
      <c r="AB24" t="b">
        <f t="shared" si="42"/>
        <v>1</v>
      </c>
      <c r="AC24" t="b">
        <f t="shared" si="43"/>
        <v>1</v>
      </c>
      <c r="AD24" t="b">
        <f t="shared" si="44"/>
        <v>1</v>
      </c>
      <c r="AE24" t="b">
        <f t="shared" si="45"/>
        <v>1</v>
      </c>
      <c r="AF24" t="b">
        <f t="shared" si="46"/>
        <v>1</v>
      </c>
      <c r="AG24" t="b">
        <f t="shared" si="47"/>
        <v>1</v>
      </c>
    </row>
    <row r="25" spans="1:33">
      <c r="A25" s="3" t="s">
        <v>221</v>
      </c>
      <c r="B25" s="27" t="s">
        <v>220</v>
      </c>
      <c r="C25" s="27" t="s">
        <v>220</v>
      </c>
      <c r="D25" s="27" t="s">
        <v>220</v>
      </c>
      <c r="E25" s="27" t="s">
        <v>220</v>
      </c>
      <c r="F25" s="6" t="s">
        <v>193</v>
      </c>
      <c r="H25" t="b">
        <f t="shared" si="24"/>
        <v>1</v>
      </c>
      <c r="I25" t="b">
        <f t="shared" si="25"/>
        <v>1</v>
      </c>
      <c r="J25" t="b">
        <f t="shared" si="26"/>
        <v>1</v>
      </c>
      <c r="K25" t="b">
        <f t="shared" si="27"/>
        <v>1</v>
      </c>
      <c r="L25" t="b">
        <f t="shared" si="28"/>
        <v>1</v>
      </c>
      <c r="M25" t="b">
        <f t="shared" si="29"/>
        <v>1</v>
      </c>
      <c r="N25" t="b">
        <f t="shared" si="30"/>
        <v>1</v>
      </c>
      <c r="O25" t="b">
        <f t="shared" si="31"/>
        <v>1</v>
      </c>
      <c r="P25" t="b">
        <f t="shared" si="32"/>
        <v>1</v>
      </c>
      <c r="Q25" t="b">
        <f t="shared" si="33"/>
        <v>1</v>
      </c>
      <c r="R25" t="b">
        <f t="shared" si="34"/>
        <v>1</v>
      </c>
      <c r="S25" t="b">
        <f t="shared" si="35"/>
        <v>1</v>
      </c>
      <c r="V25" t="b">
        <f t="shared" si="36"/>
        <v>1</v>
      </c>
      <c r="W25" t="b">
        <f t="shared" si="37"/>
        <v>1</v>
      </c>
      <c r="X25" t="b">
        <f t="shared" si="38"/>
        <v>1</v>
      </c>
      <c r="Y25" t="b">
        <f t="shared" si="39"/>
        <v>1</v>
      </c>
      <c r="Z25" t="b">
        <f t="shared" si="40"/>
        <v>1</v>
      </c>
      <c r="AA25" t="b">
        <f t="shared" si="41"/>
        <v>1</v>
      </c>
      <c r="AB25" t="b">
        <f t="shared" si="42"/>
        <v>1</v>
      </c>
      <c r="AC25" t="b">
        <f t="shared" si="43"/>
        <v>1</v>
      </c>
      <c r="AD25" t="b">
        <f t="shared" si="44"/>
        <v>1</v>
      </c>
      <c r="AE25" t="b">
        <f t="shared" si="45"/>
        <v>1</v>
      </c>
      <c r="AF25" t="b">
        <f t="shared" si="46"/>
        <v>1</v>
      </c>
      <c r="AG25" t="b">
        <f t="shared" si="47"/>
        <v>1</v>
      </c>
    </row>
    <row r="26" spans="1:33">
      <c r="A26" s="3" t="s">
        <v>334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24"/>
        <v>1</v>
      </c>
      <c r="I26" t="b">
        <f t="shared" si="25"/>
        <v>1</v>
      </c>
      <c r="J26" t="b">
        <f t="shared" si="26"/>
        <v>1</v>
      </c>
      <c r="K26" t="b">
        <f t="shared" si="27"/>
        <v>1</v>
      </c>
      <c r="L26" t="b">
        <f t="shared" si="28"/>
        <v>1</v>
      </c>
      <c r="M26" t="b">
        <f t="shared" si="29"/>
        <v>1</v>
      </c>
      <c r="N26" t="b">
        <f t="shared" si="30"/>
        <v>1</v>
      </c>
      <c r="O26" t="b">
        <f t="shared" si="31"/>
        <v>1</v>
      </c>
      <c r="P26" t="b">
        <f t="shared" si="32"/>
        <v>1</v>
      </c>
      <c r="Q26" t="b">
        <f t="shared" si="33"/>
        <v>1</v>
      </c>
      <c r="R26" t="b">
        <f t="shared" si="34"/>
        <v>1</v>
      </c>
      <c r="S26" t="b">
        <f t="shared" si="35"/>
        <v>1</v>
      </c>
      <c r="V26" t="b">
        <f t="shared" si="36"/>
        <v>1</v>
      </c>
      <c r="W26" t="b">
        <f t="shared" si="37"/>
        <v>1</v>
      </c>
      <c r="X26" t="b">
        <f t="shared" si="38"/>
        <v>1</v>
      </c>
      <c r="Y26" t="b">
        <f t="shared" si="39"/>
        <v>1</v>
      </c>
      <c r="Z26" t="b">
        <f t="shared" si="40"/>
        <v>1</v>
      </c>
      <c r="AA26" t="b">
        <f t="shared" si="41"/>
        <v>1</v>
      </c>
      <c r="AB26" t="b">
        <f t="shared" si="42"/>
        <v>1</v>
      </c>
      <c r="AC26" t="b">
        <f t="shared" si="43"/>
        <v>1</v>
      </c>
      <c r="AD26" t="b">
        <f t="shared" si="44"/>
        <v>1</v>
      </c>
      <c r="AE26" t="b">
        <f t="shared" si="45"/>
        <v>1</v>
      </c>
      <c r="AF26" t="b">
        <f t="shared" si="46"/>
        <v>1</v>
      </c>
      <c r="AG26" t="b">
        <f t="shared" si="47"/>
        <v>1</v>
      </c>
    </row>
    <row r="27" spans="1:33">
      <c r="A27" s="3" t="s">
        <v>335</v>
      </c>
      <c r="B27" s="27" t="s">
        <v>192</v>
      </c>
      <c r="C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24"/>
        <v>1</v>
      </c>
      <c r="I27" t="b">
        <f t="shared" si="25"/>
        <v>1</v>
      </c>
      <c r="J27" t="b">
        <f t="shared" si="26"/>
        <v>1</v>
      </c>
      <c r="K27" t="b">
        <f t="shared" si="27"/>
        <v>1</v>
      </c>
      <c r="L27" t="b">
        <f t="shared" si="28"/>
        <v>1</v>
      </c>
      <c r="M27" t="b">
        <f t="shared" si="29"/>
        <v>1</v>
      </c>
      <c r="N27" t="b">
        <f t="shared" si="30"/>
        <v>1</v>
      </c>
      <c r="O27" t="b">
        <f t="shared" si="31"/>
        <v>1</v>
      </c>
      <c r="P27" t="b">
        <f t="shared" si="32"/>
        <v>1</v>
      </c>
      <c r="Q27" t="b">
        <f t="shared" si="33"/>
        <v>1</v>
      </c>
      <c r="R27" t="b">
        <f t="shared" si="34"/>
        <v>1</v>
      </c>
      <c r="S27" t="b">
        <f t="shared" si="35"/>
        <v>1</v>
      </c>
      <c r="V27" t="b">
        <f t="shared" si="36"/>
        <v>1</v>
      </c>
      <c r="W27" t="b">
        <f t="shared" si="37"/>
        <v>1</v>
      </c>
      <c r="X27" t="b">
        <f t="shared" si="38"/>
        <v>1</v>
      </c>
      <c r="Y27" t="b">
        <f t="shared" si="39"/>
        <v>1</v>
      </c>
      <c r="Z27" t="b">
        <f t="shared" si="40"/>
        <v>1</v>
      </c>
      <c r="AA27" t="b">
        <f t="shared" si="41"/>
        <v>1</v>
      </c>
      <c r="AB27" t="b">
        <f t="shared" si="42"/>
        <v>1</v>
      </c>
      <c r="AC27" t="b">
        <f t="shared" si="43"/>
        <v>1</v>
      </c>
      <c r="AD27" t="b">
        <f t="shared" si="44"/>
        <v>1</v>
      </c>
      <c r="AE27" t="b">
        <f t="shared" si="45"/>
        <v>1</v>
      </c>
      <c r="AF27" t="b">
        <f t="shared" si="46"/>
        <v>1</v>
      </c>
      <c r="AG27" t="b">
        <f t="shared" si="47"/>
        <v>1</v>
      </c>
    </row>
    <row r="28" spans="1:33">
      <c r="A28" s="3" t="s">
        <v>336</v>
      </c>
      <c r="B28" s="27" t="s">
        <v>192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24"/>
        <v>1</v>
      </c>
      <c r="I28" t="b">
        <f t="shared" si="25"/>
        <v>1</v>
      </c>
      <c r="J28" t="b">
        <f t="shared" si="26"/>
        <v>1</v>
      </c>
      <c r="K28" t="b">
        <f t="shared" si="27"/>
        <v>1</v>
      </c>
      <c r="L28" t="b">
        <f t="shared" si="28"/>
        <v>1</v>
      </c>
      <c r="M28" t="b">
        <f t="shared" si="29"/>
        <v>1</v>
      </c>
      <c r="N28" t="b">
        <f t="shared" si="30"/>
        <v>1</v>
      </c>
      <c r="O28" t="b">
        <f t="shared" si="31"/>
        <v>1</v>
      </c>
      <c r="P28" t="b">
        <f t="shared" si="32"/>
        <v>1</v>
      </c>
      <c r="Q28" t="b">
        <f t="shared" si="33"/>
        <v>1</v>
      </c>
      <c r="R28" t="b">
        <f t="shared" si="34"/>
        <v>1</v>
      </c>
      <c r="S28" t="b">
        <f t="shared" si="35"/>
        <v>1</v>
      </c>
      <c r="V28" t="b">
        <f t="shared" si="36"/>
        <v>1</v>
      </c>
      <c r="W28" t="b">
        <f t="shared" si="37"/>
        <v>1</v>
      </c>
      <c r="X28" t="b">
        <f t="shared" si="38"/>
        <v>1</v>
      </c>
      <c r="Y28" t="b">
        <f t="shared" si="39"/>
        <v>1</v>
      </c>
      <c r="Z28" t="b">
        <f t="shared" si="40"/>
        <v>1</v>
      </c>
      <c r="AA28" t="b">
        <f t="shared" si="41"/>
        <v>1</v>
      </c>
      <c r="AB28" t="b">
        <f t="shared" si="42"/>
        <v>1</v>
      </c>
      <c r="AC28" t="b">
        <f t="shared" si="43"/>
        <v>1</v>
      </c>
      <c r="AD28" t="b">
        <f t="shared" si="44"/>
        <v>1</v>
      </c>
      <c r="AE28" t="b">
        <f t="shared" si="45"/>
        <v>1</v>
      </c>
      <c r="AF28" t="b">
        <f t="shared" si="46"/>
        <v>1</v>
      </c>
      <c r="AG28" t="b">
        <f t="shared" si="47"/>
        <v>1</v>
      </c>
    </row>
    <row r="29" spans="1:33">
      <c r="A29" s="3" t="s">
        <v>337</v>
      </c>
      <c r="B29"/>
      <c r="C29"/>
      <c r="D29"/>
      <c r="E29" s="27" t="s">
        <v>192</v>
      </c>
      <c r="F29" s="6" t="s">
        <v>193</v>
      </c>
      <c r="H29" t="b">
        <f t="shared" si="24"/>
        <v>0</v>
      </c>
      <c r="I29" t="b">
        <f t="shared" si="25"/>
        <v>0</v>
      </c>
      <c r="J29" t="b">
        <f t="shared" si="26"/>
        <v>0</v>
      </c>
      <c r="K29" t="b">
        <f t="shared" si="27"/>
        <v>0</v>
      </c>
      <c r="L29" t="b">
        <f t="shared" si="28"/>
        <v>0</v>
      </c>
      <c r="M29" t="b">
        <f t="shared" si="29"/>
        <v>1</v>
      </c>
      <c r="N29" t="b">
        <f t="shared" si="30"/>
        <v>0</v>
      </c>
      <c r="O29" t="b">
        <f t="shared" si="31"/>
        <v>0</v>
      </c>
      <c r="P29" t="b">
        <f t="shared" si="32"/>
        <v>0</v>
      </c>
      <c r="Q29" t="b">
        <f t="shared" si="33"/>
        <v>1</v>
      </c>
      <c r="R29" t="b">
        <f t="shared" si="34"/>
        <v>0</v>
      </c>
      <c r="S29" t="b">
        <f t="shared" si="35"/>
        <v>1</v>
      </c>
      <c r="V29" t="b">
        <f t="shared" si="36"/>
        <v>0</v>
      </c>
      <c r="W29" t="b">
        <f t="shared" si="37"/>
        <v>0</v>
      </c>
      <c r="X29" t="b">
        <f t="shared" si="38"/>
        <v>0</v>
      </c>
      <c r="Y29" t="b">
        <f t="shared" si="39"/>
        <v>0</v>
      </c>
      <c r="Z29" t="b">
        <f t="shared" si="40"/>
        <v>0</v>
      </c>
      <c r="AA29" t="b">
        <f t="shared" si="41"/>
        <v>1</v>
      </c>
      <c r="AB29" t="b">
        <f t="shared" si="42"/>
        <v>0</v>
      </c>
      <c r="AC29" t="b">
        <f t="shared" si="43"/>
        <v>0</v>
      </c>
      <c r="AD29" t="b">
        <f t="shared" si="44"/>
        <v>0</v>
      </c>
      <c r="AE29" t="b">
        <f t="shared" si="45"/>
        <v>1</v>
      </c>
      <c r="AF29" t="b">
        <f t="shared" si="46"/>
        <v>0</v>
      </c>
      <c r="AG29" t="b">
        <f t="shared" si="47"/>
        <v>1</v>
      </c>
    </row>
    <row r="30" spans="1:33">
      <c r="A30" t="s">
        <v>338</v>
      </c>
      <c r="B30" s="27" t="s">
        <v>192</v>
      </c>
      <c r="F30" s="6" t="s">
        <v>196</v>
      </c>
      <c r="H30" t="b">
        <f t="shared" si="24"/>
        <v>0</v>
      </c>
      <c r="I30" t="b">
        <f t="shared" si="25"/>
        <v>1</v>
      </c>
      <c r="J30" t="b">
        <f t="shared" si="26"/>
        <v>0</v>
      </c>
      <c r="K30" t="b">
        <f t="shared" si="27"/>
        <v>1</v>
      </c>
      <c r="L30" t="b">
        <f t="shared" si="28"/>
        <v>0</v>
      </c>
      <c r="M30" t="b">
        <f t="shared" si="29"/>
        <v>1</v>
      </c>
      <c r="N30" t="b">
        <f t="shared" si="30"/>
        <v>0</v>
      </c>
      <c r="O30" t="b">
        <f t="shared" si="31"/>
        <v>0</v>
      </c>
      <c r="P30" t="b">
        <f t="shared" si="32"/>
        <v>0</v>
      </c>
      <c r="Q30" t="b">
        <f t="shared" si="33"/>
        <v>0</v>
      </c>
      <c r="R30" t="b">
        <f t="shared" si="34"/>
        <v>0</v>
      </c>
      <c r="S30" t="b">
        <f t="shared" si="35"/>
        <v>0</v>
      </c>
      <c r="V30" t="b">
        <f t="shared" si="36"/>
        <v>0</v>
      </c>
      <c r="W30" t="b">
        <f t="shared" si="37"/>
        <v>0</v>
      </c>
      <c r="X30" t="b">
        <f t="shared" si="38"/>
        <v>0</v>
      </c>
      <c r="Y30" t="b">
        <f t="shared" si="39"/>
        <v>0</v>
      </c>
      <c r="Z30" t="b">
        <f t="shared" si="40"/>
        <v>0</v>
      </c>
      <c r="AA30" t="b">
        <f t="shared" si="41"/>
        <v>0</v>
      </c>
      <c r="AB30" t="b">
        <f t="shared" si="42"/>
        <v>0</v>
      </c>
      <c r="AC30" t="b">
        <f t="shared" si="43"/>
        <v>0</v>
      </c>
      <c r="AD30" t="b">
        <f t="shared" si="44"/>
        <v>0</v>
      </c>
      <c r="AE30" t="b">
        <f t="shared" si="45"/>
        <v>0</v>
      </c>
      <c r="AF30" t="b">
        <f t="shared" si="46"/>
        <v>0</v>
      </c>
      <c r="AG30" t="b">
        <f t="shared" si="47"/>
        <v>0</v>
      </c>
    </row>
    <row r="31" spans="1:33">
      <c r="A31" t="s">
        <v>339</v>
      </c>
      <c r="B31" s="27" t="s">
        <v>192</v>
      </c>
      <c r="F31" s="6" t="s">
        <v>196</v>
      </c>
      <c r="H31" t="b">
        <f t="shared" si="24"/>
        <v>0</v>
      </c>
      <c r="I31" t="b">
        <f t="shared" si="25"/>
        <v>1</v>
      </c>
      <c r="J31" t="b">
        <f t="shared" si="26"/>
        <v>0</v>
      </c>
      <c r="K31" t="b">
        <f t="shared" si="27"/>
        <v>1</v>
      </c>
      <c r="L31" t="b">
        <f t="shared" si="28"/>
        <v>0</v>
      </c>
      <c r="M31" t="b">
        <f t="shared" si="29"/>
        <v>1</v>
      </c>
      <c r="N31" t="b">
        <f t="shared" si="30"/>
        <v>0</v>
      </c>
      <c r="O31" t="b">
        <f t="shared" si="31"/>
        <v>0</v>
      </c>
      <c r="P31" t="b">
        <f t="shared" si="32"/>
        <v>0</v>
      </c>
      <c r="Q31" t="b">
        <f t="shared" si="33"/>
        <v>0</v>
      </c>
      <c r="R31" t="b">
        <f t="shared" si="34"/>
        <v>0</v>
      </c>
      <c r="S31" t="b">
        <f t="shared" si="35"/>
        <v>0</v>
      </c>
      <c r="V31" t="b">
        <f t="shared" si="36"/>
        <v>0</v>
      </c>
      <c r="W31" t="b">
        <f t="shared" si="37"/>
        <v>0</v>
      </c>
      <c r="X31" t="b">
        <f t="shared" si="38"/>
        <v>0</v>
      </c>
      <c r="Y31" t="b">
        <f t="shared" si="39"/>
        <v>0</v>
      </c>
      <c r="Z31" t="b">
        <f t="shared" si="40"/>
        <v>0</v>
      </c>
      <c r="AA31" t="b">
        <f t="shared" si="41"/>
        <v>0</v>
      </c>
      <c r="AB31" t="b">
        <f t="shared" si="42"/>
        <v>0</v>
      </c>
      <c r="AC31" t="b">
        <f t="shared" si="43"/>
        <v>0</v>
      </c>
      <c r="AD31" t="b">
        <f t="shared" si="44"/>
        <v>0</v>
      </c>
      <c r="AE31" t="b">
        <f t="shared" si="45"/>
        <v>0</v>
      </c>
      <c r="AF31" t="b">
        <f t="shared" si="46"/>
        <v>0</v>
      </c>
      <c r="AG31" t="b">
        <f t="shared" si="47"/>
        <v>0</v>
      </c>
    </row>
    <row r="32" spans="1:33">
      <c r="A32" t="s">
        <v>340</v>
      </c>
      <c r="B32" s="27" t="s">
        <v>192</v>
      </c>
      <c r="F32" s="6" t="s">
        <v>196</v>
      </c>
      <c r="H32" t="b">
        <f t="shared" si="24"/>
        <v>0</v>
      </c>
      <c r="I32" t="b">
        <f t="shared" si="25"/>
        <v>1</v>
      </c>
      <c r="J32" t="b">
        <f t="shared" si="26"/>
        <v>0</v>
      </c>
      <c r="K32" t="b">
        <f t="shared" si="27"/>
        <v>1</v>
      </c>
      <c r="L32" t="b">
        <f t="shared" si="28"/>
        <v>0</v>
      </c>
      <c r="M32" t="b">
        <f t="shared" si="29"/>
        <v>1</v>
      </c>
      <c r="N32" t="b">
        <f t="shared" si="30"/>
        <v>0</v>
      </c>
      <c r="O32" t="b">
        <f t="shared" si="31"/>
        <v>0</v>
      </c>
      <c r="P32" t="b">
        <f t="shared" si="32"/>
        <v>0</v>
      </c>
      <c r="Q32" t="b">
        <f t="shared" si="33"/>
        <v>0</v>
      </c>
      <c r="R32" t="b">
        <f t="shared" si="34"/>
        <v>0</v>
      </c>
      <c r="S32" t="b">
        <f t="shared" si="35"/>
        <v>0</v>
      </c>
      <c r="V32" t="b">
        <f t="shared" si="36"/>
        <v>0</v>
      </c>
      <c r="W32" t="b">
        <f t="shared" si="37"/>
        <v>0</v>
      </c>
      <c r="X32" t="b">
        <f t="shared" si="38"/>
        <v>0</v>
      </c>
      <c r="Y32" t="b">
        <f t="shared" si="39"/>
        <v>0</v>
      </c>
      <c r="Z32" t="b">
        <f t="shared" si="40"/>
        <v>0</v>
      </c>
      <c r="AA32" t="b">
        <f t="shared" si="41"/>
        <v>0</v>
      </c>
      <c r="AB32" t="b">
        <f t="shared" si="42"/>
        <v>0</v>
      </c>
      <c r="AC32" t="b">
        <f t="shared" si="43"/>
        <v>0</v>
      </c>
      <c r="AD32" t="b">
        <f t="shared" si="44"/>
        <v>0</v>
      </c>
      <c r="AE32" t="b">
        <f t="shared" si="45"/>
        <v>0</v>
      </c>
      <c r="AF32" t="b">
        <f t="shared" si="46"/>
        <v>0</v>
      </c>
      <c r="AG32" t="b">
        <f t="shared" si="47"/>
        <v>0</v>
      </c>
    </row>
    <row r="33" spans="1:33">
      <c r="A33" t="s">
        <v>341</v>
      </c>
      <c r="B33" s="27" t="s">
        <v>192</v>
      </c>
      <c r="F33" s="6" t="s">
        <v>196</v>
      </c>
      <c r="H33" t="b">
        <f t="shared" si="24"/>
        <v>0</v>
      </c>
      <c r="I33" t="b">
        <f t="shared" si="25"/>
        <v>1</v>
      </c>
      <c r="J33" t="b">
        <f t="shared" si="26"/>
        <v>0</v>
      </c>
      <c r="K33" t="b">
        <f t="shared" si="27"/>
        <v>1</v>
      </c>
      <c r="L33" t="b">
        <f t="shared" si="28"/>
        <v>0</v>
      </c>
      <c r="M33" t="b">
        <f t="shared" si="29"/>
        <v>1</v>
      </c>
      <c r="N33" t="b">
        <f t="shared" si="30"/>
        <v>0</v>
      </c>
      <c r="O33" t="b">
        <f t="shared" si="31"/>
        <v>0</v>
      </c>
      <c r="P33" t="b">
        <f t="shared" si="32"/>
        <v>0</v>
      </c>
      <c r="Q33" t="b">
        <f t="shared" si="33"/>
        <v>0</v>
      </c>
      <c r="R33" t="b">
        <f t="shared" si="34"/>
        <v>0</v>
      </c>
      <c r="S33" t="b">
        <f t="shared" si="35"/>
        <v>0</v>
      </c>
      <c r="V33" t="b">
        <f t="shared" si="36"/>
        <v>0</v>
      </c>
      <c r="W33" t="b">
        <f t="shared" si="37"/>
        <v>0</v>
      </c>
      <c r="X33" t="b">
        <f t="shared" si="38"/>
        <v>0</v>
      </c>
      <c r="Y33" t="b">
        <f t="shared" si="39"/>
        <v>0</v>
      </c>
      <c r="Z33" t="b">
        <f t="shared" si="40"/>
        <v>0</v>
      </c>
      <c r="AA33" t="b">
        <f t="shared" si="41"/>
        <v>0</v>
      </c>
      <c r="AB33" t="b">
        <f t="shared" si="42"/>
        <v>0</v>
      </c>
      <c r="AC33" t="b">
        <f t="shared" si="43"/>
        <v>0</v>
      </c>
      <c r="AD33" t="b">
        <f t="shared" si="44"/>
        <v>0</v>
      </c>
      <c r="AE33" t="b">
        <f t="shared" si="45"/>
        <v>0</v>
      </c>
      <c r="AF33" t="b">
        <f t="shared" si="46"/>
        <v>0</v>
      </c>
      <c r="AG33" t="b">
        <f t="shared" si="47"/>
        <v>0</v>
      </c>
    </row>
    <row r="34" spans="1:33">
      <c r="A34" t="s">
        <v>342</v>
      </c>
      <c r="B34"/>
      <c r="C34" s="27" t="s">
        <v>192</v>
      </c>
      <c r="D34"/>
      <c r="E34"/>
      <c r="F34" s="6" t="s">
        <v>196</v>
      </c>
      <c r="H34" t="b">
        <f t="shared" si="24"/>
        <v>0</v>
      </c>
      <c r="I34" t="b">
        <f t="shared" si="25"/>
        <v>1</v>
      </c>
      <c r="J34" t="b">
        <f t="shared" si="26"/>
        <v>0</v>
      </c>
      <c r="K34" t="b">
        <f t="shared" si="27"/>
        <v>0</v>
      </c>
      <c r="L34" t="b">
        <f t="shared" si="28"/>
        <v>0</v>
      </c>
      <c r="M34" t="b">
        <f t="shared" si="29"/>
        <v>0</v>
      </c>
      <c r="N34" t="b">
        <f t="shared" si="30"/>
        <v>0</v>
      </c>
      <c r="O34" t="b">
        <f t="shared" si="31"/>
        <v>1</v>
      </c>
      <c r="P34" t="b">
        <f t="shared" si="32"/>
        <v>0</v>
      </c>
      <c r="Q34" t="b">
        <f t="shared" si="33"/>
        <v>1</v>
      </c>
      <c r="R34" t="b">
        <f t="shared" si="34"/>
        <v>0</v>
      </c>
      <c r="S34" t="b">
        <f t="shared" si="35"/>
        <v>0</v>
      </c>
      <c r="V34" t="b">
        <f t="shared" si="36"/>
        <v>0</v>
      </c>
      <c r="W34" t="b">
        <f t="shared" si="37"/>
        <v>0</v>
      </c>
      <c r="X34" t="b">
        <f t="shared" si="38"/>
        <v>0</v>
      </c>
      <c r="Y34" t="b">
        <f t="shared" si="39"/>
        <v>0</v>
      </c>
      <c r="Z34" t="b">
        <f t="shared" si="40"/>
        <v>0</v>
      </c>
      <c r="AA34" t="b">
        <f t="shared" si="41"/>
        <v>0</v>
      </c>
      <c r="AB34" t="b">
        <f t="shared" si="42"/>
        <v>0</v>
      </c>
      <c r="AC34" t="b">
        <f t="shared" si="43"/>
        <v>0</v>
      </c>
      <c r="AD34" t="b">
        <f t="shared" si="44"/>
        <v>0</v>
      </c>
      <c r="AE34" t="b">
        <f t="shared" si="45"/>
        <v>0</v>
      </c>
      <c r="AF34" t="b">
        <f t="shared" si="46"/>
        <v>0</v>
      </c>
      <c r="AG34" t="b">
        <f t="shared" si="47"/>
        <v>0</v>
      </c>
    </row>
    <row r="35" spans="1:33">
      <c r="A35" t="s">
        <v>343</v>
      </c>
      <c r="B35"/>
      <c r="C35"/>
      <c r="D35" s="27" t="s">
        <v>192</v>
      </c>
      <c r="E35"/>
      <c r="F35" s="6" t="s">
        <v>196</v>
      </c>
      <c r="H35" t="b">
        <f t="shared" si="24"/>
        <v>0</v>
      </c>
      <c r="I35" t="b">
        <f t="shared" si="25"/>
        <v>0</v>
      </c>
      <c r="J35" t="b">
        <f t="shared" si="26"/>
        <v>0</v>
      </c>
      <c r="K35" t="b">
        <f t="shared" si="27"/>
        <v>1</v>
      </c>
      <c r="L35" t="b">
        <f t="shared" si="28"/>
        <v>0</v>
      </c>
      <c r="M35" t="b">
        <f t="shared" si="29"/>
        <v>0</v>
      </c>
      <c r="N35" t="b">
        <f t="shared" si="30"/>
        <v>0</v>
      </c>
      <c r="O35" t="b">
        <f t="shared" si="31"/>
        <v>1</v>
      </c>
      <c r="P35" t="b">
        <f t="shared" si="32"/>
        <v>0</v>
      </c>
      <c r="Q35" t="b">
        <f t="shared" si="33"/>
        <v>0</v>
      </c>
      <c r="R35" t="b">
        <f t="shared" si="34"/>
        <v>0</v>
      </c>
      <c r="S35" t="b">
        <f t="shared" si="35"/>
        <v>1</v>
      </c>
      <c r="V35" t="b">
        <f t="shared" si="36"/>
        <v>0</v>
      </c>
      <c r="W35" t="b">
        <f t="shared" si="37"/>
        <v>0</v>
      </c>
      <c r="X35" t="b">
        <f t="shared" si="38"/>
        <v>0</v>
      </c>
      <c r="Y35" t="b">
        <f t="shared" si="39"/>
        <v>0</v>
      </c>
      <c r="Z35" t="b">
        <f t="shared" si="40"/>
        <v>0</v>
      </c>
      <c r="AA35" t="b">
        <f t="shared" si="41"/>
        <v>0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0</v>
      </c>
      <c r="AF35" t="b">
        <f t="shared" si="46"/>
        <v>0</v>
      </c>
      <c r="AG35" t="b">
        <f t="shared" si="47"/>
        <v>0</v>
      </c>
    </row>
    <row r="36" spans="1:33">
      <c r="A36" t="s">
        <v>344</v>
      </c>
      <c r="B36"/>
      <c r="C36"/>
      <c r="D36" s="27" t="s">
        <v>192</v>
      </c>
      <c r="E36"/>
      <c r="F36" s="6" t="s">
        <v>196</v>
      </c>
      <c r="H36" t="b">
        <f t="shared" si="24"/>
        <v>0</v>
      </c>
      <c r="I36" t="b">
        <f t="shared" si="25"/>
        <v>0</v>
      </c>
      <c r="J36" t="b">
        <f t="shared" si="26"/>
        <v>0</v>
      </c>
      <c r="K36" t="b">
        <f t="shared" si="27"/>
        <v>1</v>
      </c>
      <c r="L36" t="b">
        <f t="shared" si="28"/>
        <v>0</v>
      </c>
      <c r="M36" t="b">
        <f t="shared" si="29"/>
        <v>0</v>
      </c>
      <c r="N36" t="b">
        <f t="shared" si="30"/>
        <v>0</v>
      </c>
      <c r="O36" t="b">
        <f t="shared" si="31"/>
        <v>1</v>
      </c>
      <c r="P36" t="b">
        <f t="shared" si="32"/>
        <v>0</v>
      </c>
      <c r="Q36" t="b">
        <f t="shared" si="33"/>
        <v>0</v>
      </c>
      <c r="R36" t="b">
        <f t="shared" si="34"/>
        <v>0</v>
      </c>
      <c r="S36" t="b">
        <f t="shared" si="35"/>
        <v>1</v>
      </c>
      <c r="V36" t="b">
        <f t="shared" si="36"/>
        <v>0</v>
      </c>
      <c r="W36" t="b">
        <f t="shared" si="37"/>
        <v>0</v>
      </c>
      <c r="X36" t="b">
        <f t="shared" si="38"/>
        <v>0</v>
      </c>
      <c r="Y36" t="b">
        <f t="shared" si="39"/>
        <v>0</v>
      </c>
      <c r="Z36" t="b">
        <f t="shared" si="40"/>
        <v>0</v>
      </c>
      <c r="AA36" t="b">
        <f t="shared" si="41"/>
        <v>0</v>
      </c>
      <c r="AB36" t="b">
        <f t="shared" si="42"/>
        <v>0</v>
      </c>
      <c r="AC36" t="b">
        <f t="shared" si="43"/>
        <v>0</v>
      </c>
      <c r="AD36" t="b">
        <f t="shared" si="44"/>
        <v>0</v>
      </c>
      <c r="AE36" t="b">
        <f t="shared" si="45"/>
        <v>0</v>
      </c>
      <c r="AF36" t="b">
        <f t="shared" si="46"/>
        <v>0</v>
      </c>
      <c r="AG36" t="b">
        <f t="shared" si="47"/>
        <v>0</v>
      </c>
    </row>
    <row r="37" spans="1:33">
      <c r="A37" t="s">
        <v>345</v>
      </c>
      <c r="B37"/>
      <c r="C37"/>
      <c r="D37"/>
      <c r="E37" s="27" t="s">
        <v>192</v>
      </c>
      <c r="F37" s="6" t="s">
        <v>196</v>
      </c>
      <c r="H37" t="b">
        <f t="shared" si="24"/>
        <v>0</v>
      </c>
      <c r="I37" t="b">
        <f t="shared" si="25"/>
        <v>0</v>
      </c>
      <c r="J37" t="b">
        <f t="shared" si="26"/>
        <v>0</v>
      </c>
      <c r="K37" t="b">
        <f t="shared" si="27"/>
        <v>0</v>
      </c>
      <c r="L37" t="b">
        <f t="shared" si="28"/>
        <v>0</v>
      </c>
      <c r="M37" t="b">
        <f t="shared" si="29"/>
        <v>1</v>
      </c>
      <c r="N37" t="b">
        <f t="shared" si="30"/>
        <v>0</v>
      </c>
      <c r="O37" t="b">
        <f t="shared" si="31"/>
        <v>0</v>
      </c>
      <c r="P37" t="b">
        <f t="shared" si="32"/>
        <v>0</v>
      </c>
      <c r="Q37" t="b">
        <f t="shared" si="33"/>
        <v>1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>
      <c r="A38" s="3" t="s">
        <v>226</v>
      </c>
      <c r="B38" s="27" t="s">
        <v>192</v>
      </c>
      <c r="C38" s="27" t="s">
        <v>192</v>
      </c>
      <c r="D38" s="27" t="s">
        <v>192</v>
      </c>
      <c r="E38" s="27" t="s">
        <v>192</v>
      </c>
      <c r="F38" s="6" t="s">
        <v>193</v>
      </c>
      <c r="H38" t="b">
        <f t="shared" si="24"/>
        <v>1</v>
      </c>
      <c r="I38" t="b">
        <f t="shared" si="25"/>
        <v>1</v>
      </c>
      <c r="J38" t="b">
        <f t="shared" si="26"/>
        <v>1</v>
      </c>
      <c r="K38" t="b">
        <f t="shared" si="27"/>
        <v>1</v>
      </c>
      <c r="L38" t="b">
        <f t="shared" si="28"/>
        <v>1</v>
      </c>
      <c r="M38" t="b">
        <f t="shared" si="29"/>
        <v>1</v>
      </c>
      <c r="N38" t="b">
        <f t="shared" si="30"/>
        <v>1</v>
      </c>
      <c r="O38" t="b">
        <f t="shared" si="31"/>
        <v>1</v>
      </c>
      <c r="P38" t="b">
        <f t="shared" si="32"/>
        <v>1</v>
      </c>
      <c r="Q38" t="b">
        <f t="shared" si="33"/>
        <v>1</v>
      </c>
      <c r="R38" t="b">
        <f t="shared" si="34"/>
        <v>1</v>
      </c>
      <c r="S38" t="b">
        <f t="shared" si="35"/>
        <v>1</v>
      </c>
      <c r="V38" t="b">
        <f t="shared" si="36"/>
        <v>1</v>
      </c>
      <c r="W38" t="b">
        <f t="shared" si="37"/>
        <v>1</v>
      </c>
      <c r="X38" t="b">
        <f t="shared" si="38"/>
        <v>1</v>
      </c>
      <c r="Y38" t="b">
        <f t="shared" si="39"/>
        <v>1</v>
      </c>
      <c r="Z38" t="b">
        <f t="shared" si="40"/>
        <v>1</v>
      </c>
      <c r="AA38" t="b">
        <f t="shared" si="41"/>
        <v>1</v>
      </c>
      <c r="AB38" t="b">
        <f t="shared" si="42"/>
        <v>1</v>
      </c>
      <c r="AC38" t="b">
        <f t="shared" si="43"/>
        <v>1</v>
      </c>
      <c r="AD38" t="b">
        <f t="shared" si="44"/>
        <v>1</v>
      </c>
      <c r="AE38" t="b">
        <f t="shared" si="45"/>
        <v>1</v>
      </c>
      <c r="AF38" t="b">
        <f t="shared" si="46"/>
        <v>1</v>
      </c>
      <c r="AG38" t="b">
        <f t="shared" si="47"/>
        <v>1</v>
      </c>
    </row>
    <row r="39" spans="1:33">
      <c r="A39" s="3" t="s">
        <v>288</v>
      </c>
      <c r="B39" s="27" t="s">
        <v>192</v>
      </c>
      <c r="C39" s="27" t="s">
        <v>192</v>
      </c>
      <c r="D39" s="27" t="s">
        <v>192</v>
      </c>
      <c r="E39" s="27" t="s">
        <v>192</v>
      </c>
      <c r="F39" s="6" t="s">
        <v>193</v>
      </c>
      <c r="H39" t="b">
        <f t="shared" si="24"/>
        <v>1</v>
      </c>
      <c r="I39" t="b">
        <f t="shared" si="25"/>
        <v>1</v>
      </c>
      <c r="J39" t="b">
        <f t="shared" si="26"/>
        <v>1</v>
      </c>
      <c r="K39" t="b">
        <f t="shared" si="27"/>
        <v>1</v>
      </c>
      <c r="L39" t="b">
        <f t="shared" si="28"/>
        <v>1</v>
      </c>
      <c r="M39" t="b">
        <f t="shared" si="29"/>
        <v>1</v>
      </c>
      <c r="N39" t="b">
        <f t="shared" si="30"/>
        <v>1</v>
      </c>
      <c r="O39" t="b">
        <f t="shared" si="31"/>
        <v>1</v>
      </c>
      <c r="P39" t="b">
        <f t="shared" si="32"/>
        <v>1</v>
      </c>
      <c r="Q39" t="b">
        <f t="shared" si="33"/>
        <v>1</v>
      </c>
      <c r="R39" t="b">
        <f t="shared" si="34"/>
        <v>1</v>
      </c>
      <c r="S39" t="b">
        <f t="shared" si="35"/>
        <v>1</v>
      </c>
      <c r="V39" t="b">
        <f t="shared" si="36"/>
        <v>1</v>
      </c>
      <c r="W39" t="b">
        <f t="shared" si="37"/>
        <v>1</v>
      </c>
      <c r="X39" t="b">
        <f t="shared" si="38"/>
        <v>1</v>
      </c>
      <c r="Y39" t="b">
        <f t="shared" si="39"/>
        <v>1</v>
      </c>
      <c r="Z39" t="b">
        <f t="shared" si="40"/>
        <v>1</v>
      </c>
      <c r="AA39" t="b">
        <f t="shared" si="41"/>
        <v>1</v>
      </c>
      <c r="AB39" t="b">
        <f t="shared" si="42"/>
        <v>1</v>
      </c>
      <c r="AC39" t="b">
        <f t="shared" si="43"/>
        <v>1</v>
      </c>
      <c r="AD39" t="b">
        <f t="shared" si="44"/>
        <v>1</v>
      </c>
      <c r="AE39" t="b">
        <f t="shared" si="45"/>
        <v>1</v>
      </c>
      <c r="AF39" t="b">
        <f t="shared" si="46"/>
        <v>1</v>
      </c>
      <c r="AG39" t="b">
        <f t="shared" si="47"/>
        <v>1</v>
      </c>
    </row>
    <row r="40" spans="1:33">
      <c r="A40" s="3" t="s">
        <v>346</v>
      </c>
      <c r="B40"/>
      <c r="C40" s="27" t="s">
        <v>192</v>
      </c>
      <c r="D40" s="27" t="s">
        <v>192</v>
      </c>
      <c r="E40"/>
      <c r="F40" s="6" t="s">
        <v>193</v>
      </c>
      <c r="H40" t="b">
        <f t="shared" si="24"/>
        <v>0</v>
      </c>
      <c r="I40" t="b">
        <f t="shared" si="25"/>
        <v>1</v>
      </c>
      <c r="J40" t="b">
        <f t="shared" si="26"/>
        <v>0</v>
      </c>
      <c r="K40" t="b">
        <f t="shared" si="27"/>
        <v>1</v>
      </c>
      <c r="L40" t="b">
        <f t="shared" si="28"/>
        <v>0</v>
      </c>
      <c r="M40" t="b">
        <f t="shared" si="29"/>
        <v>0</v>
      </c>
      <c r="N40" t="b">
        <f t="shared" si="30"/>
        <v>1</v>
      </c>
      <c r="O40" t="b">
        <f t="shared" si="31"/>
        <v>1</v>
      </c>
      <c r="P40" t="b">
        <f t="shared" si="32"/>
        <v>0</v>
      </c>
      <c r="Q40" t="b">
        <f t="shared" si="33"/>
        <v>1</v>
      </c>
      <c r="R40" t="b">
        <f t="shared" si="34"/>
        <v>0</v>
      </c>
      <c r="S40" t="b">
        <f t="shared" si="35"/>
        <v>1</v>
      </c>
      <c r="V40" t="b">
        <f t="shared" si="36"/>
        <v>0</v>
      </c>
      <c r="W40" t="b">
        <f t="shared" si="37"/>
        <v>1</v>
      </c>
      <c r="X40" t="b">
        <f t="shared" si="38"/>
        <v>0</v>
      </c>
      <c r="Y40" t="b">
        <f t="shared" si="39"/>
        <v>1</v>
      </c>
      <c r="Z40" t="b">
        <f t="shared" si="40"/>
        <v>0</v>
      </c>
      <c r="AA40" t="b">
        <f t="shared" si="41"/>
        <v>0</v>
      </c>
      <c r="AB40" t="b">
        <f t="shared" si="42"/>
        <v>1</v>
      </c>
      <c r="AC40" t="b">
        <f t="shared" si="43"/>
        <v>1</v>
      </c>
      <c r="AD40" t="b">
        <f t="shared" si="44"/>
        <v>0</v>
      </c>
      <c r="AE40" t="b">
        <f t="shared" si="45"/>
        <v>1</v>
      </c>
      <c r="AF40" t="b">
        <f t="shared" si="46"/>
        <v>0</v>
      </c>
      <c r="AG40" t="b">
        <f t="shared" si="47"/>
        <v>1</v>
      </c>
    </row>
    <row r="41" spans="1:33">
      <c r="A41" s="3" t="s">
        <v>231</v>
      </c>
      <c r="B41" s="27" t="s">
        <v>192</v>
      </c>
      <c r="C41" s="27" t="s">
        <v>192</v>
      </c>
      <c r="D41" s="27" t="s">
        <v>192</v>
      </c>
      <c r="E41" s="27" t="s">
        <v>192</v>
      </c>
      <c r="F41" s="6" t="s">
        <v>193</v>
      </c>
      <c r="H41" t="b">
        <f t="shared" si="24"/>
        <v>1</v>
      </c>
      <c r="I41" t="b">
        <f t="shared" si="25"/>
        <v>1</v>
      </c>
      <c r="J41" t="b">
        <f t="shared" si="26"/>
        <v>1</v>
      </c>
      <c r="K41" t="b">
        <f t="shared" si="27"/>
        <v>1</v>
      </c>
      <c r="L41" t="b">
        <f t="shared" si="28"/>
        <v>1</v>
      </c>
      <c r="M41" t="b">
        <f t="shared" si="29"/>
        <v>1</v>
      </c>
      <c r="N41" t="b">
        <f t="shared" si="30"/>
        <v>1</v>
      </c>
      <c r="O41" t="b">
        <f t="shared" si="31"/>
        <v>1</v>
      </c>
      <c r="P41" t="b">
        <f t="shared" si="32"/>
        <v>1</v>
      </c>
      <c r="Q41" t="b">
        <f t="shared" si="33"/>
        <v>1</v>
      </c>
      <c r="R41" t="b">
        <f t="shared" si="34"/>
        <v>1</v>
      </c>
      <c r="S41" t="b">
        <f t="shared" si="35"/>
        <v>1</v>
      </c>
      <c r="V41" t="b">
        <f t="shared" si="36"/>
        <v>1</v>
      </c>
      <c r="W41" t="b">
        <f t="shared" si="37"/>
        <v>1</v>
      </c>
      <c r="X41" t="b">
        <f t="shared" si="38"/>
        <v>1</v>
      </c>
      <c r="Y41" t="b">
        <f t="shared" si="39"/>
        <v>1</v>
      </c>
      <c r="Z41" t="b">
        <f t="shared" si="40"/>
        <v>1</v>
      </c>
      <c r="AA41" t="b">
        <f t="shared" si="41"/>
        <v>1</v>
      </c>
      <c r="AB41" t="b">
        <f t="shared" si="42"/>
        <v>1</v>
      </c>
      <c r="AC41" t="b">
        <f t="shared" si="43"/>
        <v>1</v>
      </c>
      <c r="AD41" t="b">
        <f t="shared" si="44"/>
        <v>1</v>
      </c>
      <c r="AE41" t="b">
        <f t="shared" si="45"/>
        <v>1</v>
      </c>
      <c r="AF41" t="b">
        <f t="shared" si="46"/>
        <v>1</v>
      </c>
      <c r="AG41" t="b">
        <f t="shared" si="47"/>
        <v>1</v>
      </c>
    </row>
    <row r="42" spans="1:33">
      <c r="A42" s="3" t="s">
        <v>233</v>
      </c>
      <c r="B42" s="27" t="s">
        <v>220</v>
      </c>
      <c r="C42" s="27" t="s">
        <v>220</v>
      </c>
      <c r="D42" s="27" t="s">
        <v>220</v>
      </c>
      <c r="E42" s="27" t="s">
        <v>220</v>
      </c>
      <c r="F42" s="6" t="s">
        <v>193</v>
      </c>
      <c r="H42" t="b">
        <f t="shared" si="24"/>
        <v>1</v>
      </c>
      <c r="I42" t="b">
        <f t="shared" si="25"/>
        <v>1</v>
      </c>
      <c r="J42" t="b">
        <f t="shared" si="26"/>
        <v>1</v>
      </c>
      <c r="K42" t="b">
        <f t="shared" si="27"/>
        <v>1</v>
      </c>
      <c r="L42" t="b">
        <f t="shared" si="28"/>
        <v>1</v>
      </c>
      <c r="M42" t="b">
        <f t="shared" si="29"/>
        <v>1</v>
      </c>
      <c r="N42" t="b">
        <f t="shared" si="30"/>
        <v>1</v>
      </c>
      <c r="O42" t="b">
        <f t="shared" si="31"/>
        <v>1</v>
      </c>
      <c r="P42" t="b">
        <f t="shared" si="32"/>
        <v>1</v>
      </c>
      <c r="Q42" t="b">
        <f t="shared" si="33"/>
        <v>1</v>
      </c>
      <c r="R42" t="b">
        <f t="shared" si="34"/>
        <v>1</v>
      </c>
      <c r="S42" t="b">
        <f t="shared" si="35"/>
        <v>1</v>
      </c>
      <c r="V42" t="b">
        <f t="shared" si="36"/>
        <v>1</v>
      </c>
      <c r="W42" t="b">
        <f t="shared" si="37"/>
        <v>1</v>
      </c>
      <c r="X42" t="b">
        <f t="shared" si="38"/>
        <v>1</v>
      </c>
      <c r="Y42" t="b">
        <f t="shared" si="39"/>
        <v>1</v>
      </c>
      <c r="Z42" t="b">
        <f t="shared" si="40"/>
        <v>1</v>
      </c>
      <c r="AA42" t="b">
        <f t="shared" si="41"/>
        <v>1</v>
      </c>
      <c r="AB42" t="b">
        <f t="shared" si="42"/>
        <v>1</v>
      </c>
      <c r="AC42" t="b">
        <f t="shared" si="43"/>
        <v>1</v>
      </c>
      <c r="AD42" t="b">
        <f t="shared" si="44"/>
        <v>1</v>
      </c>
      <c r="AE42" t="b">
        <f t="shared" si="45"/>
        <v>1</v>
      </c>
      <c r="AF42" t="b">
        <f t="shared" si="46"/>
        <v>1</v>
      </c>
      <c r="AG42" t="b">
        <f t="shared" si="47"/>
        <v>1</v>
      </c>
    </row>
    <row r="43" spans="1:33">
      <c r="A43" s="3" t="s">
        <v>235</v>
      </c>
      <c r="B43" s="27" t="s">
        <v>192</v>
      </c>
      <c r="C43" s="27" t="s">
        <v>192</v>
      </c>
      <c r="D43" s="27" t="s">
        <v>192</v>
      </c>
      <c r="E43" s="27" t="s">
        <v>192</v>
      </c>
      <c r="F43" s="6" t="s">
        <v>193</v>
      </c>
      <c r="H43" t="b">
        <f t="shared" si="24"/>
        <v>1</v>
      </c>
      <c r="I43" t="b">
        <f t="shared" si="25"/>
        <v>1</v>
      </c>
      <c r="J43" t="b">
        <f t="shared" si="26"/>
        <v>1</v>
      </c>
      <c r="K43" t="b">
        <f t="shared" si="27"/>
        <v>1</v>
      </c>
      <c r="L43" t="b">
        <f t="shared" si="28"/>
        <v>1</v>
      </c>
      <c r="M43" t="b">
        <f t="shared" si="29"/>
        <v>1</v>
      </c>
      <c r="N43" t="b">
        <f t="shared" si="30"/>
        <v>1</v>
      </c>
      <c r="O43" t="b">
        <f t="shared" si="31"/>
        <v>1</v>
      </c>
      <c r="P43" t="b">
        <f t="shared" si="32"/>
        <v>1</v>
      </c>
      <c r="Q43" t="b">
        <f t="shared" si="33"/>
        <v>1</v>
      </c>
      <c r="R43" t="b">
        <f t="shared" si="34"/>
        <v>1</v>
      </c>
      <c r="S43" t="b">
        <f t="shared" si="35"/>
        <v>1</v>
      </c>
      <c r="V43" t="b">
        <f t="shared" si="36"/>
        <v>1</v>
      </c>
      <c r="W43" t="b">
        <f t="shared" si="37"/>
        <v>1</v>
      </c>
      <c r="X43" t="b">
        <f t="shared" si="38"/>
        <v>1</v>
      </c>
      <c r="Y43" t="b">
        <f t="shared" si="39"/>
        <v>1</v>
      </c>
      <c r="Z43" t="b">
        <f t="shared" si="40"/>
        <v>1</v>
      </c>
      <c r="AA43" t="b">
        <f t="shared" si="41"/>
        <v>1</v>
      </c>
      <c r="AB43" t="b">
        <f t="shared" si="42"/>
        <v>1</v>
      </c>
      <c r="AC43" t="b">
        <f t="shared" si="43"/>
        <v>1</v>
      </c>
      <c r="AD43" t="b">
        <f t="shared" si="44"/>
        <v>1</v>
      </c>
      <c r="AE43" t="b">
        <f t="shared" si="45"/>
        <v>1</v>
      </c>
      <c r="AF43" t="b">
        <f t="shared" si="46"/>
        <v>1</v>
      </c>
      <c r="AG43" t="b">
        <f t="shared" si="47"/>
        <v>1</v>
      </c>
    </row>
    <row r="44" spans="1:33">
      <c r="A44" t="s">
        <v>347</v>
      </c>
      <c r="B44"/>
      <c r="C44"/>
      <c r="D44" s="27" t="s">
        <v>192</v>
      </c>
      <c r="E44"/>
      <c r="F44" s="6" t="s">
        <v>196</v>
      </c>
      <c r="H44" t="b">
        <f t="shared" si="24"/>
        <v>0</v>
      </c>
      <c r="I44" t="b">
        <f t="shared" si="25"/>
        <v>0</v>
      </c>
      <c r="J44" t="b">
        <f t="shared" si="26"/>
        <v>0</v>
      </c>
      <c r="K44" t="b">
        <f t="shared" si="27"/>
        <v>1</v>
      </c>
      <c r="L44" t="b">
        <f t="shared" si="28"/>
        <v>0</v>
      </c>
      <c r="M44" t="b">
        <f t="shared" si="29"/>
        <v>0</v>
      </c>
      <c r="N44" t="b">
        <f t="shared" si="30"/>
        <v>0</v>
      </c>
      <c r="O44" t="b">
        <f t="shared" si="31"/>
        <v>1</v>
      </c>
      <c r="P44" t="b">
        <f t="shared" si="32"/>
        <v>0</v>
      </c>
      <c r="Q44" t="b">
        <f t="shared" si="33"/>
        <v>0</v>
      </c>
      <c r="R44" t="b">
        <f t="shared" si="34"/>
        <v>0</v>
      </c>
      <c r="S44" t="b">
        <f t="shared" si="35"/>
        <v>1</v>
      </c>
      <c r="V44" t="b">
        <f t="shared" si="36"/>
        <v>0</v>
      </c>
      <c r="W44" t="b">
        <f t="shared" si="37"/>
        <v>0</v>
      </c>
      <c r="X44" t="b">
        <f t="shared" si="38"/>
        <v>0</v>
      </c>
      <c r="Y44" t="b">
        <f t="shared" si="39"/>
        <v>0</v>
      </c>
      <c r="Z44" t="b">
        <f t="shared" si="40"/>
        <v>0</v>
      </c>
      <c r="AA44" t="b">
        <f t="shared" si="41"/>
        <v>0</v>
      </c>
      <c r="AB44" t="b">
        <f t="shared" si="42"/>
        <v>0</v>
      </c>
      <c r="AC44" t="b">
        <f t="shared" si="43"/>
        <v>0</v>
      </c>
      <c r="AD44" t="b">
        <f t="shared" si="44"/>
        <v>0</v>
      </c>
      <c r="AE44" t="b">
        <f t="shared" si="45"/>
        <v>0</v>
      </c>
      <c r="AF44" t="b">
        <f t="shared" si="46"/>
        <v>0</v>
      </c>
      <c r="AG44" t="b">
        <f t="shared" si="47"/>
        <v>0</v>
      </c>
    </row>
    <row r="45" spans="1:33">
      <c r="A45" t="s">
        <v>348</v>
      </c>
      <c r="B45"/>
      <c r="C45"/>
      <c r="D45" s="27" t="s">
        <v>192</v>
      </c>
      <c r="E45"/>
      <c r="F45" s="6" t="s">
        <v>196</v>
      </c>
      <c r="H45" t="b">
        <f t="shared" si="24"/>
        <v>0</v>
      </c>
      <c r="I45" t="b">
        <f t="shared" si="25"/>
        <v>0</v>
      </c>
      <c r="J45" t="b">
        <f t="shared" si="26"/>
        <v>0</v>
      </c>
      <c r="K45" t="b">
        <f t="shared" si="27"/>
        <v>1</v>
      </c>
      <c r="L45" t="b">
        <f t="shared" si="28"/>
        <v>0</v>
      </c>
      <c r="M45" t="b">
        <f t="shared" si="29"/>
        <v>0</v>
      </c>
      <c r="N45" t="b">
        <f t="shared" si="30"/>
        <v>0</v>
      </c>
      <c r="O45" t="b">
        <f t="shared" si="31"/>
        <v>1</v>
      </c>
      <c r="P45" t="b">
        <f t="shared" si="32"/>
        <v>0</v>
      </c>
      <c r="Q45" t="b">
        <f t="shared" si="33"/>
        <v>0</v>
      </c>
      <c r="R45" t="b">
        <f t="shared" si="34"/>
        <v>0</v>
      </c>
      <c r="S45" t="b">
        <f t="shared" si="35"/>
        <v>1</v>
      </c>
      <c r="V45" t="b">
        <f t="shared" si="36"/>
        <v>0</v>
      </c>
      <c r="W45" t="b">
        <f t="shared" si="37"/>
        <v>0</v>
      </c>
      <c r="X45" t="b">
        <f t="shared" si="38"/>
        <v>0</v>
      </c>
      <c r="Y45" t="b">
        <f t="shared" si="39"/>
        <v>0</v>
      </c>
      <c r="Z45" t="b">
        <f t="shared" si="40"/>
        <v>0</v>
      </c>
      <c r="AA45" t="b">
        <f t="shared" si="41"/>
        <v>0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 t="s">
        <v>240</v>
      </c>
      <c r="B46" s="27" t="s">
        <v>192</v>
      </c>
      <c r="C46" s="27" t="s">
        <v>192</v>
      </c>
      <c r="D46" s="27" t="s">
        <v>192</v>
      </c>
      <c r="E46" s="27" t="s">
        <v>192</v>
      </c>
      <c r="F46" s="6" t="s">
        <v>193</v>
      </c>
      <c r="H46" t="b">
        <f t="shared" si="24"/>
        <v>1</v>
      </c>
      <c r="I46" t="b">
        <f t="shared" si="25"/>
        <v>1</v>
      </c>
      <c r="J46" t="b">
        <f t="shared" si="26"/>
        <v>1</v>
      </c>
      <c r="K46" t="b">
        <f t="shared" si="27"/>
        <v>1</v>
      </c>
      <c r="L46" t="b">
        <f t="shared" si="28"/>
        <v>1</v>
      </c>
      <c r="M46" t="b">
        <f t="shared" si="29"/>
        <v>1</v>
      </c>
      <c r="N46" t="b">
        <f t="shared" si="30"/>
        <v>1</v>
      </c>
      <c r="O46" t="b">
        <f t="shared" si="31"/>
        <v>1</v>
      </c>
      <c r="P46" t="b">
        <f t="shared" si="32"/>
        <v>1</v>
      </c>
      <c r="Q46" t="b">
        <f t="shared" si="33"/>
        <v>1</v>
      </c>
      <c r="R46" t="b">
        <f t="shared" si="34"/>
        <v>1</v>
      </c>
      <c r="S46" t="b">
        <f t="shared" si="35"/>
        <v>1</v>
      </c>
      <c r="V46" t="b">
        <f t="shared" si="36"/>
        <v>1</v>
      </c>
      <c r="W46" t="b">
        <f t="shared" si="37"/>
        <v>1</v>
      </c>
      <c r="X46" t="b">
        <f t="shared" si="38"/>
        <v>1</v>
      </c>
      <c r="Y46" t="b">
        <f t="shared" si="39"/>
        <v>1</v>
      </c>
      <c r="Z46" t="b">
        <f t="shared" si="40"/>
        <v>1</v>
      </c>
      <c r="AA46" t="b">
        <f t="shared" si="41"/>
        <v>1</v>
      </c>
      <c r="AB46" t="b">
        <f t="shared" si="42"/>
        <v>1</v>
      </c>
      <c r="AC46" t="b">
        <f t="shared" si="43"/>
        <v>1</v>
      </c>
      <c r="AD46" t="b">
        <f t="shared" si="44"/>
        <v>1</v>
      </c>
      <c r="AE46" t="b">
        <f t="shared" si="45"/>
        <v>1</v>
      </c>
      <c r="AF46" t="b">
        <f t="shared" si="46"/>
        <v>1</v>
      </c>
      <c r="AG46" t="b">
        <f t="shared" si="47"/>
        <v>1</v>
      </c>
    </row>
    <row r="47" spans="1:33">
      <c r="A47" s="3" t="s">
        <v>246</v>
      </c>
      <c r="B47" s="27" t="s">
        <v>192</v>
      </c>
      <c r="C47" s="27" t="s">
        <v>192</v>
      </c>
      <c r="D47" s="27" t="s">
        <v>192</v>
      </c>
      <c r="E47" s="27" t="s">
        <v>192</v>
      </c>
      <c r="F47" s="6" t="s">
        <v>193</v>
      </c>
      <c r="H47" t="b">
        <f t="shared" si="24"/>
        <v>1</v>
      </c>
      <c r="I47" t="b">
        <f t="shared" si="25"/>
        <v>1</v>
      </c>
      <c r="J47" t="b">
        <f t="shared" si="26"/>
        <v>1</v>
      </c>
      <c r="K47" t="b">
        <f t="shared" si="27"/>
        <v>1</v>
      </c>
      <c r="L47" t="b">
        <f t="shared" si="28"/>
        <v>1</v>
      </c>
      <c r="M47" t="b">
        <f t="shared" si="29"/>
        <v>1</v>
      </c>
      <c r="N47" t="b">
        <f t="shared" si="30"/>
        <v>1</v>
      </c>
      <c r="O47" t="b">
        <f t="shared" si="31"/>
        <v>1</v>
      </c>
      <c r="P47" t="b">
        <f t="shared" si="32"/>
        <v>1</v>
      </c>
      <c r="Q47" t="b">
        <f t="shared" si="33"/>
        <v>1</v>
      </c>
      <c r="R47" t="b">
        <f t="shared" si="34"/>
        <v>1</v>
      </c>
      <c r="S47" t="b">
        <f t="shared" si="35"/>
        <v>1</v>
      </c>
      <c r="V47" t="b">
        <f t="shared" si="36"/>
        <v>1</v>
      </c>
      <c r="W47" t="b">
        <f t="shared" si="37"/>
        <v>1</v>
      </c>
      <c r="X47" t="b">
        <f t="shared" si="38"/>
        <v>1</v>
      </c>
      <c r="Y47" t="b">
        <f t="shared" si="39"/>
        <v>1</v>
      </c>
      <c r="Z47" t="b">
        <f t="shared" si="40"/>
        <v>1</v>
      </c>
      <c r="AA47" t="b">
        <f t="shared" si="41"/>
        <v>1</v>
      </c>
      <c r="AB47" t="b">
        <f t="shared" si="42"/>
        <v>1</v>
      </c>
      <c r="AC47" t="b">
        <f t="shared" si="43"/>
        <v>1</v>
      </c>
      <c r="AD47" t="b">
        <f t="shared" si="44"/>
        <v>1</v>
      </c>
      <c r="AE47" t="b">
        <f t="shared" si="45"/>
        <v>1</v>
      </c>
      <c r="AF47" t="b">
        <f t="shared" si="46"/>
        <v>1</v>
      </c>
      <c r="AG47" t="b">
        <f t="shared" si="47"/>
        <v>1</v>
      </c>
    </row>
    <row r="48" spans="1:33">
      <c r="A48" s="3" t="s">
        <v>247</v>
      </c>
      <c r="B48" s="27" t="s">
        <v>192</v>
      </c>
      <c r="F48" s="6" t="s">
        <v>193</v>
      </c>
      <c r="H48" t="b">
        <f t="shared" si="24"/>
        <v>0</v>
      </c>
      <c r="I48" t="b">
        <f t="shared" si="25"/>
        <v>1</v>
      </c>
      <c r="J48" t="b">
        <f t="shared" si="26"/>
        <v>0</v>
      </c>
      <c r="K48" t="b">
        <f t="shared" si="27"/>
        <v>1</v>
      </c>
      <c r="L48" t="b">
        <f t="shared" si="28"/>
        <v>0</v>
      </c>
      <c r="M48" t="b">
        <f t="shared" si="29"/>
        <v>1</v>
      </c>
      <c r="N48" t="b">
        <f t="shared" si="30"/>
        <v>0</v>
      </c>
      <c r="O48" t="b">
        <f t="shared" si="31"/>
        <v>0</v>
      </c>
      <c r="P48" t="b">
        <f t="shared" si="32"/>
        <v>0</v>
      </c>
      <c r="Q48" t="b">
        <f t="shared" si="33"/>
        <v>0</v>
      </c>
      <c r="R48" t="b">
        <f t="shared" si="34"/>
        <v>0</v>
      </c>
      <c r="S48" t="b">
        <f t="shared" si="35"/>
        <v>0</v>
      </c>
      <c r="V48" t="b">
        <f t="shared" si="36"/>
        <v>0</v>
      </c>
      <c r="W48" t="b">
        <f t="shared" si="37"/>
        <v>1</v>
      </c>
      <c r="X48" t="b">
        <f t="shared" si="38"/>
        <v>0</v>
      </c>
      <c r="Y48" t="b">
        <f t="shared" si="39"/>
        <v>1</v>
      </c>
      <c r="Z48" t="b">
        <f t="shared" si="40"/>
        <v>0</v>
      </c>
      <c r="AA48" t="b">
        <f t="shared" si="41"/>
        <v>1</v>
      </c>
      <c r="AB48" t="b">
        <f t="shared" si="42"/>
        <v>0</v>
      </c>
      <c r="AC48" t="b">
        <f t="shared" si="43"/>
        <v>0</v>
      </c>
      <c r="AD48" t="b">
        <f t="shared" si="44"/>
        <v>0</v>
      </c>
      <c r="AE48" t="b">
        <f t="shared" si="45"/>
        <v>0</v>
      </c>
      <c r="AF48" t="b">
        <f t="shared" si="46"/>
        <v>0</v>
      </c>
      <c r="AG48" t="b">
        <f t="shared" si="47"/>
        <v>0</v>
      </c>
    </row>
    <row r="49" spans="1:34">
      <c r="A49" s="3" t="s">
        <v>248</v>
      </c>
      <c r="B49" s="27" t="s">
        <v>192</v>
      </c>
      <c r="C49" s="27" t="s">
        <v>192</v>
      </c>
      <c r="D49" s="27" t="s">
        <v>192</v>
      </c>
      <c r="E49" s="27" t="s">
        <v>192</v>
      </c>
      <c r="F49" s="6" t="s">
        <v>193</v>
      </c>
      <c r="H49" t="b">
        <f t="shared" si="24"/>
        <v>1</v>
      </c>
      <c r="I49" t="b">
        <f t="shared" si="25"/>
        <v>1</v>
      </c>
      <c r="J49" t="b">
        <f t="shared" si="26"/>
        <v>1</v>
      </c>
      <c r="K49" t="b">
        <f t="shared" si="27"/>
        <v>1</v>
      </c>
      <c r="L49" t="b">
        <f t="shared" si="28"/>
        <v>1</v>
      </c>
      <c r="M49" t="b">
        <f t="shared" si="29"/>
        <v>1</v>
      </c>
      <c r="N49" t="b">
        <f t="shared" si="30"/>
        <v>1</v>
      </c>
      <c r="O49" t="b">
        <f t="shared" si="31"/>
        <v>1</v>
      </c>
      <c r="P49" t="b">
        <f t="shared" si="32"/>
        <v>1</v>
      </c>
      <c r="Q49" t="b">
        <f t="shared" si="33"/>
        <v>1</v>
      </c>
      <c r="R49" t="b">
        <f t="shared" si="34"/>
        <v>1</v>
      </c>
      <c r="S49" t="b">
        <f t="shared" si="35"/>
        <v>1</v>
      </c>
      <c r="V49" t="b">
        <f t="shared" si="36"/>
        <v>1</v>
      </c>
      <c r="W49" t="b">
        <f t="shared" si="37"/>
        <v>1</v>
      </c>
      <c r="X49" t="b">
        <f t="shared" si="38"/>
        <v>1</v>
      </c>
      <c r="Y49" t="b">
        <f t="shared" si="39"/>
        <v>1</v>
      </c>
      <c r="Z49" t="b">
        <f t="shared" si="40"/>
        <v>1</v>
      </c>
      <c r="AA49" t="b">
        <f t="shared" si="41"/>
        <v>1</v>
      </c>
      <c r="AB49" t="b">
        <f t="shared" si="42"/>
        <v>1</v>
      </c>
      <c r="AC49" t="b">
        <f t="shared" si="43"/>
        <v>1</v>
      </c>
      <c r="AD49" t="b">
        <f t="shared" si="44"/>
        <v>1</v>
      </c>
      <c r="AE49" t="b">
        <f t="shared" si="45"/>
        <v>1</v>
      </c>
      <c r="AF49" t="b">
        <f t="shared" si="46"/>
        <v>1</v>
      </c>
      <c r="AG49" t="b">
        <f t="shared" si="47"/>
        <v>1</v>
      </c>
    </row>
    <row r="50" spans="1:34">
      <c r="A50" t="s">
        <v>349</v>
      </c>
      <c r="B50" s="27" t="s">
        <v>192</v>
      </c>
      <c r="F50" s="6" t="s">
        <v>196</v>
      </c>
      <c r="H50" t="b">
        <f t="shared" si="24"/>
        <v>0</v>
      </c>
      <c r="I50" t="b">
        <f t="shared" si="25"/>
        <v>1</v>
      </c>
      <c r="J50" t="b">
        <f t="shared" si="26"/>
        <v>0</v>
      </c>
      <c r="K50" t="b">
        <f t="shared" si="27"/>
        <v>1</v>
      </c>
      <c r="L50" t="b">
        <f t="shared" si="28"/>
        <v>0</v>
      </c>
      <c r="M50" t="b">
        <f t="shared" si="29"/>
        <v>1</v>
      </c>
      <c r="N50" t="b">
        <f t="shared" si="30"/>
        <v>0</v>
      </c>
      <c r="O50" t="b">
        <f t="shared" si="31"/>
        <v>0</v>
      </c>
      <c r="P50" t="b">
        <f t="shared" si="32"/>
        <v>0</v>
      </c>
      <c r="Q50" t="b">
        <f t="shared" si="33"/>
        <v>0</v>
      </c>
      <c r="R50" t="b">
        <f t="shared" si="34"/>
        <v>0</v>
      </c>
      <c r="S50" t="b">
        <f t="shared" si="35"/>
        <v>0</v>
      </c>
      <c r="V50" t="b">
        <f t="shared" si="36"/>
        <v>0</v>
      </c>
      <c r="W50" t="b">
        <f t="shared" si="37"/>
        <v>0</v>
      </c>
      <c r="X50" t="b">
        <f t="shared" si="38"/>
        <v>0</v>
      </c>
      <c r="Y50" t="b">
        <f t="shared" si="39"/>
        <v>0</v>
      </c>
      <c r="Z50" t="b">
        <f t="shared" si="40"/>
        <v>0</v>
      </c>
      <c r="AA50" t="b">
        <f t="shared" si="41"/>
        <v>0</v>
      </c>
      <c r="AB50" t="b">
        <f t="shared" si="42"/>
        <v>0</v>
      </c>
      <c r="AC50" t="b">
        <f t="shared" si="43"/>
        <v>0</v>
      </c>
      <c r="AD50" t="b">
        <f t="shared" si="44"/>
        <v>0</v>
      </c>
      <c r="AE50" t="b">
        <f t="shared" si="45"/>
        <v>0</v>
      </c>
      <c r="AF50" t="b">
        <f t="shared" si="46"/>
        <v>0</v>
      </c>
      <c r="AG50" t="b">
        <f t="shared" si="47"/>
        <v>0</v>
      </c>
    </row>
    <row r="51" spans="1:34">
      <c r="A51" t="s">
        <v>350</v>
      </c>
      <c r="B51"/>
      <c r="C51" s="27" t="s">
        <v>192</v>
      </c>
      <c r="D51"/>
      <c r="E51"/>
      <c r="F51" s="6" t="s">
        <v>196</v>
      </c>
      <c r="H51" t="b">
        <f t="shared" si="24"/>
        <v>0</v>
      </c>
      <c r="I51" t="b">
        <f t="shared" si="25"/>
        <v>1</v>
      </c>
      <c r="J51" t="b">
        <f t="shared" si="26"/>
        <v>0</v>
      </c>
      <c r="K51" t="b">
        <f t="shared" si="27"/>
        <v>0</v>
      </c>
      <c r="L51" t="b">
        <f t="shared" si="28"/>
        <v>0</v>
      </c>
      <c r="M51" t="b">
        <f t="shared" si="29"/>
        <v>0</v>
      </c>
      <c r="N51" t="b">
        <f t="shared" si="30"/>
        <v>0</v>
      </c>
      <c r="O51" t="b">
        <f t="shared" si="31"/>
        <v>1</v>
      </c>
      <c r="P51" t="b">
        <f t="shared" si="32"/>
        <v>0</v>
      </c>
      <c r="Q51" t="b">
        <f t="shared" si="33"/>
        <v>1</v>
      </c>
      <c r="R51" t="b">
        <f t="shared" si="34"/>
        <v>0</v>
      </c>
      <c r="S51" t="b">
        <f t="shared" si="35"/>
        <v>0</v>
      </c>
      <c r="V51" t="b">
        <f t="shared" si="36"/>
        <v>0</v>
      </c>
      <c r="W51" t="b">
        <f t="shared" si="37"/>
        <v>0</v>
      </c>
      <c r="X51" t="b">
        <f t="shared" si="38"/>
        <v>0</v>
      </c>
      <c r="Y51" t="b">
        <f t="shared" si="39"/>
        <v>0</v>
      </c>
      <c r="Z51" t="b">
        <f t="shared" si="40"/>
        <v>0</v>
      </c>
      <c r="AA51" t="b">
        <f t="shared" si="41"/>
        <v>0</v>
      </c>
      <c r="AB51" t="b">
        <f t="shared" si="42"/>
        <v>0</v>
      </c>
      <c r="AC51" t="b">
        <f t="shared" si="43"/>
        <v>0</v>
      </c>
      <c r="AD51" t="b">
        <f t="shared" si="44"/>
        <v>0</v>
      </c>
      <c r="AE51" t="b">
        <f t="shared" si="45"/>
        <v>0</v>
      </c>
      <c r="AF51" t="b">
        <f t="shared" si="46"/>
        <v>0</v>
      </c>
      <c r="AG51" t="b">
        <f t="shared" si="47"/>
        <v>0</v>
      </c>
    </row>
    <row r="52" spans="1:34">
      <c r="A52" s="3" t="s">
        <v>351</v>
      </c>
      <c r="B52"/>
      <c r="C52" s="27" t="s">
        <v>192</v>
      </c>
      <c r="D52" s="27" t="s">
        <v>192</v>
      </c>
      <c r="E52" s="27" t="s">
        <v>192</v>
      </c>
      <c r="F52" s="6" t="s">
        <v>193</v>
      </c>
      <c r="H52" t="b">
        <f t="shared" si="24"/>
        <v>0</v>
      </c>
      <c r="I52" t="b">
        <f t="shared" si="25"/>
        <v>1</v>
      </c>
      <c r="J52" t="b">
        <f t="shared" si="26"/>
        <v>0</v>
      </c>
      <c r="K52" t="b">
        <f t="shared" si="27"/>
        <v>1</v>
      </c>
      <c r="L52" t="b">
        <f t="shared" si="28"/>
        <v>0</v>
      </c>
      <c r="M52" t="b">
        <f t="shared" si="29"/>
        <v>1</v>
      </c>
      <c r="N52" t="b">
        <f t="shared" si="30"/>
        <v>1</v>
      </c>
      <c r="O52" t="b">
        <f t="shared" si="31"/>
        <v>1</v>
      </c>
      <c r="P52" t="b">
        <f t="shared" si="32"/>
        <v>1</v>
      </c>
      <c r="Q52" t="b">
        <f t="shared" si="33"/>
        <v>1</v>
      </c>
      <c r="R52" t="b">
        <f t="shared" si="34"/>
        <v>1</v>
      </c>
      <c r="S52" t="b">
        <f t="shared" si="35"/>
        <v>1</v>
      </c>
      <c r="V52" t="b">
        <f t="shared" si="36"/>
        <v>0</v>
      </c>
      <c r="W52" t="b">
        <f t="shared" si="37"/>
        <v>1</v>
      </c>
      <c r="X52" t="b">
        <f t="shared" si="38"/>
        <v>0</v>
      </c>
      <c r="Y52" t="b">
        <f t="shared" si="39"/>
        <v>1</v>
      </c>
      <c r="Z52" t="b">
        <f t="shared" si="40"/>
        <v>0</v>
      </c>
      <c r="AA52" t="b">
        <f t="shared" si="41"/>
        <v>1</v>
      </c>
      <c r="AB52" t="b">
        <f t="shared" si="42"/>
        <v>1</v>
      </c>
      <c r="AC52" t="b">
        <f t="shared" si="43"/>
        <v>1</v>
      </c>
      <c r="AD52" t="b">
        <f t="shared" si="44"/>
        <v>1</v>
      </c>
      <c r="AE52" t="b">
        <f t="shared" si="45"/>
        <v>1</v>
      </c>
      <c r="AF52" t="b">
        <f t="shared" si="46"/>
        <v>1</v>
      </c>
      <c r="AG52" t="b">
        <f t="shared" si="47"/>
        <v>1</v>
      </c>
    </row>
    <row r="53" spans="1:34">
      <c r="A53" s="3" t="s">
        <v>254</v>
      </c>
      <c r="B53" s="27" t="s">
        <v>192</v>
      </c>
      <c r="F53" s="6" t="s">
        <v>193</v>
      </c>
      <c r="H53" t="b">
        <f t="shared" si="24"/>
        <v>0</v>
      </c>
      <c r="I53" t="b">
        <f t="shared" si="25"/>
        <v>1</v>
      </c>
      <c r="J53" t="b">
        <f t="shared" si="26"/>
        <v>0</v>
      </c>
      <c r="K53" t="b">
        <f t="shared" si="27"/>
        <v>1</v>
      </c>
      <c r="L53" t="b">
        <f t="shared" si="28"/>
        <v>0</v>
      </c>
      <c r="M53" t="b">
        <f t="shared" si="29"/>
        <v>1</v>
      </c>
      <c r="N53" t="b">
        <f t="shared" si="30"/>
        <v>0</v>
      </c>
      <c r="O53" t="b">
        <f t="shared" si="31"/>
        <v>0</v>
      </c>
      <c r="P53" t="b">
        <f t="shared" si="32"/>
        <v>0</v>
      </c>
      <c r="Q53" t="b">
        <f t="shared" si="33"/>
        <v>0</v>
      </c>
      <c r="R53" t="b">
        <f t="shared" si="34"/>
        <v>0</v>
      </c>
      <c r="S53" t="b">
        <f t="shared" si="35"/>
        <v>0</v>
      </c>
      <c r="V53" t="b">
        <f t="shared" si="36"/>
        <v>0</v>
      </c>
      <c r="W53" t="b">
        <f t="shared" si="37"/>
        <v>1</v>
      </c>
      <c r="X53" t="b">
        <f t="shared" si="38"/>
        <v>0</v>
      </c>
      <c r="Y53" t="b">
        <f t="shared" si="39"/>
        <v>1</v>
      </c>
      <c r="Z53" t="b">
        <f t="shared" si="40"/>
        <v>0</v>
      </c>
      <c r="AA53" t="b">
        <f t="shared" si="41"/>
        <v>1</v>
      </c>
      <c r="AB53" t="b">
        <f t="shared" si="42"/>
        <v>0</v>
      </c>
      <c r="AC53" t="b">
        <f t="shared" si="43"/>
        <v>0</v>
      </c>
      <c r="AD53" t="b">
        <f t="shared" si="44"/>
        <v>0</v>
      </c>
      <c r="AE53" t="b">
        <f t="shared" si="45"/>
        <v>0</v>
      </c>
      <c r="AF53" t="b">
        <f t="shared" si="46"/>
        <v>0</v>
      </c>
      <c r="AG53" t="b">
        <f t="shared" si="47"/>
        <v>0</v>
      </c>
    </row>
    <row r="54" spans="1:34">
      <c r="A54" t="s">
        <v>352</v>
      </c>
      <c r="B54" s="27" t="s">
        <v>192</v>
      </c>
      <c r="F54" s="6" t="s">
        <v>196</v>
      </c>
      <c r="H54" t="b">
        <f t="shared" si="24"/>
        <v>0</v>
      </c>
      <c r="I54" t="b">
        <f t="shared" si="25"/>
        <v>1</v>
      </c>
      <c r="J54" t="b">
        <f t="shared" si="26"/>
        <v>0</v>
      </c>
      <c r="K54" t="b">
        <f t="shared" si="27"/>
        <v>1</v>
      </c>
      <c r="L54" t="b">
        <f t="shared" si="28"/>
        <v>0</v>
      </c>
      <c r="M54" t="b">
        <f t="shared" si="29"/>
        <v>1</v>
      </c>
      <c r="N54" t="b">
        <f t="shared" si="30"/>
        <v>0</v>
      </c>
      <c r="O54" t="b">
        <f t="shared" si="31"/>
        <v>0</v>
      </c>
      <c r="P54" t="b">
        <f t="shared" si="32"/>
        <v>0</v>
      </c>
      <c r="Q54" t="b">
        <f t="shared" si="33"/>
        <v>0</v>
      </c>
      <c r="R54" t="b">
        <f t="shared" si="34"/>
        <v>0</v>
      </c>
      <c r="S54" t="b">
        <f t="shared" si="35"/>
        <v>0</v>
      </c>
      <c r="V54" t="b">
        <f t="shared" si="36"/>
        <v>0</v>
      </c>
      <c r="W54" t="b">
        <f t="shared" si="37"/>
        <v>0</v>
      </c>
      <c r="X54" t="b">
        <f t="shared" si="38"/>
        <v>0</v>
      </c>
      <c r="Y54" t="b">
        <f t="shared" si="39"/>
        <v>0</v>
      </c>
      <c r="Z54" t="b">
        <f t="shared" si="40"/>
        <v>0</v>
      </c>
      <c r="AA54" t="b">
        <f t="shared" si="41"/>
        <v>0</v>
      </c>
      <c r="AB54" t="b">
        <f t="shared" si="42"/>
        <v>0</v>
      </c>
      <c r="AC54" t="b">
        <f t="shared" si="43"/>
        <v>0</v>
      </c>
      <c r="AD54" t="b">
        <f t="shared" si="44"/>
        <v>0</v>
      </c>
      <c r="AE54" t="b">
        <f t="shared" si="45"/>
        <v>0</v>
      </c>
      <c r="AF54" t="b">
        <f t="shared" si="46"/>
        <v>0</v>
      </c>
      <c r="AG54" t="b">
        <f t="shared" si="47"/>
        <v>0</v>
      </c>
    </row>
    <row r="55" spans="1:34">
      <c r="A55" t="s">
        <v>353</v>
      </c>
      <c r="B55" s="27" t="s">
        <v>192</v>
      </c>
      <c r="F55" s="6" t="s">
        <v>196</v>
      </c>
      <c r="H55" t="b">
        <f t="shared" si="24"/>
        <v>0</v>
      </c>
      <c r="I55" t="b">
        <f t="shared" si="25"/>
        <v>1</v>
      </c>
      <c r="J55" t="b">
        <f t="shared" si="26"/>
        <v>0</v>
      </c>
      <c r="K55" t="b">
        <f t="shared" si="27"/>
        <v>1</v>
      </c>
      <c r="L55" t="b">
        <f t="shared" si="28"/>
        <v>0</v>
      </c>
      <c r="M55" t="b">
        <f t="shared" si="29"/>
        <v>1</v>
      </c>
      <c r="N55" t="b">
        <f t="shared" si="30"/>
        <v>0</v>
      </c>
      <c r="O55" t="b">
        <f t="shared" si="31"/>
        <v>0</v>
      </c>
      <c r="P55" t="b">
        <f t="shared" si="32"/>
        <v>0</v>
      </c>
      <c r="Q55" t="b">
        <f t="shared" si="33"/>
        <v>0</v>
      </c>
      <c r="R55" t="b">
        <f t="shared" si="34"/>
        <v>0</v>
      </c>
      <c r="S55" t="b">
        <f t="shared" si="35"/>
        <v>0</v>
      </c>
      <c r="V55" t="b">
        <f t="shared" si="36"/>
        <v>0</v>
      </c>
      <c r="W55" t="b">
        <f t="shared" si="37"/>
        <v>0</v>
      </c>
      <c r="X55" t="b">
        <f t="shared" si="38"/>
        <v>0</v>
      </c>
      <c r="Y55" t="b">
        <f t="shared" si="39"/>
        <v>0</v>
      </c>
      <c r="Z55" t="b">
        <f t="shared" si="40"/>
        <v>0</v>
      </c>
      <c r="AA55" t="b">
        <f t="shared" si="41"/>
        <v>0</v>
      </c>
      <c r="AB55" t="b">
        <f t="shared" si="42"/>
        <v>0</v>
      </c>
      <c r="AC55" t="b">
        <f t="shared" si="43"/>
        <v>0</v>
      </c>
      <c r="AD55" t="b">
        <f t="shared" si="44"/>
        <v>0</v>
      </c>
      <c r="AE55" t="b">
        <f t="shared" si="45"/>
        <v>0</v>
      </c>
      <c r="AF55" t="b">
        <f t="shared" si="46"/>
        <v>0</v>
      </c>
      <c r="AG55" t="b">
        <f t="shared" si="47"/>
        <v>0</v>
      </c>
    </row>
    <row r="56" spans="1:34">
      <c r="A56" t="s">
        <v>354</v>
      </c>
      <c r="B56" s="27" t="s">
        <v>192</v>
      </c>
      <c r="F56" s="6" t="s">
        <v>196</v>
      </c>
      <c r="H56" t="b">
        <f t="shared" si="24"/>
        <v>0</v>
      </c>
      <c r="I56" t="b">
        <f t="shared" si="25"/>
        <v>1</v>
      </c>
      <c r="J56" t="b">
        <f t="shared" si="26"/>
        <v>0</v>
      </c>
      <c r="K56" t="b">
        <f t="shared" si="27"/>
        <v>1</v>
      </c>
      <c r="L56" t="b">
        <f t="shared" si="28"/>
        <v>0</v>
      </c>
      <c r="M56" t="b">
        <f t="shared" si="29"/>
        <v>1</v>
      </c>
      <c r="N56" t="b">
        <f t="shared" si="30"/>
        <v>0</v>
      </c>
      <c r="O56" t="b">
        <f t="shared" si="31"/>
        <v>0</v>
      </c>
      <c r="P56" t="b">
        <f t="shared" si="32"/>
        <v>0</v>
      </c>
      <c r="Q56" t="b">
        <f t="shared" si="33"/>
        <v>0</v>
      </c>
      <c r="R56" t="b">
        <f t="shared" si="34"/>
        <v>0</v>
      </c>
      <c r="S56" t="b">
        <f t="shared" si="35"/>
        <v>0</v>
      </c>
      <c r="V56" t="b">
        <f t="shared" si="36"/>
        <v>0</v>
      </c>
      <c r="W56" t="b">
        <f t="shared" si="37"/>
        <v>0</v>
      </c>
      <c r="X56" t="b">
        <f t="shared" si="38"/>
        <v>0</v>
      </c>
      <c r="Y56" t="b">
        <f t="shared" si="39"/>
        <v>0</v>
      </c>
      <c r="Z56" t="b">
        <f t="shared" si="40"/>
        <v>0</v>
      </c>
      <c r="AA56" t="b">
        <f t="shared" si="41"/>
        <v>0</v>
      </c>
      <c r="AB56" t="b">
        <f t="shared" si="42"/>
        <v>0</v>
      </c>
      <c r="AC56" t="b">
        <f t="shared" si="43"/>
        <v>0</v>
      </c>
      <c r="AD56" t="b">
        <f t="shared" si="44"/>
        <v>0</v>
      </c>
      <c r="AE56" t="b">
        <f t="shared" si="45"/>
        <v>0</v>
      </c>
      <c r="AF56" t="b">
        <f t="shared" si="46"/>
        <v>0</v>
      </c>
      <c r="AG56" t="b">
        <f t="shared" si="47"/>
        <v>0</v>
      </c>
    </row>
    <row r="57" spans="1:34">
      <c r="A57" t="s">
        <v>355</v>
      </c>
      <c r="B57" s="27" t="s">
        <v>192</v>
      </c>
      <c r="F57" s="6" t="s">
        <v>196</v>
      </c>
      <c r="H57" t="b">
        <f t="shared" si="24"/>
        <v>0</v>
      </c>
      <c r="I57" t="b">
        <f t="shared" si="25"/>
        <v>1</v>
      </c>
      <c r="J57" t="b">
        <f t="shared" si="26"/>
        <v>0</v>
      </c>
      <c r="K57" t="b">
        <f t="shared" si="27"/>
        <v>1</v>
      </c>
      <c r="L57" t="b">
        <f t="shared" si="28"/>
        <v>0</v>
      </c>
      <c r="M57" t="b">
        <f t="shared" si="29"/>
        <v>1</v>
      </c>
      <c r="N57" t="b">
        <f t="shared" si="30"/>
        <v>0</v>
      </c>
      <c r="O57" t="b">
        <f t="shared" si="31"/>
        <v>0</v>
      </c>
      <c r="P57" t="b">
        <f t="shared" si="32"/>
        <v>0</v>
      </c>
      <c r="Q57" t="b">
        <f t="shared" si="33"/>
        <v>0</v>
      </c>
      <c r="R57" t="b">
        <f t="shared" si="34"/>
        <v>0</v>
      </c>
      <c r="S57" t="b">
        <f t="shared" si="35"/>
        <v>0</v>
      </c>
      <c r="V57" t="b">
        <f t="shared" si="36"/>
        <v>0</v>
      </c>
      <c r="W57" t="b">
        <f t="shared" si="37"/>
        <v>0</v>
      </c>
      <c r="X57" t="b">
        <f t="shared" si="38"/>
        <v>0</v>
      </c>
      <c r="Y57" t="b">
        <f t="shared" si="39"/>
        <v>0</v>
      </c>
      <c r="Z57" t="b">
        <f t="shared" si="40"/>
        <v>0</v>
      </c>
      <c r="AA57" t="b">
        <f t="shared" si="41"/>
        <v>0</v>
      </c>
      <c r="AB57" t="b">
        <f t="shared" si="42"/>
        <v>0</v>
      </c>
      <c r="AC57" t="b">
        <f t="shared" si="43"/>
        <v>0</v>
      </c>
      <c r="AD57" t="b">
        <f t="shared" si="44"/>
        <v>0</v>
      </c>
      <c r="AE57" t="b">
        <f t="shared" si="45"/>
        <v>0</v>
      </c>
      <c r="AF57" t="b">
        <f t="shared" si="46"/>
        <v>0</v>
      </c>
      <c r="AG57" t="b">
        <f t="shared" si="47"/>
        <v>0</v>
      </c>
    </row>
    <row r="58" spans="1:34">
      <c r="A58" t="s">
        <v>356</v>
      </c>
      <c r="B58" s="27" t="s">
        <v>192</v>
      </c>
      <c r="F58" s="6" t="s">
        <v>196</v>
      </c>
      <c r="H58" t="b">
        <f t="shared" si="24"/>
        <v>0</v>
      </c>
      <c r="I58" t="b">
        <f t="shared" si="25"/>
        <v>1</v>
      </c>
      <c r="J58" t="b">
        <f t="shared" si="26"/>
        <v>0</v>
      </c>
      <c r="K58" t="b">
        <f t="shared" si="27"/>
        <v>1</v>
      </c>
      <c r="L58" t="b">
        <f t="shared" si="28"/>
        <v>0</v>
      </c>
      <c r="M58" t="b">
        <f t="shared" si="29"/>
        <v>1</v>
      </c>
      <c r="N58" t="b">
        <f t="shared" si="30"/>
        <v>0</v>
      </c>
      <c r="O58" t="b">
        <f t="shared" si="31"/>
        <v>0</v>
      </c>
      <c r="P58" t="b">
        <f t="shared" si="32"/>
        <v>0</v>
      </c>
      <c r="Q58" t="b">
        <f t="shared" si="33"/>
        <v>0</v>
      </c>
      <c r="R58" t="b">
        <f t="shared" si="34"/>
        <v>0</v>
      </c>
      <c r="S58" t="b">
        <f t="shared" si="35"/>
        <v>0</v>
      </c>
      <c r="V58" t="b">
        <f t="shared" si="36"/>
        <v>0</v>
      </c>
      <c r="W58" t="b">
        <f t="shared" si="37"/>
        <v>0</v>
      </c>
      <c r="X58" t="b">
        <f t="shared" si="38"/>
        <v>0</v>
      </c>
      <c r="Y58" t="b">
        <f t="shared" si="39"/>
        <v>0</v>
      </c>
      <c r="Z58" t="b">
        <f t="shared" si="40"/>
        <v>0</v>
      </c>
      <c r="AA58" t="b">
        <f t="shared" si="41"/>
        <v>0</v>
      </c>
      <c r="AB58" t="b">
        <f t="shared" si="42"/>
        <v>0</v>
      </c>
      <c r="AC58" t="b">
        <f t="shared" si="43"/>
        <v>0</v>
      </c>
      <c r="AD58" t="b">
        <f t="shared" si="44"/>
        <v>0</v>
      </c>
      <c r="AE58" t="b">
        <f t="shared" si="45"/>
        <v>0</v>
      </c>
      <c r="AF58" t="b">
        <f t="shared" si="46"/>
        <v>0</v>
      </c>
      <c r="AG58" t="b">
        <f t="shared" si="47"/>
        <v>0</v>
      </c>
    </row>
    <row r="59" spans="1:34">
      <c r="A59" t="s">
        <v>357</v>
      </c>
      <c r="B59" s="27" t="s">
        <v>192</v>
      </c>
      <c r="F59" s="6" t="s">
        <v>196</v>
      </c>
      <c r="H59" t="b">
        <f t="shared" si="24"/>
        <v>0</v>
      </c>
      <c r="I59" t="b">
        <f t="shared" si="25"/>
        <v>1</v>
      </c>
      <c r="J59" t="b">
        <f t="shared" si="26"/>
        <v>0</v>
      </c>
      <c r="K59" t="b">
        <f t="shared" si="27"/>
        <v>1</v>
      </c>
      <c r="L59" t="b">
        <f t="shared" si="28"/>
        <v>0</v>
      </c>
      <c r="M59" t="b">
        <f t="shared" si="29"/>
        <v>1</v>
      </c>
      <c r="N59" t="b">
        <f t="shared" si="30"/>
        <v>0</v>
      </c>
      <c r="O59" t="b">
        <f t="shared" si="31"/>
        <v>0</v>
      </c>
      <c r="P59" t="b">
        <f t="shared" si="32"/>
        <v>0</v>
      </c>
      <c r="Q59" t="b">
        <f t="shared" si="33"/>
        <v>0</v>
      </c>
      <c r="R59" t="b">
        <f t="shared" si="34"/>
        <v>0</v>
      </c>
      <c r="S59" t="b">
        <f t="shared" si="35"/>
        <v>0</v>
      </c>
      <c r="V59" t="b">
        <f t="shared" si="36"/>
        <v>0</v>
      </c>
      <c r="W59" t="b">
        <f t="shared" si="37"/>
        <v>0</v>
      </c>
      <c r="X59" t="b">
        <f t="shared" si="38"/>
        <v>0</v>
      </c>
      <c r="Y59" t="b">
        <f t="shared" si="39"/>
        <v>0</v>
      </c>
      <c r="Z59" t="b">
        <f t="shared" si="40"/>
        <v>0</v>
      </c>
      <c r="AA59" t="b">
        <f t="shared" si="41"/>
        <v>0</v>
      </c>
      <c r="AB59" t="b">
        <f t="shared" si="42"/>
        <v>0</v>
      </c>
      <c r="AC59" t="b">
        <f t="shared" si="43"/>
        <v>0</v>
      </c>
      <c r="AD59" t="b">
        <f t="shared" si="44"/>
        <v>0</v>
      </c>
      <c r="AE59" t="b">
        <f t="shared" si="45"/>
        <v>0</v>
      </c>
      <c r="AF59" t="b">
        <f t="shared" si="46"/>
        <v>0</v>
      </c>
      <c r="AG59" t="b">
        <f t="shared" si="47"/>
        <v>0</v>
      </c>
    </row>
    <row r="60" spans="1:34">
      <c r="A60" t="s">
        <v>358</v>
      </c>
      <c r="C60" s="27" t="s">
        <v>192</v>
      </c>
      <c r="D60" s="27" t="s">
        <v>192</v>
      </c>
      <c r="F60" s="6" t="s">
        <v>196</v>
      </c>
      <c r="H60" t="b">
        <f t="shared" si="24"/>
        <v>0</v>
      </c>
      <c r="I60" t="b">
        <f t="shared" si="25"/>
        <v>1</v>
      </c>
      <c r="J60" t="b">
        <f t="shared" si="26"/>
        <v>0</v>
      </c>
      <c r="K60" t="b">
        <f t="shared" si="27"/>
        <v>1</v>
      </c>
      <c r="L60" t="b">
        <f t="shared" si="28"/>
        <v>0</v>
      </c>
      <c r="M60" t="b">
        <f t="shared" si="29"/>
        <v>0</v>
      </c>
      <c r="N60" t="b">
        <f t="shared" si="30"/>
        <v>1</v>
      </c>
      <c r="O60" t="b">
        <f t="shared" si="31"/>
        <v>1</v>
      </c>
      <c r="P60" t="b">
        <f t="shared" si="32"/>
        <v>0</v>
      </c>
      <c r="Q60" t="b">
        <f t="shared" si="33"/>
        <v>1</v>
      </c>
      <c r="R60" t="b">
        <f t="shared" si="34"/>
        <v>0</v>
      </c>
      <c r="S60" t="b">
        <f t="shared" si="35"/>
        <v>1</v>
      </c>
      <c r="V60" t="b">
        <f t="shared" si="36"/>
        <v>0</v>
      </c>
      <c r="W60" t="b">
        <f t="shared" si="37"/>
        <v>0</v>
      </c>
      <c r="X60" t="b">
        <f t="shared" si="38"/>
        <v>0</v>
      </c>
      <c r="Y60" t="b">
        <f t="shared" si="39"/>
        <v>0</v>
      </c>
      <c r="Z60" t="b">
        <f t="shared" si="40"/>
        <v>0</v>
      </c>
      <c r="AA60" t="b">
        <f t="shared" si="41"/>
        <v>0</v>
      </c>
      <c r="AB60" t="b">
        <f t="shared" si="42"/>
        <v>0</v>
      </c>
      <c r="AC60" t="b">
        <f t="shared" si="43"/>
        <v>0</v>
      </c>
      <c r="AD60" t="b">
        <f t="shared" si="44"/>
        <v>0</v>
      </c>
      <c r="AE60" t="b">
        <f t="shared" si="45"/>
        <v>0</v>
      </c>
      <c r="AF60" t="b">
        <f t="shared" si="46"/>
        <v>0</v>
      </c>
      <c r="AG60" t="b">
        <f t="shared" si="47"/>
        <v>0</v>
      </c>
    </row>
    <row r="61" spans="1:34">
      <c r="A61" t="s">
        <v>359</v>
      </c>
      <c r="D61" s="27" t="s">
        <v>192</v>
      </c>
      <c r="F61" s="6" t="s">
        <v>196</v>
      </c>
      <c r="H61" t="b">
        <f t="shared" si="24"/>
        <v>0</v>
      </c>
      <c r="I61" t="b">
        <f t="shared" si="25"/>
        <v>0</v>
      </c>
      <c r="J61" t="b">
        <f t="shared" si="26"/>
        <v>0</v>
      </c>
      <c r="K61" t="b">
        <f t="shared" si="27"/>
        <v>1</v>
      </c>
      <c r="L61" t="b">
        <f t="shared" si="28"/>
        <v>0</v>
      </c>
      <c r="M61" t="b">
        <f t="shared" si="29"/>
        <v>0</v>
      </c>
      <c r="N61" t="b">
        <f t="shared" si="30"/>
        <v>0</v>
      </c>
      <c r="O61" t="b">
        <f t="shared" si="31"/>
        <v>1</v>
      </c>
      <c r="P61" t="b">
        <f t="shared" si="32"/>
        <v>0</v>
      </c>
      <c r="Q61" t="b">
        <f t="shared" si="33"/>
        <v>0</v>
      </c>
      <c r="R61" t="b">
        <f t="shared" si="34"/>
        <v>0</v>
      </c>
      <c r="S61" t="b">
        <f t="shared" si="35"/>
        <v>1</v>
      </c>
      <c r="V61" t="b">
        <f t="shared" si="36"/>
        <v>0</v>
      </c>
      <c r="W61" t="b">
        <f t="shared" si="37"/>
        <v>0</v>
      </c>
      <c r="X61" t="b">
        <f t="shared" si="38"/>
        <v>0</v>
      </c>
      <c r="Y61" t="b">
        <f t="shared" si="39"/>
        <v>0</v>
      </c>
      <c r="Z61" t="b">
        <f t="shared" si="40"/>
        <v>0</v>
      </c>
      <c r="AA61" t="b">
        <f t="shared" si="41"/>
        <v>0</v>
      </c>
      <c r="AB61" t="b">
        <f t="shared" si="42"/>
        <v>0</v>
      </c>
      <c r="AC61" t="b">
        <f t="shared" si="43"/>
        <v>0</v>
      </c>
      <c r="AD61" t="b">
        <f t="shared" si="44"/>
        <v>0</v>
      </c>
      <c r="AE61" t="b">
        <f t="shared" si="45"/>
        <v>0</v>
      </c>
      <c r="AF61" t="b">
        <f t="shared" si="46"/>
        <v>0</v>
      </c>
      <c r="AG61" t="b">
        <f t="shared" si="47"/>
        <v>0</v>
      </c>
    </row>
    <row r="62" spans="1:34" ht="15">
      <c r="F62" s="6"/>
    </row>
    <row r="63" spans="1:34">
      <c r="A63" s="47" t="s">
        <v>261</v>
      </c>
      <c r="B63" s="47"/>
      <c r="C63" s="47"/>
      <c r="D63" s="47"/>
      <c r="E63" s="47"/>
      <c r="F63" s="47"/>
      <c r="G63" s="47"/>
      <c r="H63">
        <f>COUNTIF(H2:H61,TRUE())</f>
        <v>19</v>
      </c>
      <c r="I63">
        <f>COUNTIF(I2:I61,TRUE())</f>
        <v>48</v>
      </c>
      <c r="J63">
        <f>COUNTIF(J2:J61,TRUE())</f>
        <v>21</v>
      </c>
      <c r="K63">
        <f>COUNTIF(K2:K61,TRUE())</f>
        <v>53</v>
      </c>
      <c r="L63">
        <f>COUNTIF(L2:L61,TRUE())</f>
        <v>21</v>
      </c>
      <c r="M63">
        <f>COUNTIF(M2:M61,TRUE())</f>
        <v>46</v>
      </c>
      <c r="N63">
        <f>COUNTIF(N2:N61,TRUE())</f>
        <v>24</v>
      </c>
      <c r="O63">
        <f>COUNTIF(O2:O61,TRUE())</f>
        <v>39</v>
      </c>
      <c r="P63">
        <f>COUNTIF(P2:P61,TRUE())</f>
        <v>23</v>
      </c>
      <c r="Q63">
        <f>COUNTIF(Q2:Q61,TRUE())</f>
        <v>33</v>
      </c>
      <c r="R63">
        <f>COUNTIF(R2:R61,TRUE())</f>
        <v>24</v>
      </c>
      <c r="S63">
        <f>COUNTIF(S2:S61,TRUE())</f>
        <v>39</v>
      </c>
      <c r="T63" s="16" t="s">
        <v>262</v>
      </c>
      <c r="V63">
        <f>COUNTIF(V2:V61,TRUE())</f>
        <v>19</v>
      </c>
      <c r="W63">
        <f>COUNTIF(W2:W61,TRUE())</f>
        <v>28</v>
      </c>
      <c r="X63">
        <f>COUNTIF(X2:X61,TRUE())</f>
        <v>21</v>
      </c>
      <c r="Y63">
        <f>COUNTIF(Y2:Y61,TRUE())</f>
        <v>27</v>
      </c>
      <c r="Z63">
        <f>COUNTIF(Z2:Z61,TRUE())</f>
        <v>21</v>
      </c>
      <c r="AA63">
        <f>COUNTIF(AA2:AA61,TRUE())</f>
        <v>29</v>
      </c>
      <c r="AB63">
        <f>COUNTIF(AB2:AB61,TRUE())</f>
        <v>22</v>
      </c>
      <c r="AC63">
        <f>COUNTIF(AC2:AC61,TRUE())</f>
        <v>25</v>
      </c>
      <c r="AD63">
        <f>COUNTIF(AD2:AD61,TRUE())</f>
        <v>22</v>
      </c>
      <c r="AE63">
        <f>COUNTIF(AE2:AE61,TRUE())</f>
        <v>27</v>
      </c>
      <c r="AF63">
        <f>COUNTIF(AF2:AF61,TRUE())</f>
        <v>23</v>
      </c>
      <c r="AG63">
        <f>COUNTIF(AG2:AG61,TRUE())</f>
        <v>27</v>
      </c>
      <c r="AH63" s="16" t="s">
        <v>262</v>
      </c>
    </row>
    <row r="64" spans="1:34">
      <c r="G64" s="6" t="s">
        <v>132</v>
      </c>
      <c r="H64" s="55">
        <f>H63/I63</f>
        <v>0.39583333333333331</v>
      </c>
      <c r="I64" s="55"/>
      <c r="J64" s="55">
        <f>J63/K63</f>
        <v>0.39622641509433965</v>
      </c>
      <c r="K64" s="55"/>
      <c r="L64" s="55">
        <f>L63/M63</f>
        <v>0.45652173913043476</v>
      </c>
      <c r="M64" s="55"/>
      <c r="N64" s="55">
        <f>N63/O63</f>
        <v>0.61538461538461542</v>
      </c>
      <c r="O64" s="55"/>
      <c r="P64" s="55">
        <f>P63/Q63</f>
        <v>0.69696969696969702</v>
      </c>
      <c r="Q64" s="55"/>
      <c r="R64" s="55">
        <f>R63/S63</f>
        <v>0.61538461538461542</v>
      </c>
      <c r="S64" s="55"/>
      <c r="T64" s="24">
        <f>AVERAGE(H64:S64)</f>
        <v>0.52938673588283935</v>
      </c>
      <c r="U64" s="6" t="s">
        <v>132</v>
      </c>
      <c r="V64" s="55">
        <f>V63/W63</f>
        <v>0.6785714285714286</v>
      </c>
      <c r="W64" s="55"/>
      <c r="X64" s="55">
        <f>X63/Y63</f>
        <v>0.77777777777777779</v>
      </c>
      <c r="Y64" s="55"/>
      <c r="Z64" s="55">
        <f>Z63/AA63</f>
        <v>0.72413793103448276</v>
      </c>
      <c r="AA64" s="55"/>
      <c r="AB64" s="55">
        <f>AB63/AC63</f>
        <v>0.88</v>
      </c>
      <c r="AC64" s="55"/>
      <c r="AD64" s="55">
        <f>AD63/AE63</f>
        <v>0.81481481481481477</v>
      </c>
      <c r="AE64" s="55"/>
      <c r="AF64" s="55">
        <f>AF63/AG63</f>
        <v>0.85185185185185186</v>
      </c>
      <c r="AG64" s="55"/>
      <c r="AH64" s="24">
        <f>AVERAGE(V64:AG64)</f>
        <v>0.78785896734172589</v>
      </c>
    </row>
    <row r="65" spans="20:34">
      <c r="T65" s="24">
        <f>GEOMEAN(H64:S64)</f>
        <v>0.51610421135259776</v>
      </c>
      <c r="AH65" s="24">
        <f>GEOMEAN(V64:AG64)</f>
        <v>0.78468679273500486</v>
      </c>
    </row>
    <row r="73" spans="20:34" ht="15"/>
  </sheetData>
  <autoFilter ref="A1:F61" xr:uid="{00000000-0001-0000-0500-000000000000}"/>
  <mergeCells count="13">
    <mergeCell ref="A63:G63"/>
    <mergeCell ref="H64:I64"/>
    <mergeCell ref="J64:K64"/>
    <mergeCell ref="L64:M64"/>
    <mergeCell ref="N64:O64"/>
    <mergeCell ref="AB64:AC64"/>
    <mergeCell ref="AD64:AE64"/>
    <mergeCell ref="AF64:AG64"/>
    <mergeCell ref="P64:Q64"/>
    <mergeCell ref="R64:S64"/>
    <mergeCell ref="V64:W64"/>
    <mergeCell ref="X64:Y64"/>
    <mergeCell ref="Z64:AA64"/>
  </mergeCells>
  <conditionalFormatting sqref="F2:F62">
    <cfRule type="containsText" dxfId="264" priority="2" operator="containsText" text="No">
      <formula>NOT(ISERROR(SEARCH("No",F2)))</formula>
    </cfRule>
    <cfRule type="containsText" dxfId="263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1048554"/>
  <sheetViews>
    <sheetView topLeftCell="A28" zoomScale="85" zoomScaleNormal="85" workbookViewId="0">
      <selection activeCell="H76" sqref="H76"/>
    </sheetView>
  </sheetViews>
  <sheetFormatPr defaultColWidth="8.7109375" defaultRowHeight="14.45"/>
  <cols>
    <col min="1" max="1" width="22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360</v>
      </c>
      <c r="C1" s="27" t="s">
        <v>361</v>
      </c>
      <c r="D1" s="27" t="s">
        <v>362</v>
      </c>
      <c r="E1" s="27" t="s">
        <v>363</v>
      </c>
      <c r="F1" t="s">
        <v>178</v>
      </c>
      <c r="H1" t="s">
        <v>364</v>
      </c>
      <c r="I1" t="s">
        <v>365</v>
      </c>
      <c r="J1" t="s">
        <v>366</v>
      </c>
      <c r="K1" t="s">
        <v>367</v>
      </c>
      <c r="L1" t="s">
        <v>368</v>
      </c>
      <c r="M1" t="s">
        <v>369</v>
      </c>
      <c r="N1" t="s">
        <v>370</v>
      </c>
      <c r="O1" t="s">
        <v>371</v>
      </c>
      <c r="P1" t="s">
        <v>372</v>
      </c>
      <c r="Q1" t="s">
        <v>373</v>
      </c>
      <c r="R1" t="s">
        <v>374</v>
      </c>
      <c r="S1" t="s">
        <v>375</v>
      </c>
      <c r="V1" t="s">
        <v>364</v>
      </c>
      <c r="W1" t="s">
        <v>365</v>
      </c>
      <c r="X1" t="s">
        <v>366</v>
      </c>
      <c r="Y1" t="s">
        <v>367</v>
      </c>
      <c r="Z1" t="s">
        <v>368</v>
      </c>
      <c r="AA1" t="s">
        <v>369</v>
      </c>
      <c r="AB1" t="s">
        <v>370</v>
      </c>
      <c r="AC1" t="s">
        <v>371</v>
      </c>
      <c r="AD1" t="s">
        <v>372</v>
      </c>
      <c r="AE1" t="s">
        <v>373</v>
      </c>
      <c r="AF1" t="s">
        <v>374</v>
      </c>
      <c r="AG1" t="s">
        <v>375</v>
      </c>
    </row>
    <row r="2" spans="1:33">
      <c r="A2" s="3" t="s">
        <v>191</v>
      </c>
      <c r="B2" s="27" t="s">
        <v>192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41" si="0">AND(B2&lt;&gt;"",C2&lt;&gt;"")</f>
        <v>1</v>
      </c>
      <c r="I2" t="b">
        <f t="shared" ref="I2:I41" si="1">OR(B2&lt;&gt;"",C2&lt;&gt;"")</f>
        <v>1</v>
      </c>
      <c r="J2" t="b">
        <f t="shared" ref="J2:J41" si="2">AND(B2&lt;&gt;"",D2&lt;&gt;"")</f>
        <v>1</v>
      </c>
      <c r="K2" t="b">
        <f t="shared" ref="K2:K41" si="3">OR(B2&lt;&gt;"",D2&lt;&gt;"")</f>
        <v>1</v>
      </c>
      <c r="L2" t="b">
        <f t="shared" ref="L2:L41" si="4">AND(B2&lt;&gt;"",E2&lt;&gt;"")</f>
        <v>1</v>
      </c>
      <c r="M2" t="b">
        <f t="shared" ref="M2:M41" si="5">OR(B2&lt;&gt;"",E2&lt;&gt;"")</f>
        <v>1</v>
      </c>
      <c r="N2" t="b">
        <f t="shared" ref="N2:N41" si="6">AND(C2&lt;&gt;"",D2&lt;&gt;"")</f>
        <v>1</v>
      </c>
      <c r="O2" t="b">
        <f t="shared" ref="O2:O41" si="7">OR(C2&lt;&gt;"",D2&lt;&gt;"")</f>
        <v>1</v>
      </c>
      <c r="P2" t="b">
        <f t="shared" ref="P2:P41" si="8">AND(C2&lt;&gt;"",E2&lt;&gt;"")</f>
        <v>1</v>
      </c>
      <c r="Q2" t="b">
        <f t="shared" ref="Q2:Q41" si="9">OR(C2&lt;&gt;"",E2&lt;&gt;"")</f>
        <v>1</v>
      </c>
      <c r="R2" t="b">
        <f t="shared" ref="R2:R41" si="10">AND(D2&lt;&gt;"",E2&lt;&gt;"")</f>
        <v>1</v>
      </c>
      <c r="S2" t="b">
        <f t="shared" ref="S2:S41" si="11">OR(D2&lt;&gt;"",E2&lt;&gt;"")</f>
        <v>1</v>
      </c>
      <c r="V2" t="b">
        <f t="shared" ref="V2:V41" si="12">AND(B2&lt;&gt;"",C2&lt;&gt;"",F2="No")</f>
        <v>1</v>
      </c>
      <c r="W2" t="b">
        <f t="shared" ref="W2:W41" si="13">AND(OR(B2&lt;&gt;"",C2&lt;&gt;""),F2="No")</f>
        <v>1</v>
      </c>
      <c r="X2" t="b">
        <f t="shared" ref="X2:X41" si="14">AND(B2&lt;&gt;"",D2&lt;&gt;"",F2="No")</f>
        <v>1</v>
      </c>
      <c r="Y2" t="b">
        <f t="shared" ref="Y2:Y41" si="15">AND(OR(B2&lt;&gt;"",D2&lt;&gt;""),F2="No")</f>
        <v>1</v>
      </c>
      <c r="Z2" t="b">
        <f t="shared" ref="Z2:Z41" si="16">AND(B2&lt;&gt;"",E2&lt;&gt;"",F2="No")</f>
        <v>1</v>
      </c>
      <c r="AA2" t="b">
        <f t="shared" ref="AA2:AA41" si="17">AND(OR(B2&lt;&gt;"",E2&lt;&gt;""),F2="No")</f>
        <v>1</v>
      </c>
      <c r="AB2" t="b">
        <f t="shared" ref="AB2:AB41" si="18">AND(C2&lt;&gt;"",D2&lt;&gt;"",F2="No")</f>
        <v>1</v>
      </c>
      <c r="AC2" t="b">
        <f t="shared" ref="AC2:AC41" si="19">AND(OR(C2&lt;&gt;"",D2&lt;&gt;""),F2="No")</f>
        <v>1</v>
      </c>
      <c r="AD2" t="b">
        <f t="shared" ref="AD2:AD41" si="20">AND(C2&lt;&gt;"",E2&lt;&gt;"",F2="No")</f>
        <v>1</v>
      </c>
      <c r="AE2" t="b">
        <f t="shared" ref="AE2:AE41" si="21">AND(OR(C2&lt;&gt;"",E2&lt;&gt;""),F2="No")</f>
        <v>1</v>
      </c>
      <c r="AF2" t="b">
        <f t="shared" ref="AF2:AF41" si="22">AND(D2&lt;&gt;"",E2&lt;&gt;"",F2="No")</f>
        <v>1</v>
      </c>
      <c r="AG2" t="b">
        <f t="shared" ref="AG2:AG41" si="23">AND(OR(D2&lt;&gt;"",E2&lt;&gt;""),F2="No")</f>
        <v>1</v>
      </c>
    </row>
    <row r="3" spans="1:33" ht="15">
      <c r="A3" s="3" t="s">
        <v>199</v>
      </c>
      <c r="E3" s="27" t="s">
        <v>192</v>
      </c>
      <c r="F3" s="6" t="s">
        <v>193</v>
      </c>
      <c r="H3" t="b">
        <f t="shared" ref="H3:H55" si="24">AND(B3&lt;&gt;"",C3&lt;&gt;"")</f>
        <v>0</v>
      </c>
      <c r="I3" t="b">
        <f t="shared" ref="I3:I55" si="25">OR(B3&lt;&gt;"",C3&lt;&gt;"")</f>
        <v>0</v>
      </c>
      <c r="J3" t="b">
        <f t="shared" ref="J3:J55" si="26">AND(B3&lt;&gt;"",D3&lt;&gt;"")</f>
        <v>0</v>
      </c>
      <c r="K3" t="b">
        <f t="shared" ref="K3:K55" si="27">OR(B3&lt;&gt;"",D3&lt;&gt;"")</f>
        <v>0</v>
      </c>
      <c r="L3" t="b">
        <f t="shared" ref="L3:L55" si="28">AND(B3&lt;&gt;"",E3&lt;&gt;"")</f>
        <v>0</v>
      </c>
      <c r="M3" t="b">
        <f t="shared" ref="M3:M55" si="29">OR(B3&lt;&gt;"",E3&lt;&gt;"")</f>
        <v>1</v>
      </c>
      <c r="N3" t="b">
        <f t="shared" ref="N3:N55" si="30">AND(C3&lt;&gt;"",D3&lt;&gt;"")</f>
        <v>0</v>
      </c>
      <c r="O3" t="b">
        <f t="shared" ref="O3:O55" si="31">OR(C3&lt;&gt;"",D3&lt;&gt;"")</f>
        <v>0</v>
      </c>
      <c r="P3" t="b">
        <f t="shared" ref="P3:P55" si="32">AND(C3&lt;&gt;"",E3&lt;&gt;"")</f>
        <v>0</v>
      </c>
      <c r="Q3" t="b">
        <f t="shared" ref="Q3:Q55" si="33">OR(C3&lt;&gt;"",E3&lt;&gt;"")</f>
        <v>1</v>
      </c>
      <c r="R3" t="b">
        <f t="shared" ref="R3:R55" si="34">AND(D3&lt;&gt;"",E3&lt;&gt;"")</f>
        <v>0</v>
      </c>
      <c r="S3" t="b">
        <f t="shared" ref="S3:S55" si="35">OR(D3&lt;&gt;"",E3&lt;&gt;"")</f>
        <v>1</v>
      </c>
      <c r="V3" t="b">
        <f t="shared" ref="V3:V55" si="36">AND(B3&lt;&gt;"",C3&lt;&gt;"",F3="No")</f>
        <v>0</v>
      </c>
      <c r="W3" t="b">
        <f t="shared" ref="W3:W55" si="37">AND(OR(B3&lt;&gt;"",C3&lt;&gt;""),F3="No")</f>
        <v>0</v>
      </c>
      <c r="X3" t="b">
        <f t="shared" ref="X3:X55" si="38">AND(B3&lt;&gt;"",D3&lt;&gt;"",F3="No")</f>
        <v>0</v>
      </c>
      <c r="Y3" t="b">
        <f t="shared" ref="Y3:Y55" si="39">AND(OR(B3&lt;&gt;"",D3&lt;&gt;""),F3="No")</f>
        <v>0</v>
      </c>
      <c r="Z3" t="b">
        <f t="shared" ref="Z3:Z55" si="40">AND(B3&lt;&gt;"",E3&lt;&gt;"",F3="No")</f>
        <v>0</v>
      </c>
      <c r="AA3" t="b">
        <f t="shared" ref="AA3:AA55" si="41">AND(OR(B3&lt;&gt;"",E3&lt;&gt;""),F3="No")</f>
        <v>1</v>
      </c>
      <c r="AB3" t="b">
        <f t="shared" ref="AB3:AB55" si="42">AND(C3&lt;&gt;"",D3&lt;&gt;"",F3="No")</f>
        <v>0</v>
      </c>
      <c r="AC3" t="b">
        <f t="shared" ref="AC3:AC55" si="43">AND(OR(C3&lt;&gt;"",D3&lt;&gt;""),F3="No")</f>
        <v>0</v>
      </c>
      <c r="AD3" t="b">
        <f t="shared" ref="AD3:AD55" si="44">AND(C3&lt;&gt;"",E3&lt;&gt;"",F3="No")</f>
        <v>0</v>
      </c>
      <c r="AE3" t="b">
        <f t="shared" ref="AE3:AE55" si="45">AND(OR(C3&lt;&gt;"",E3&lt;&gt;""),F3="No")</f>
        <v>1</v>
      </c>
      <c r="AF3" t="b">
        <f t="shared" ref="AF3:AF55" si="46">AND(D3&lt;&gt;"",E3&lt;&gt;"",F3="No")</f>
        <v>0</v>
      </c>
      <c r="AG3" t="b">
        <f t="shared" ref="AG3:AG55" si="47">AND(OR(D3&lt;&gt;"",E3&lt;&gt;""),F3="No")</f>
        <v>1</v>
      </c>
    </row>
    <row r="4" spans="1:33" ht="15">
      <c r="A4" s="3" t="s">
        <v>280</v>
      </c>
      <c r="E4" s="27" t="s">
        <v>192</v>
      </c>
      <c r="F4" s="6" t="s">
        <v>193</v>
      </c>
      <c r="H4" t="b">
        <f t="shared" si="24"/>
        <v>0</v>
      </c>
      <c r="I4" t="b">
        <f t="shared" si="25"/>
        <v>0</v>
      </c>
      <c r="J4" t="b">
        <f t="shared" si="26"/>
        <v>0</v>
      </c>
      <c r="K4" t="b">
        <f t="shared" si="27"/>
        <v>0</v>
      </c>
      <c r="L4" t="b">
        <f t="shared" si="28"/>
        <v>0</v>
      </c>
      <c r="M4" t="b">
        <f t="shared" si="29"/>
        <v>1</v>
      </c>
      <c r="N4" t="b">
        <f t="shared" si="30"/>
        <v>0</v>
      </c>
      <c r="O4" t="b">
        <f t="shared" si="31"/>
        <v>0</v>
      </c>
      <c r="P4" t="b">
        <f t="shared" si="32"/>
        <v>0</v>
      </c>
      <c r="Q4" t="b">
        <f t="shared" si="33"/>
        <v>1</v>
      </c>
      <c r="R4" t="b">
        <f t="shared" si="34"/>
        <v>0</v>
      </c>
      <c r="S4" t="b">
        <f t="shared" si="35"/>
        <v>1</v>
      </c>
      <c r="V4" t="b">
        <f t="shared" si="36"/>
        <v>0</v>
      </c>
      <c r="W4" t="b">
        <f t="shared" si="37"/>
        <v>0</v>
      </c>
      <c r="X4" t="b">
        <f t="shared" si="38"/>
        <v>0</v>
      </c>
      <c r="Y4" t="b">
        <f t="shared" si="39"/>
        <v>0</v>
      </c>
      <c r="Z4" t="b">
        <f t="shared" si="40"/>
        <v>0</v>
      </c>
      <c r="AA4" t="b">
        <f t="shared" si="41"/>
        <v>1</v>
      </c>
      <c r="AB4" t="b">
        <f t="shared" si="42"/>
        <v>0</v>
      </c>
      <c r="AC4" t="b">
        <f t="shared" si="43"/>
        <v>0</v>
      </c>
      <c r="AD4" t="b">
        <f t="shared" si="44"/>
        <v>0</v>
      </c>
      <c r="AE4" t="b">
        <f t="shared" si="45"/>
        <v>1</v>
      </c>
      <c r="AF4" t="b">
        <f t="shared" si="46"/>
        <v>0</v>
      </c>
      <c r="AG4" t="b">
        <f t="shared" si="47"/>
        <v>1</v>
      </c>
    </row>
    <row r="5" spans="1:33">
      <c r="A5" t="s">
        <v>376</v>
      </c>
      <c r="B5" s="27" t="s">
        <v>192</v>
      </c>
      <c r="C5" s="27" t="s">
        <v>192</v>
      </c>
      <c r="D5" s="27" t="s">
        <v>192</v>
      </c>
      <c r="F5" s="6" t="s">
        <v>196</v>
      </c>
      <c r="H5" t="b">
        <f t="shared" si="24"/>
        <v>1</v>
      </c>
      <c r="I5" t="b">
        <f t="shared" si="25"/>
        <v>1</v>
      </c>
      <c r="J5" t="b">
        <f t="shared" si="26"/>
        <v>1</v>
      </c>
      <c r="K5" t="b">
        <f t="shared" si="27"/>
        <v>1</v>
      </c>
      <c r="L5" t="b">
        <f t="shared" si="28"/>
        <v>0</v>
      </c>
      <c r="M5" t="b">
        <f t="shared" si="29"/>
        <v>1</v>
      </c>
      <c r="N5" t="b">
        <f t="shared" si="30"/>
        <v>1</v>
      </c>
      <c r="O5" t="b">
        <f t="shared" si="31"/>
        <v>1</v>
      </c>
      <c r="P5" t="b">
        <f t="shared" si="32"/>
        <v>0</v>
      </c>
      <c r="Q5" t="b">
        <f t="shared" si="33"/>
        <v>1</v>
      </c>
      <c r="R5" t="b">
        <f t="shared" si="34"/>
        <v>0</v>
      </c>
      <c r="S5" t="b">
        <f t="shared" si="35"/>
        <v>1</v>
      </c>
      <c r="V5" t="b">
        <f t="shared" si="36"/>
        <v>0</v>
      </c>
      <c r="W5" t="b">
        <f t="shared" si="37"/>
        <v>0</v>
      </c>
      <c r="X5" t="b">
        <f t="shared" si="38"/>
        <v>0</v>
      </c>
      <c r="Y5" t="b">
        <f t="shared" si="39"/>
        <v>0</v>
      </c>
      <c r="Z5" t="b">
        <f t="shared" si="40"/>
        <v>0</v>
      </c>
      <c r="AA5" t="b">
        <f t="shared" si="41"/>
        <v>0</v>
      </c>
      <c r="AB5" t="b">
        <f t="shared" si="42"/>
        <v>0</v>
      </c>
      <c r="AC5" t="b">
        <f t="shared" si="43"/>
        <v>0</v>
      </c>
      <c r="AD5" t="b">
        <f t="shared" si="44"/>
        <v>0</v>
      </c>
      <c r="AE5" t="b">
        <f t="shared" si="45"/>
        <v>0</v>
      </c>
      <c r="AF5" t="b">
        <f t="shared" si="46"/>
        <v>0</v>
      </c>
      <c r="AG5" t="b">
        <f t="shared" si="47"/>
        <v>0</v>
      </c>
    </row>
    <row r="6" spans="1:33">
      <c r="A6" t="s">
        <v>377</v>
      </c>
      <c r="B6" s="27" t="s">
        <v>192</v>
      </c>
      <c r="C6" s="27" t="s">
        <v>192</v>
      </c>
      <c r="F6" s="6" t="s">
        <v>196</v>
      </c>
      <c r="H6" t="b">
        <f t="shared" si="24"/>
        <v>1</v>
      </c>
      <c r="I6" t="b">
        <f t="shared" si="25"/>
        <v>1</v>
      </c>
      <c r="J6" t="b">
        <f t="shared" si="26"/>
        <v>0</v>
      </c>
      <c r="K6" t="b">
        <f t="shared" si="27"/>
        <v>1</v>
      </c>
      <c r="L6" t="b">
        <f t="shared" si="28"/>
        <v>0</v>
      </c>
      <c r="M6" t="b">
        <f t="shared" si="29"/>
        <v>1</v>
      </c>
      <c r="N6" t="b">
        <f t="shared" si="30"/>
        <v>0</v>
      </c>
      <c r="O6" t="b">
        <f t="shared" si="31"/>
        <v>1</v>
      </c>
      <c r="P6" t="b">
        <f t="shared" si="32"/>
        <v>0</v>
      </c>
      <c r="Q6" t="b">
        <f t="shared" si="33"/>
        <v>1</v>
      </c>
      <c r="R6" t="b">
        <f t="shared" si="34"/>
        <v>0</v>
      </c>
      <c r="S6" t="b">
        <f t="shared" si="35"/>
        <v>0</v>
      </c>
      <c r="V6" t="b">
        <f t="shared" si="36"/>
        <v>0</v>
      </c>
      <c r="W6" t="b">
        <f t="shared" si="37"/>
        <v>0</v>
      </c>
      <c r="X6" t="b">
        <f t="shared" si="38"/>
        <v>0</v>
      </c>
      <c r="Y6" t="b">
        <f t="shared" si="39"/>
        <v>0</v>
      </c>
      <c r="Z6" t="b">
        <f t="shared" si="40"/>
        <v>0</v>
      </c>
      <c r="AA6" t="b">
        <f t="shared" si="41"/>
        <v>0</v>
      </c>
      <c r="AB6" t="b">
        <f t="shared" si="42"/>
        <v>0</v>
      </c>
      <c r="AC6" t="b">
        <f t="shared" si="43"/>
        <v>0</v>
      </c>
      <c r="AD6" t="b">
        <f t="shared" si="44"/>
        <v>0</v>
      </c>
      <c r="AE6" t="b">
        <f t="shared" si="45"/>
        <v>0</v>
      </c>
      <c r="AF6" t="b">
        <f t="shared" si="46"/>
        <v>0</v>
      </c>
      <c r="AG6" t="b">
        <f t="shared" si="47"/>
        <v>0</v>
      </c>
    </row>
    <row r="7" spans="1:33">
      <c r="A7" t="s">
        <v>378</v>
      </c>
      <c r="B7" s="27" t="s">
        <v>192</v>
      </c>
      <c r="F7" s="6" t="s">
        <v>196</v>
      </c>
      <c r="H7" t="b">
        <f t="shared" si="24"/>
        <v>0</v>
      </c>
      <c r="I7" t="b">
        <f t="shared" si="25"/>
        <v>1</v>
      </c>
      <c r="J7" t="b">
        <f t="shared" si="26"/>
        <v>0</v>
      </c>
      <c r="K7" t="b">
        <f t="shared" si="27"/>
        <v>1</v>
      </c>
      <c r="L7" t="b">
        <f t="shared" si="28"/>
        <v>0</v>
      </c>
      <c r="M7" t="b">
        <f t="shared" si="29"/>
        <v>1</v>
      </c>
      <c r="N7" t="b">
        <f t="shared" si="30"/>
        <v>0</v>
      </c>
      <c r="O7" t="b">
        <f t="shared" si="31"/>
        <v>0</v>
      </c>
      <c r="P7" t="b">
        <f t="shared" si="32"/>
        <v>0</v>
      </c>
      <c r="Q7" t="b">
        <f t="shared" si="33"/>
        <v>0</v>
      </c>
      <c r="R7" t="b">
        <f t="shared" si="34"/>
        <v>0</v>
      </c>
      <c r="S7" t="b">
        <f t="shared" si="35"/>
        <v>0</v>
      </c>
      <c r="V7" t="b">
        <f t="shared" si="36"/>
        <v>0</v>
      </c>
      <c r="W7" t="b">
        <f t="shared" si="37"/>
        <v>0</v>
      </c>
      <c r="X7" t="b">
        <f t="shared" si="38"/>
        <v>0</v>
      </c>
      <c r="Y7" t="b">
        <f t="shared" si="39"/>
        <v>0</v>
      </c>
      <c r="Z7" t="b">
        <f t="shared" si="40"/>
        <v>0</v>
      </c>
      <c r="AA7" t="b">
        <f t="shared" si="41"/>
        <v>0</v>
      </c>
      <c r="AB7" t="b">
        <f t="shared" si="42"/>
        <v>0</v>
      </c>
      <c r="AC7" t="b">
        <f t="shared" si="43"/>
        <v>0</v>
      </c>
      <c r="AD7" t="b">
        <f t="shared" si="44"/>
        <v>0</v>
      </c>
      <c r="AE7" t="b">
        <f t="shared" si="45"/>
        <v>0</v>
      </c>
      <c r="AF7" t="b">
        <f t="shared" si="46"/>
        <v>0</v>
      </c>
      <c r="AG7" t="b">
        <f t="shared" si="47"/>
        <v>0</v>
      </c>
    </row>
    <row r="8" spans="1:33">
      <c r="A8" t="s">
        <v>379</v>
      </c>
      <c r="B8" s="27" t="s">
        <v>192</v>
      </c>
      <c r="D8" s="27" t="s">
        <v>192</v>
      </c>
      <c r="F8" s="6" t="s">
        <v>196</v>
      </c>
      <c r="H8" t="b">
        <f t="shared" si="24"/>
        <v>0</v>
      </c>
      <c r="I8" t="b">
        <f t="shared" si="25"/>
        <v>1</v>
      </c>
      <c r="J8" t="b">
        <f t="shared" si="26"/>
        <v>1</v>
      </c>
      <c r="K8" t="b">
        <f t="shared" si="27"/>
        <v>1</v>
      </c>
      <c r="L8" t="b">
        <f t="shared" si="28"/>
        <v>0</v>
      </c>
      <c r="M8" t="b">
        <f t="shared" si="29"/>
        <v>1</v>
      </c>
      <c r="N8" t="b">
        <f t="shared" si="30"/>
        <v>0</v>
      </c>
      <c r="O8" t="b">
        <f t="shared" si="31"/>
        <v>1</v>
      </c>
      <c r="P8" t="b">
        <f t="shared" si="32"/>
        <v>0</v>
      </c>
      <c r="Q8" t="b">
        <f t="shared" si="33"/>
        <v>0</v>
      </c>
      <c r="R8" t="b">
        <f t="shared" si="34"/>
        <v>0</v>
      </c>
      <c r="S8" t="b">
        <f t="shared" si="35"/>
        <v>1</v>
      </c>
      <c r="V8" t="b">
        <f t="shared" si="36"/>
        <v>0</v>
      </c>
      <c r="W8" t="b">
        <f t="shared" si="37"/>
        <v>0</v>
      </c>
      <c r="X8" t="b">
        <f t="shared" si="38"/>
        <v>0</v>
      </c>
      <c r="Y8" t="b">
        <f t="shared" si="39"/>
        <v>0</v>
      </c>
      <c r="Z8" t="b">
        <f t="shared" si="40"/>
        <v>0</v>
      </c>
      <c r="AA8" t="b">
        <f t="shared" si="41"/>
        <v>0</v>
      </c>
      <c r="AB8" t="b">
        <f t="shared" si="42"/>
        <v>0</v>
      </c>
      <c r="AC8" t="b">
        <f t="shared" si="43"/>
        <v>0</v>
      </c>
      <c r="AD8" t="b">
        <f t="shared" si="44"/>
        <v>0</v>
      </c>
      <c r="AE8" t="b">
        <f t="shared" si="45"/>
        <v>0</v>
      </c>
      <c r="AF8" t="b">
        <f t="shared" si="46"/>
        <v>0</v>
      </c>
      <c r="AG8" t="b">
        <f t="shared" si="47"/>
        <v>0</v>
      </c>
    </row>
    <row r="9" spans="1:33">
      <c r="A9" t="s">
        <v>380</v>
      </c>
      <c r="C9" s="27" t="s">
        <v>192</v>
      </c>
      <c r="F9" s="6" t="s">
        <v>196</v>
      </c>
      <c r="H9" t="b">
        <f t="shared" si="24"/>
        <v>0</v>
      </c>
      <c r="I9" t="b">
        <f t="shared" si="25"/>
        <v>1</v>
      </c>
      <c r="J9" t="b">
        <f t="shared" si="26"/>
        <v>0</v>
      </c>
      <c r="K9" t="b">
        <f t="shared" si="27"/>
        <v>0</v>
      </c>
      <c r="L9" t="b">
        <f t="shared" si="28"/>
        <v>0</v>
      </c>
      <c r="M9" t="b">
        <f t="shared" si="29"/>
        <v>0</v>
      </c>
      <c r="N9" t="b">
        <f t="shared" si="30"/>
        <v>0</v>
      </c>
      <c r="O9" t="b">
        <f t="shared" si="31"/>
        <v>1</v>
      </c>
      <c r="P9" t="b">
        <f t="shared" si="32"/>
        <v>0</v>
      </c>
      <c r="Q9" t="b">
        <f t="shared" si="33"/>
        <v>1</v>
      </c>
      <c r="R9" t="b">
        <f t="shared" si="34"/>
        <v>0</v>
      </c>
      <c r="S9" t="b">
        <f t="shared" si="35"/>
        <v>0</v>
      </c>
      <c r="V9" t="b">
        <f t="shared" si="36"/>
        <v>0</v>
      </c>
      <c r="W9" t="b">
        <f t="shared" si="37"/>
        <v>0</v>
      </c>
      <c r="X9" t="b">
        <f t="shared" si="38"/>
        <v>0</v>
      </c>
      <c r="Y9" t="b">
        <f t="shared" si="39"/>
        <v>0</v>
      </c>
      <c r="Z9" t="b">
        <f t="shared" si="40"/>
        <v>0</v>
      </c>
      <c r="AA9" t="b">
        <f t="shared" si="41"/>
        <v>0</v>
      </c>
      <c r="AB9" t="b">
        <f t="shared" si="42"/>
        <v>0</v>
      </c>
      <c r="AC9" t="b">
        <f t="shared" si="43"/>
        <v>0</v>
      </c>
      <c r="AD9" t="b">
        <f t="shared" si="44"/>
        <v>0</v>
      </c>
      <c r="AE9" t="b">
        <f t="shared" si="45"/>
        <v>0</v>
      </c>
      <c r="AF9" t="b">
        <f t="shared" si="46"/>
        <v>0</v>
      </c>
      <c r="AG9" t="b">
        <f t="shared" si="47"/>
        <v>0</v>
      </c>
    </row>
    <row r="10" spans="1:33">
      <c r="A10" t="s">
        <v>381</v>
      </c>
      <c r="C10" s="27" t="s">
        <v>192</v>
      </c>
      <c r="F10" s="6" t="s">
        <v>196</v>
      </c>
      <c r="H10" t="b">
        <f t="shared" si="24"/>
        <v>0</v>
      </c>
      <c r="I10" t="b">
        <f t="shared" si="25"/>
        <v>1</v>
      </c>
      <c r="J10" t="b">
        <f t="shared" si="26"/>
        <v>0</v>
      </c>
      <c r="K10" t="b">
        <f t="shared" si="27"/>
        <v>0</v>
      </c>
      <c r="L10" t="b">
        <f t="shared" si="28"/>
        <v>0</v>
      </c>
      <c r="M10" t="b">
        <f t="shared" si="29"/>
        <v>0</v>
      </c>
      <c r="N10" t="b">
        <f t="shared" si="30"/>
        <v>0</v>
      </c>
      <c r="O10" t="b">
        <f t="shared" si="31"/>
        <v>1</v>
      </c>
      <c r="P10" t="b">
        <f t="shared" si="32"/>
        <v>0</v>
      </c>
      <c r="Q10" t="b">
        <f t="shared" si="33"/>
        <v>1</v>
      </c>
      <c r="R10" t="b">
        <f t="shared" si="34"/>
        <v>0</v>
      </c>
      <c r="S10" t="b">
        <f t="shared" si="35"/>
        <v>0</v>
      </c>
      <c r="V10" t="b">
        <f t="shared" si="36"/>
        <v>0</v>
      </c>
      <c r="W10" t="b">
        <f t="shared" si="37"/>
        <v>0</v>
      </c>
      <c r="X10" t="b">
        <f t="shared" si="38"/>
        <v>0</v>
      </c>
      <c r="Y10" t="b">
        <f t="shared" si="39"/>
        <v>0</v>
      </c>
      <c r="Z10" t="b">
        <f t="shared" si="40"/>
        <v>0</v>
      </c>
      <c r="AA10" t="b">
        <f t="shared" si="41"/>
        <v>0</v>
      </c>
      <c r="AB10" t="b">
        <f t="shared" si="42"/>
        <v>0</v>
      </c>
      <c r="AC10" t="b">
        <f t="shared" si="43"/>
        <v>0</v>
      </c>
      <c r="AD10" t="b">
        <f t="shared" si="44"/>
        <v>0</v>
      </c>
      <c r="AE10" t="b">
        <f t="shared" si="45"/>
        <v>0</v>
      </c>
      <c r="AF10" t="b">
        <f t="shared" si="46"/>
        <v>0</v>
      </c>
      <c r="AG10" t="b">
        <f t="shared" si="47"/>
        <v>0</v>
      </c>
    </row>
    <row r="11" spans="1:33">
      <c r="A11" t="s">
        <v>382</v>
      </c>
      <c r="C11" s="27" t="s">
        <v>192</v>
      </c>
      <c r="F11" s="6" t="s">
        <v>196</v>
      </c>
      <c r="H11" t="b">
        <f t="shared" si="24"/>
        <v>0</v>
      </c>
      <c r="I11" t="b">
        <f t="shared" si="25"/>
        <v>1</v>
      </c>
      <c r="J11" t="b">
        <f t="shared" si="26"/>
        <v>0</v>
      </c>
      <c r="K11" t="b">
        <f t="shared" si="27"/>
        <v>0</v>
      </c>
      <c r="L11" t="b">
        <f t="shared" si="28"/>
        <v>0</v>
      </c>
      <c r="M11" t="b">
        <f t="shared" si="29"/>
        <v>0</v>
      </c>
      <c r="N11" t="b">
        <f t="shared" si="30"/>
        <v>0</v>
      </c>
      <c r="O11" t="b">
        <f t="shared" si="31"/>
        <v>1</v>
      </c>
      <c r="P11" t="b">
        <f t="shared" si="32"/>
        <v>0</v>
      </c>
      <c r="Q11" t="b">
        <f t="shared" si="33"/>
        <v>1</v>
      </c>
      <c r="R11" t="b">
        <f t="shared" si="34"/>
        <v>0</v>
      </c>
      <c r="S11" t="b">
        <f t="shared" si="35"/>
        <v>0</v>
      </c>
      <c r="V11" t="b">
        <f t="shared" si="36"/>
        <v>0</v>
      </c>
      <c r="W11" t="b">
        <f t="shared" si="37"/>
        <v>0</v>
      </c>
      <c r="X11" t="b">
        <f t="shared" si="38"/>
        <v>0</v>
      </c>
      <c r="Y11" t="b">
        <f t="shared" si="39"/>
        <v>0</v>
      </c>
      <c r="Z11" t="b">
        <f t="shared" si="40"/>
        <v>0</v>
      </c>
      <c r="AA11" t="b">
        <f t="shared" si="41"/>
        <v>0</v>
      </c>
      <c r="AB11" t="b">
        <f t="shared" si="42"/>
        <v>0</v>
      </c>
      <c r="AC11" t="b">
        <f t="shared" si="43"/>
        <v>0</v>
      </c>
      <c r="AD11" t="b">
        <f t="shared" si="44"/>
        <v>0</v>
      </c>
      <c r="AE11" t="b">
        <f t="shared" si="45"/>
        <v>0</v>
      </c>
      <c r="AF11" t="b">
        <f t="shared" si="46"/>
        <v>0</v>
      </c>
      <c r="AG11" t="b">
        <f t="shared" si="47"/>
        <v>0</v>
      </c>
    </row>
    <row r="12" spans="1:33">
      <c r="A12" t="s">
        <v>383</v>
      </c>
      <c r="D12" s="27" t="s">
        <v>192</v>
      </c>
      <c r="F12" s="6" t="s">
        <v>196</v>
      </c>
      <c r="H12" t="b">
        <f t="shared" si="24"/>
        <v>0</v>
      </c>
      <c r="I12" t="b">
        <f t="shared" si="25"/>
        <v>0</v>
      </c>
      <c r="J12" t="b">
        <f t="shared" si="26"/>
        <v>0</v>
      </c>
      <c r="K12" t="b">
        <f t="shared" si="27"/>
        <v>1</v>
      </c>
      <c r="L12" t="b">
        <f t="shared" si="28"/>
        <v>0</v>
      </c>
      <c r="M12" t="b">
        <f t="shared" si="29"/>
        <v>0</v>
      </c>
      <c r="N12" t="b">
        <f t="shared" si="30"/>
        <v>0</v>
      </c>
      <c r="O12" t="b">
        <f t="shared" si="31"/>
        <v>1</v>
      </c>
      <c r="P12" t="b">
        <f t="shared" si="32"/>
        <v>0</v>
      </c>
      <c r="Q12" t="b">
        <f t="shared" si="33"/>
        <v>0</v>
      </c>
      <c r="R12" t="b">
        <f t="shared" si="34"/>
        <v>0</v>
      </c>
      <c r="S12" t="b">
        <f t="shared" si="35"/>
        <v>1</v>
      </c>
      <c r="V12" t="b">
        <f t="shared" si="36"/>
        <v>0</v>
      </c>
      <c r="W12" t="b">
        <f t="shared" si="37"/>
        <v>0</v>
      </c>
      <c r="X12" t="b">
        <f t="shared" si="38"/>
        <v>0</v>
      </c>
      <c r="Y12" t="b">
        <f t="shared" si="39"/>
        <v>0</v>
      </c>
      <c r="Z12" t="b">
        <f t="shared" si="40"/>
        <v>0</v>
      </c>
      <c r="AA12" t="b">
        <f t="shared" si="41"/>
        <v>0</v>
      </c>
      <c r="AB12" t="b">
        <f t="shared" si="42"/>
        <v>0</v>
      </c>
      <c r="AC12" t="b">
        <f t="shared" si="43"/>
        <v>0</v>
      </c>
      <c r="AD12" t="b">
        <f t="shared" si="44"/>
        <v>0</v>
      </c>
      <c r="AE12" t="b">
        <f t="shared" si="45"/>
        <v>0</v>
      </c>
      <c r="AF12" t="b">
        <f t="shared" si="46"/>
        <v>0</v>
      </c>
      <c r="AG12" t="b">
        <f t="shared" si="47"/>
        <v>0</v>
      </c>
    </row>
    <row r="13" spans="1:33">
      <c r="A13" t="s">
        <v>384</v>
      </c>
      <c r="D13" s="27" t="s">
        <v>192</v>
      </c>
      <c r="F13" s="6" t="s">
        <v>196</v>
      </c>
      <c r="H13" t="b">
        <f t="shared" si="24"/>
        <v>0</v>
      </c>
      <c r="I13" t="b">
        <f t="shared" si="25"/>
        <v>0</v>
      </c>
      <c r="J13" t="b">
        <f t="shared" si="26"/>
        <v>0</v>
      </c>
      <c r="K13" t="b">
        <f t="shared" si="27"/>
        <v>1</v>
      </c>
      <c r="L13" t="b">
        <f t="shared" si="28"/>
        <v>0</v>
      </c>
      <c r="M13" t="b">
        <f t="shared" si="29"/>
        <v>0</v>
      </c>
      <c r="N13" t="b">
        <f t="shared" si="30"/>
        <v>0</v>
      </c>
      <c r="O13" t="b">
        <f t="shared" si="31"/>
        <v>1</v>
      </c>
      <c r="P13" t="b">
        <f t="shared" si="32"/>
        <v>0</v>
      </c>
      <c r="Q13" t="b">
        <f t="shared" si="33"/>
        <v>0</v>
      </c>
      <c r="R13" t="b">
        <f t="shared" si="34"/>
        <v>0</v>
      </c>
      <c r="S13" t="b">
        <f t="shared" si="35"/>
        <v>1</v>
      </c>
      <c r="V13" t="b">
        <f t="shared" si="36"/>
        <v>0</v>
      </c>
      <c r="W13" t="b">
        <f t="shared" si="37"/>
        <v>0</v>
      </c>
      <c r="X13" t="b">
        <f t="shared" si="38"/>
        <v>0</v>
      </c>
      <c r="Y13" t="b">
        <f t="shared" si="39"/>
        <v>0</v>
      </c>
      <c r="Z13" t="b">
        <f t="shared" si="40"/>
        <v>0</v>
      </c>
      <c r="AA13" t="b">
        <f t="shared" si="41"/>
        <v>0</v>
      </c>
      <c r="AB13" t="b">
        <f t="shared" si="42"/>
        <v>0</v>
      </c>
      <c r="AC13" t="b">
        <f t="shared" si="43"/>
        <v>0</v>
      </c>
      <c r="AD13" t="b">
        <f t="shared" si="44"/>
        <v>0</v>
      </c>
      <c r="AE13" t="b">
        <f t="shared" si="45"/>
        <v>0</v>
      </c>
      <c r="AF13" t="b">
        <f t="shared" si="46"/>
        <v>0</v>
      </c>
      <c r="AG13" t="b">
        <f t="shared" si="47"/>
        <v>0</v>
      </c>
    </row>
    <row r="14" spans="1:33">
      <c r="A14" t="s">
        <v>385</v>
      </c>
      <c r="D14" s="27" t="s">
        <v>192</v>
      </c>
      <c r="F14" s="6" t="s">
        <v>196</v>
      </c>
      <c r="H14" t="b">
        <f t="shared" si="24"/>
        <v>0</v>
      </c>
      <c r="I14" t="b">
        <f t="shared" si="25"/>
        <v>0</v>
      </c>
      <c r="J14" t="b">
        <f t="shared" si="26"/>
        <v>0</v>
      </c>
      <c r="K14" t="b">
        <f t="shared" si="27"/>
        <v>1</v>
      </c>
      <c r="L14" t="b">
        <f t="shared" si="28"/>
        <v>0</v>
      </c>
      <c r="M14" t="b">
        <f t="shared" si="29"/>
        <v>0</v>
      </c>
      <c r="N14" t="b">
        <f t="shared" si="30"/>
        <v>0</v>
      </c>
      <c r="O14" t="b">
        <f t="shared" si="31"/>
        <v>1</v>
      </c>
      <c r="P14" t="b">
        <f t="shared" si="32"/>
        <v>0</v>
      </c>
      <c r="Q14" t="b">
        <f t="shared" si="33"/>
        <v>0</v>
      </c>
      <c r="R14" t="b">
        <f t="shared" si="34"/>
        <v>0</v>
      </c>
      <c r="S14" t="b">
        <f t="shared" si="35"/>
        <v>1</v>
      </c>
      <c r="V14" t="b">
        <f t="shared" si="36"/>
        <v>0</v>
      </c>
      <c r="W14" t="b">
        <f t="shared" si="37"/>
        <v>0</v>
      </c>
      <c r="X14" t="b">
        <f t="shared" si="38"/>
        <v>0</v>
      </c>
      <c r="Y14" t="b">
        <f t="shared" si="39"/>
        <v>0</v>
      </c>
      <c r="Z14" t="b">
        <f t="shared" si="40"/>
        <v>0</v>
      </c>
      <c r="AA14" t="b">
        <f t="shared" si="41"/>
        <v>0</v>
      </c>
      <c r="AB14" t="b">
        <f t="shared" si="42"/>
        <v>0</v>
      </c>
      <c r="AC14" t="b">
        <f t="shared" si="43"/>
        <v>0</v>
      </c>
      <c r="AD14" t="b">
        <f t="shared" si="44"/>
        <v>0</v>
      </c>
      <c r="AE14" t="b">
        <f t="shared" si="45"/>
        <v>0</v>
      </c>
      <c r="AF14" t="b">
        <f t="shared" si="46"/>
        <v>0</v>
      </c>
      <c r="AG14" t="b">
        <f t="shared" si="47"/>
        <v>0</v>
      </c>
    </row>
    <row r="15" spans="1:33">
      <c r="A15" s="3" t="s">
        <v>202</v>
      </c>
      <c r="B15" s="27" t="s">
        <v>220</v>
      </c>
      <c r="D15" s="27" t="s">
        <v>220</v>
      </c>
      <c r="E15" s="27" t="s">
        <v>220</v>
      </c>
      <c r="F15" s="6" t="s">
        <v>193</v>
      </c>
      <c r="H15" t="b">
        <f t="shared" si="24"/>
        <v>0</v>
      </c>
      <c r="I15" t="b">
        <f t="shared" si="25"/>
        <v>1</v>
      </c>
      <c r="J15" t="b">
        <f t="shared" si="26"/>
        <v>1</v>
      </c>
      <c r="K15" t="b">
        <f t="shared" si="27"/>
        <v>1</v>
      </c>
      <c r="L15" t="b">
        <f t="shared" si="28"/>
        <v>1</v>
      </c>
      <c r="M15" t="b">
        <f t="shared" si="29"/>
        <v>1</v>
      </c>
      <c r="N15" t="b">
        <f t="shared" si="30"/>
        <v>0</v>
      </c>
      <c r="O15" t="b">
        <f t="shared" si="31"/>
        <v>1</v>
      </c>
      <c r="P15" t="b">
        <f t="shared" si="32"/>
        <v>0</v>
      </c>
      <c r="Q15" t="b">
        <f t="shared" si="33"/>
        <v>1</v>
      </c>
      <c r="R15" t="b">
        <f t="shared" si="34"/>
        <v>1</v>
      </c>
      <c r="S15" t="b">
        <f t="shared" si="35"/>
        <v>1</v>
      </c>
      <c r="V15" t="b">
        <f t="shared" si="36"/>
        <v>0</v>
      </c>
      <c r="W15" t="b">
        <f t="shared" si="37"/>
        <v>1</v>
      </c>
      <c r="X15" t="b">
        <f t="shared" si="38"/>
        <v>1</v>
      </c>
      <c r="Y15" t="b">
        <f t="shared" si="39"/>
        <v>1</v>
      </c>
      <c r="Z15" t="b">
        <f t="shared" si="40"/>
        <v>1</v>
      </c>
      <c r="AA15" t="b">
        <f t="shared" si="41"/>
        <v>1</v>
      </c>
      <c r="AB15" t="b">
        <f t="shared" si="42"/>
        <v>0</v>
      </c>
      <c r="AC15" t="b">
        <f t="shared" si="43"/>
        <v>1</v>
      </c>
      <c r="AD15" t="b">
        <f t="shared" si="44"/>
        <v>0</v>
      </c>
      <c r="AE15" t="b">
        <f t="shared" si="45"/>
        <v>1</v>
      </c>
      <c r="AF15" t="b">
        <f t="shared" si="46"/>
        <v>1</v>
      </c>
      <c r="AG15" t="b">
        <f t="shared" si="47"/>
        <v>1</v>
      </c>
    </row>
    <row r="16" spans="1:33">
      <c r="A16" t="s">
        <v>386</v>
      </c>
      <c r="B16" s="27" t="s">
        <v>192</v>
      </c>
      <c r="F16" s="6" t="s">
        <v>196</v>
      </c>
      <c r="H16" t="b">
        <f t="shared" si="24"/>
        <v>0</v>
      </c>
      <c r="I16" t="b">
        <f t="shared" si="25"/>
        <v>1</v>
      </c>
      <c r="J16" t="b">
        <f t="shared" si="26"/>
        <v>0</v>
      </c>
      <c r="K16" t="b">
        <f t="shared" si="27"/>
        <v>1</v>
      </c>
      <c r="L16" t="b">
        <f t="shared" si="28"/>
        <v>0</v>
      </c>
      <c r="M16" t="b">
        <f t="shared" si="29"/>
        <v>1</v>
      </c>
      <c r="N16" t="b">
        <f t="shared" si="30"/>
        <v>0</v>
      </c>
      <c r="O16" t="b">
        <f t="shared" si="31"/>
        <v>0</v>
      </c>
      <c r="P16" t="b">
        <f t="shared" si="32"/>
        <v>0</v>
      </c>
      <c r="Q16" t="b">
        <f t="shared" si="33"/>
        <v>0</v>
      </c>
      <c r="R16" t="b">
        <f t="shared" si="34"/>
        <v>0</v>
      </c>
      <c r="S16" t="b">
        <f t="shared" si="35"/>
        <v>0</v>
      </c>
      <c r="V16" t="b">
        <f t="shared" si="36"/>
        <v>0</v>
      </c>
      <c r="W16" t="b">
        <f t="shared" si="37"/>
        <v>0</v>
      </c>
      <c r="X16" t="b">
        <f t="shared" si="38"/>
        <v>0</v>
      </c>
      <c r="Y16" t="b">
        <f t="shared" si="39"/>
        <v>0</v>
      </c>
      <c r="Z16" t="b">
        <f t="shared" si="40"/>
        <v>0</v>
      </c>
      <c r="AA16" t="b">
        <f t="shared" si="41"/>
        <v>0</v>
      </c>
      <c r="AB16" t="b">
        <f t="shared" si="42"/>
        <v>0</v>
      </c>
      <c r="AC16" t="b">
        <f t="shared" si="43"/>
        <v>0</v>
      </c>
      <c r="AD16" t="b">
        <f t="shared" si="44"/>
        <v>0</v>
      </c>
      <c r="AE16" t="b">
        <f t="shared" si="45"/>
        <v>0</v>
      </c>
      <c r="AF16" t="b">
        <f t="shared" si="46"/>
        <v>0</v>
      </c>
      <c r="AG16" t="b">
        <f t="shared" si="47"/>
        <v>0</v>
      </c>
    </row>
    <row r="17" spans="1:33">
      <c r="A17" t="s">
        <v>387</v>
      </c>
      <c r="C17" s="27" t="s">
        <v>192</v>
      </c>
      <c r="D17" s="27" t="s">
        <v>192</v>
      </c>
      <c r="F17" s="6" t="s">
        <v>196</v>
      </c>
      <c r="H17" t="b">
        <f t="shared" si="24"/>
        <v>0</v>
      </c>
      <c r="I17" t="b">
        <f t="shared" si="25"/>
        <v>1</v>
      </c>
      <c r="J17" t="b">
        <f t="shared" si="26"/>
        <v>0</v>
      </c>
      <c r="K17" t="b">
        <f t="shared" si="27"/>
        <v>1</v>
      </c>
      <c r="L17" t="b">
        <f t="shared" si="28"/>
        <v>0</v>
      </c>
      <c r="M17" t="b">
        <f t="shared" si="29"/>
        <v>0</v>
      </c>
      <c r="N17" t="b">
        <f t="shared" si="30"/>
        <v>1</v>
      </c>
      <c r="O17" t="b">
        <f t="shared" si="31"/>
        <v>1</v>
      </c>
      <c r="P17" t="b">
        <f t="shared" si="32"/>
        <v>0</v>
      </c>
      <c r="Q17" t="b">
        <f t="shared" si="33"/>
        <v>1</v>
      </c>
      <c r="R17" t="b">
        <f t="shared" si="34"/>
        <v>0</v>
      </c>
      <c r="S17" t="b">
        <f t="shared" si="35"/>
        <v>1</v>
      </c>
      <c r="V17" t="b">
        <f t="shared" si="36"/>
        <v>0</v>
      </c>
      <c r="W17" t="b">
        <f t="shared" si="37"/>
        <v>0</v>
      </c>
      <c r="X17" t="b">
        <f t="shared" si="38"/>
        <v>0</v>
      </c>
      <c r="Y17" t="b">
        <f t="shared" si="39"/>
        <v>0</v>
      </c>
      <c r="Z17" t="b">
        <f t="shared" si="40"/>
        <v>0</v>
      </c>
      <c r="AA17" t="b">
        <f t="shared" si="41"/>
        <v>0</v>
      </c>
      <c r="AB17" t="b">
        <f t="shared" si="42"/>
        <v>0</v>
      </c>
      <c r="AC17" t="b">
        <f t="shared" si="43"/>
        <v>0</v>
      </c>
      <c r="AD17" t="b">
        <f t="shared" si="44"/>
        <v>0</v>
      </c>
      <c r="AE17" t="b">
        <f t="shared" si="45"/>
        <v>0</v>
      </c>
      <c r="AF17" t="b">
        <f t="shared" si="46"/>
        <v>0</v>
      </c>
      <c r="AG17" t="b">
        <f t="shared" si="47"/>
        <v>0</v>
      </c>
    </row>
    <row r="18" spans="1:33">
      <c r="A18" t="s">
        <v>388</v>
      </c>
      <c r="C18" s="27" t="s">
        <v>192</v>
      </c>
      <c r="E18" s="27" t="s">
        <v>192</v>
      </c>
      <c r="F18" s="6" t="s">
        <v>196</v>
      </c>
      <c r="H18" t="b">
        <f t="shared" si="24"/>
        <v>0</v>
      </c>
      <c r="I18" t="b">
        <f t="shared" si="25"/>
        <v>1</v>
      </c>
      <c r="J18" t="b">
        <f t="shared" si="26"/>
        <v>0</v>
      </c>
      <c r="K18" t="b">
        <f t="shared" si="27"/>
        <v>0</v>
      </c>
      <c r="L18" t="b">
        <f t="shared" si="28"/>
        <v>0</v>
      </c>
      <c r="M18" t="b">
        <f t="shared" si="29"/>
        <v>1</v>
      </c>
      <c r="N18" t="b">
        <f t="shared" si="30"/>
        <v>0</v>
      </c>
      <c r="O18" t="b">
        <f t="shared" si="31"/>
        <v>1</v>
      </c>
      <c r="P18" t="b">
        <f t="shared" si="32"/>
        <v>1</v>
      </c>
      <c r="Q18" t="b">
        <f t="shared" si="33"/>
        <v>1</v>
      </c>
      <c r="R18" t="b">
        <f t="shared" si="34"/>
        <v>0</v>
      </c>
      <c r="S18" t="b">
        <f t="shared" si="35"/>
        <v>1</v>
      </c>
      <c r="V18" t="b">
        <f t="shared" si="36"/>
        <v>0</v>
      </c>
      <c r="W18" t="b">
        <f t="shared" si="37"/>
        <v>0</v>
      </c>
      <c r="X18" t="b">
        <f t="shared" si="38"/>
        <v>0</v>
      </c>
      <c r="Y18" t="b">
        <f t="shared" si="39"/>
        <v>0</v>
      </c>
      <c r="Z18" t="b">
        <f t="shared" si="40"/>
        <v>0</v>
      </c>
      <c r="AA18" t="b">
        <f t="shared" si="41"/>
        <v>0</v>
      </c>
      <c r="AB18" t="b">
        <f t="shared" si="42"/>
        <v>0</v>
      </c>
      <c r="AC18" t="b">
        <f t="shared" si="43"/>
        <v>0</v>
      </c>
      <c r="AD18" t="b">
        <f t="shared" si="44"/>
        <v>0</v>
      </c>
      <c r="AE18" t="b">
        <f t="shared" si="45"/>
        <v>0</v>
      </c>
      <c r="AF18" t="b">
        <f t="shared" si="46"/>
        <v>0</v>
      </c>
      <c r="AG18" t="b">
        <f t="shared" si="47"/>
        <v>0</v>
      </c>
    </row>
    <row r="19" spans="1:33">
      <c r="A19" t="s">
        <v>389</v>
      </c>
      <c r="C19" s="27" t="s">
        <v>192</v>
      </c>
      <c r="E19" s="27" t="s">
        <v>192</v>
      </c>
      <c r="F19" s="6" t="s">
        <v>196</v>
      </c>
      <c r="H19" t="b">
        <f t="shared" si="24"/>
        <v>0</v>
      </c>
      <c r="I19" t="b">
        <f t="shared" si="25"/>
        <v>1</v>
      </c>
      <c r="J19" t="b">
        <f t="shared" si="26"/>
        <v>0</v>
      </c>
      <c r="K19" t="b">
        <f t="shared" si="27"/>
        <v>0</v>
      </c>
      <c r="L19" t="b">
        <f t="shared" si="28"/>
        <v>0</v>
      </c>
      <c r="M19" t="b">
        <f t="shared" si="29"/>
        <v>1</v>
      </c>
      <c r="N19" t="b">
        <f t="shared" si="30"/>
        <v>0</v>
      </c>
      <c r="O19" t="b">
        <f t="shared" si="31"/>
        <v>1</v>
      </c>
      <c r="P19" t="b">
        <f t="shared" si="32"/>
        <v>1</v>
      </c>
      <c r="Q19" t="b">
        <f t="shared" si="33"/>
        <v>1</v>
      </c>
      <c r="R19" t="b">
        <f t="shared" si="34"/>
        <v>0</v>
      </c>
      <c r="S19" t="b">
        <f t="shared" si="35"/>
        <v>1</v>
      </c>
      <c r="V19" t="b">
        <f t="shared" si="36"/>
        <v>0</v>
      </c>
      <c r="W19" t="b">
        <f t="shared" si="37"/>
        <v>0</v>
      </c>
      <c r="X19" t="b">
        <f t="shared" si="38"/>
        <v>0</v>
      </c>
      <c r="Y19" t="b">
        <f t="shared" si="39"/>
        <v>0</v>
      </c>
      <c r="Z19" t="b">
        <f t="shared" si="40"/>
        <v>0</v>
      </c>
      <c r="AA19" t="b">
        <f t="shared" si="41"/>
        <v>0</v>
      </c>
      <c r="AB19" t="b">
        <f t="shared" si="42"/>
        <v>0</v>
      </c>
      <c r="AC19" t="b">
        <f t="shared" si="43"/>
        <v>0</v>
      </c>
      <c r="AD19" t="b">
        <f t="shared" si="44"/>
        <v>0</v>
      </c>
      <c r="AE19" t="b">
        <f t="shared" si="45"/>
        <v>0</v>
      </c>
      <c r="AF19" t="b">
        <f t="shared" si="46"/>
        <v>0</v>
      </c>
      <c r="AG19" t="b">
        <f t="shared" si="47"/>
        <v>0</v>
      </c>
    </row>
    <row r="20" spans="1:33">
      <c r="A20" s="3" t="s">
        <v>219</v>
      </c>
      <c r="B20" s="27" t="s">
        <v>192</v>
      </c>
      <c r="C20" s="27" t="s">
        <v>192</v>
      </c>
      <c r="D20" s="27" t="s">
        <v>192</v>
      </c>
      <c r="E20" s="27" t="s">
        <v>192</v>
      </c>
      <c r="F20" s="6" t="s">
        <v>193</v>
      </c>
      <c r="H20" t="b">
        <f t="shared" si="24"/>
        <v>1</v>
      </c>
      <c r="I20" t="b">
        <f t="shared" si="25"/>
        <v>1</v>
      </c>
      <c r="J20" t="b">
        <f t="shared" si="26"/>
        <v>1</v>
      </c>
      <c r="K20" t="b">
        <f t="shared" si="27"/>
        <v>1</v>
      </c>
      <c r="L20" t="b">
        <f t="shared" si="28"/>
        <v>1</v>
      </c>
      <c r="M20" t="b">
        <f t="shared" si="29"/>
        <v>1</v>
      </c>
      <c r="N20" t="b">
        <f t="shared" si="30"/>
        <v>1</v>
      </c>
      <c r="O20" t="b">
        <f t="shared" si="31"/>
        <v>1</v>
      </c>
      <c r="P20" t="b">
        <f t="shared" si="32"/>
        <v>1</v>
      </c>
      <c r="Q20" t="b">
        <f t="shared" si="33"/>
        <v>1</v>
      </c>
      <c r="R20" t="b">
        <f t="shared" si="34"/>
        <v>1</v>
      </c>
      <c r="S20" t="b">
        <f t="shared" si="35"/>
        <v>1</v>
      </c>
      <c r="V20" t="b">
        <f t="shared" si="36"/>
        <v>1</v>
      </c>
      <c r="W20" t="b">
        <f t="shared" si="37"/>
        <v>1</v>
      </c>
      <c r="X20" t="b">
        <f t="shared" si="38"/>
        <v>1</v>
      </c>
      <c r="Y20" t="b">
        <f t="shared" si="39"/>
        <v>1</v>
      </c>
      <c r="Z20" t="b">
        <f t="shared" si="40"/>
        <v>1</v>
      </c>
      <c r="AA20" t="b">
        <f t="shared" si="41"/>
        <v>1</v>
      </c>
      <c r="AB20" t="b">
        <f t="shared" si="42"/>
        <v>1</v>
      </c>
      <c r="AC20" t="b">
        <f t="shared" si="43"/>
        <v>1</v>
      </c>
      <c r="AD20" t="b">
        <f t="shared" si="44"/>
        <v>1</v>
      </c>
      <c r="AE20" t="b">
        <f t="shared" si="45"/>
        <v>1</v>
      </c>
      <c r="AF20" t="b">
        <f t="shared" si="46"/>
        <v>1</v>
      </c>
      <c r="AG20" t="b">
        <f t="shared" si="47"/>
        <v>1</v>
      </c>
    </row>
    <row r="21" spans="1:33">
      <c r="A21" s="3" t="s">
        <v>222</v>
      </c>
      <c r="B21" s="27" t="s">
        <v>192</v>
      </c>
      <c r="C21" s="27" t="s">
        <v>192</v>
      </c>
      <c r="D21" s="27" t="s">
        <v>192</v>
      </c>
      <c r="E21" s="27" t="s">
        <v>192</v>
      </c>
      <c r="F21" s="6" t="s">
        <v>193</v>
      </c>
      <c r="H21" t="b">
        <f t="shared" si="24"/>
        <v>1</v>
      </c>
      <c r="I21" t="b">
        <f t="shared" si="25"/>
        <v>1</v>
      </c>
      <c r="J21" t="b">
        <f t="shared" si="26"/>
        <v>1</v>
      </c>
      <c r="K21" t="b">
        <f t="shared" si="27"/>
        <v>1</v>
      </c>
      <c r="L21" t="b">
        <f t="shared" si="28"/>
        <v>1</v>
      </c>
      <c r="M21" t="b">
        <f t="shared" si="29"/>
        <v>1</v>
      </c>
      <c r="N21" t="b">
        <f t="shared" si="30"/>
        <v>1</v>
      </c>
      <c r="O21" t="b">
        <f t="shared" si="31"/>
        <v>1</v>
      </c>
      <c r="P21" t="b">
        <f t="shared" si="32"/>
        <v>1</v>
      </c>
      <c r="Q21" t="b">
        <f t="shared" si="33"/>
        <v>1</v>
      </c>
      <c r="R21" t="b">
        <f t="shared" si="34"/>
        <v>1</v>
      </c>
      <c r="S21" t="b">
        <f t="shared" si="35"/>
        <v>1</v>
      </c>
      <c r="V21" t="b">
        <f t="shared" si="36"/>
        <v>1</v>
      </c>
      <c r="W21" t="b">
        <f t="shared" si="37"/>
        <v>1</v>
      </c>
      <c r="X21" t="b">
        <f t="shared" si="38"/>
        <v>1</v>
      </c>
      <c r="Y21" t="b">
        <f t="shared" si="39"/>
        <v>1</v>
      </c>
      <c r="Z21" t="b">
        <f t="shared" si="40"/>
        <v>1</v>
      </c>
      <c r="AA21" t="b">
        <f t="shared" si="41"/>
        <v>1</v>
      </c>
      <c r="AB21" t="b">
        <f t="shared" si="42"/>
        <v>1</v>
      </c>
      <c r="AC21" t="b">
        <f t="shared" si="43"/>
        <v>1</v>
      </c>
      <c r="AD21" t="b">
        <f t="shared" si="44"/>
        <v>1</v>
      </c>
      <c r="AE21" t="b">
        <f t="shared" si="45"/>
        <v>1</v>
      </c>
      <c r="AF21" t="b">
        <f t="shared" si="46"/>
        <v>1</v>
      </c>
      <c r="AG21" t="b">
        <f t="shared" si="47"/>
        <v>1</v>
      </c>
    </row>
    <row r="22" spans="1:33">
      <c r="A22" s="3" t="s">
        <v>286</v>
      </c>
      <c r="B22" s="27" t="s">
        <v>192</v>
      </c>
      <c r="C22" s="27" t="s">
        <v>192</v>
      </c>
      <c r="D22" s="27" t="s">
        <v>192</v>
      </c>
      <c r="E22" s="27" t="s">
        <v>192</v>
      </c>
      <c r="F22" s="6" t="s">
        <v>193</v>
      </c>
      <c r="H22" t="b">
        <f t="shared" si="24"/>
        <v>1</v>
      </c>
      <c r="I22" t="b">
        <f t="shared" si="25"/>
        <v>1</v>
      </c>
      <c r="J22" t="b">
        <f t="shared" si="26"/>
        <v>1</v>
      </c>
      <c r="K22" t="b">
        <f t="shared" si="27"/>
        <v>1</v>
      </c>
      <c r="L22" t="b">
        <f t="shared" si="28"/>
        <v>1</v>
      </c>
      <c r="M22" t="b">
        <f t="shared" si="29"/>
        <v>1</v>
      </c>
      <c r="N22" t="b">
        <f t="shared" si="30"/>
        <v>1</v>
      </c>
      <c r="O22" t="b">
        <f t="shared" si="31"/>
        <v>1</v>
      </c>
      <c r="P22" t="b">
        <f t="shared" si="32"/>
        <v>1</v>
      </c>
      <c r="Q22" t="b">
        <f t="shared" si="33"/>
        <v>1</v>
      </c>
      <c r="R22" t="b">
        <f t="shared" si="34"/>
        <v>1</v>
      </c>
      <c r="S22" t="b">
        <f t="shared" si="35"/>
        <v>1</v>
      </c>
      <c r="V22" t="b">
        <f t="shared" si="36"/>
        <v>1</v>
      </c>
      <c r="W22" t="b">
        <f t="shared" si="37"/>
        <v>1</v>
      </c>
      <c r="X22" t="b">
        <f t="shared" si="38"/>
        <v>1</v>
      </c>
      <c r="Y22" t="b">
        <f t="shared" si="39"/>
        <v>1</v>
      </c>
      <c r="Z22" t="b">
        <f t="shared" si="40"/>
        <v>1</v>
      </c>
      <c r="AA22" t="b">
        <f t="shared" si="41"/>
        <v>1</v>
      </c>
      <c r="AB22" t="b">
        <f t="shared" si="42"/>
        <v>1</v>
      </c>
      <c r="AC22" t="b">
        <f t="shared" si="43"/>
        <v>1</v>
      </c>
      <c r="AD22" t="b">
        <f t="shared" si="44"/>
        <v>1</v>
      </c>
      <c r="AE22" t="b">
        <f t="shared" si="45"/>
        <v>1</v>
      </c>
      <c r="AF22" t="b">
        <f t="shared" si="46"/>
        <v>1</v>
      </c>
      <c r="AG22" t="b">
        <f t="shared" si="47"/>
        <v>1</v>
      </c>
    </row>
    <row r="23" spans="1:33">
      <c r="A23" s="3" t="s">
        <v>287</v>
      </c>
      <c r="B23" s="27" t="s">
        <v>192</v>
      </c>
      <c r="C23" s="27" t="s">
        <v>192</v>
      </c>
      <c r="D23" s="27" t="s">
        <v>192</v>
      </c>
      <c r="E23" s="27" t="s">
        <v>192</v>
      </c>
      <c r="F23" s="6" t="s">
        <v>193</v>
      </c>
      <c r="H23" t="b">
        <f t="shared" si="24"/>
        <v>1</v>
      </c>
      <c r="I23" t="b">
        <f t="shared" si="25"/>
        <v>1</v>
      </c>
      <c r="J23" t="b">
        <f t="shared" si="26"/>
        <v>1</v>
      </c>
      <c r="K23" t="b">
        <f t="shared" si="27"/>
        <v>1</v>
      </c>
      <c r="L23" t="b">
        <f t="shared" si="28"/>
        <v>1</v>
      </c>
      <c r="M23" t="b">
        <f t="shared" si="29"/>
        <v>1</v>
      </c>
      <c r="N23" t="b">
        <f t="shared" si="30"/>
        <v>1</v>
      </c>
      <c r="O23" t="b">
        <f t="shared" si="31"/>
        <v>1</v>
      </c>
      <c r="P23" t="b">
        <f t="shared" si="32"/>
        <v>1</v>
      </c>
      <c r="Q23" t="b">
        <f t="shared" si="33"/>
        <v>1</v>
      </c>
      <c r="R23" t="b">
        <f t="shared" si="34"/>
        <v>1</v>
      </c>
      <c r="S23" t="b">
        <f t="shared" si="35"/>
        <v>1</v>
      </c>
      <c r="V23" t="b">
        <f t="shared" si="36"/>
        <v>1</v>
      </c>
      <c r="W23" t="b">
        <f t="shared" si="37"/>
        <v>1</v>
      </c>
      <c r="X23" t="b">
        <f t="shared" si="38"/>
        <v>1</v>
      </c>
      <c r="Y23" t="b">
        <f t="shared" si="39"/>
        <v>1</v>
      </c>
      <c r="Z23" t="b">
        <f t="shared" si="40"/>
        <v>1</v>
      </c>
      <c r="AA23" t="b">
        <f t="shared" si="41"/>
        <v>1</v>
      </c>
      <c r="AB23" t="b">
        <f t="shared" si="42"/>
        <v>1</v>
      </c>
      <c r="AC23" t="b">
        <f t="shared" si="43"/>
        <v>1</v>
      </c>
      <c r="AD23" t="b">
        <f t="shared" si="44"/>
        <v>1</v>
      </c>
      <c r="AE23" t="b">
        <f t="shared" si="45"/>
        <v>1</v>
      </c>
      <c r="AF23" t="b">
        <f t="shared" si="46"/>
        <v>1</v>
      </c>
      <c r="AG23" t="b">
        <f t="shared" si="47"/>
        <v>1</v>
      </c>
    </row>
    <row r="24" spans="1:33">
      <c r="A24" s="3" t="s">
        <v>337</v>
      </c>
      <c r="B24"/>
      <c r="C24"/>
      <c r="D24" s="27" t="s">
        <v>192</v>
      </c>
      <c r="E24"/>
      <c r="F24" s="6" t="s">
        <v>193</v>
      </c>
      <c r="H24" t="b">
        <f t="shared" si="24"/>
        <v>0</v>
      </c>
      <c r="I24" t="b">
        <f t="shared" si="25"/>
        <v>0</v>
      </c>
      <c r="J24" t="b">
        <f t="shared" si="26"/>
        <v>0</v>
      </c>
      <c r="K24" t="b">
        <f t="shared" si="27"/>
        <v>1</v>
      </c>
      <c r="L24" t="b">
        <f t="shared" si="28"/>
        <v>0</v>
      </c>
      <c r="M24" t="b">
        <f t="shared" si="29"/>
        <v>0</v>
      </c>
      <c r="N24" t="b">
        <f t="shared" si="30"/>
        <v>0</v>
      </c>
      <c r="O24" t="b">
        <f t="shared" si="31"/>
        <v>1</v>
      </c>
      <c r="P24" t="b">
        <f t="shared" si="32"/>
        <v>0</v>
      </c>
      <c r="Q24" t="b">
        <f t="shared" si="33"/>
        <v>0</v>
      </c>
      <c r="R24" t="b">
        <f t="shared" si="34"/>
        <v>0</v>
      </c>
      <c r="S24" t="b">
        <f t="shared" si="35"/>
        <v>1</v>
      </c>
      <c r="V24" t="b">
        <f t="shared" si="36"/>
        <v>0</v>
      </c>
      <c r="W24" t="b">
        <f t="shared" si="37"/>
        <v>0</v>
      </c>
      <c r="X24" t="b">
        <f t="shared" si="38"/>
        <v>0</v>
      </c>
      <c r="Y24" t="b">
        <f t="shared" si="39"/>
        <v>1</v>
      </c>
      <c r="Z24" t="b">
        <f t="shared" si="40"/>
        <v>0</v>
      </c>
      <c r="AA24" t="b">
        <f t="shared" si="41"/>
        <v>0</v>
      </c>
      <c r="AB24" t="b">
        <f t="shared" si="42"/>
        <v>0</v>
      </c>
      <c r="AC24" t="b">
        <f t="shared" si="43"/>
        <v>1</v>
      </c>
      <c r="AD24" t="b">
        <f t="shared" si="44"/>
        <v>0</v>
      </c>
      <c r="AE24" t="b">
        <f t="shared" si="45"/>
        <v>0</v>
      </c>
      <c r="AF24" t="b">
        <f t="shared" si="46"/>
        <v>0</v>
      </c>
      <c r="AG24" t="b">
        <f t="shared" si="47"/>
        <v>1</v>
      </c>
    </row>
    <row r="25" spans="1:33" ht="15">
      <c r="A25" s="3" t="s">
        <v>390</v>
      </c>
      <c r="B25"/>
      <c r="C25"/>
      <c r="D25" s="27" t="s">
        <v>192</v>
      </c>
      <c r="E25"/>
      <c r="F25" s="6" t="s">
        <v>196</v>
      </c>
      <c r="H25" t="b">
        <f t="shared" si="24"/>
        <v>0</v>
      </c>
      <c r="I25" t="b">
        <f t="shared" si="25"/>
        <v>0</v>
      </c>
      <c r="J25" t="b">
        <f t="shared" si="26"/>
        <v>0</v>
      </c>
      <c r="K25" t="b">
        <f t="shared" si="27"/>
        <v>1</v>
      </c>
      <c r="L25" t="b">
        <f t="shared" si="28"/>
        <v>0</v>
      </c>
      <c r="M25" t="b">
        <f t="shared" si="29"/>
        <v>0</v>
      </c>
      <c r="N25" t="b">
        <f t="shared" si="30"/>
        <v>0</v>
      </c>
      <c r="O25" t="b">
        <f t="shared" si="31"/>
        <v>1</v>
      </c>
      <c r="P25" t="b">
        <f t="shared" si="32"/>
        <v>0</v>
      </c>
      <c r="Q25" t="b">
        <f t="shared" si="33"/>
        <v>0</v>
      </c>
      <c r="R25" t="b">
        <f t="shared" si="34"/>
        <v>0</v>
      </c>
      <c r="S25" t="b">
        <f t="shared" si="35"/>
        <v>1</v>
      </c>
      <c r="V25" t="b">
        <f t="shared" si="36"/>
        <v>0</v>
      </c>
      <c r="W25" t="b">
        <f t="shared" si="37"/>
        <v>0</v>
      </c>
      <c r="X25" t="b">
        <f t="shared" si="38"/>
        <v>0</v>
      </c>
      <c r="Y25" t="b">
        <f t="shared" si="39"/>
        <v>0</v>
      </c>
      <c r="Z25" t="b">
        <f t="shared" si="40"/>
        <v>0</v>
      </c>
      <c r="AA25" t="b">
        <f t="shared" si="41"/>
        <v>0</v>
      </c>
      <c r="AB25" t="b">
        <f t="shared" si="42"/>
        <v>0</v>
      </c>
      <c r="AC25" t="b">
        <f t="shared" si="43"/>
        <v>0</v>
      </c>
      <c r="AD25" t="b">
        <f t="shared" si="44"/>
        <v>0</v>
      </c>
      <c r="AE25" t="b">
        <f t="shared" si="45"/>
        <v>0</v>
      </c>
      <c r="AF25" t="b">
        <f t="shared" si="46"/>
        <v>0</v>
      </c>
      <c r="AG25" t="b">
        <f t="shared" si="47"/>
        <v>0</v>
      </c>
    </row>
    <row r="26" spans="1:33">
      <c r="A26" s="3" t="s">
        <v>226</v>
      </c>
      <c r="B26" s="27" t="s">
        <v>192</v>
      </c>
      <c r="C26" s="27" t="s">
        <v>192</v>
      </c>
      <c r="D26" s="27" t="s">
        <v>192</v>
      </c>
      <c r="E26" s="27" t="s">
        <v>192</v>
      </c>
      <c r="F26" s="6" t="s">
        <v>193</v>
      </c>
      <c r="H26" t="b">
        <f t="shared" si="24"/>
        <v>1</v>
      </c>
      <c r="I26" t="b">
        <f t="shared" si="25"/>
        <v>1</v>
      </c>
      <c r="J26" t="b">
        <f t="shared" si="26"/>
        <v>1</v>
      </c>
      <c r="K26" t="b">
        <f t="shared" si="27"/>
        <v>1</v>
      </c>
      <c r="L26" t="b">
        <f t="shared" si="28"/>
        <v>1</v>
      </c>
      <c r="M26" t="b">
        <f t="shared" si="29"/>
        <v>1</v>
      </c>
      <c r="N26" t="b">
        <f t="shared" si="30"/>
        <v>1</v>
      </c>
      <c r="O26" t="b">
        <f t="shared" si="31"/>
        <v>1</v>
      </c>
      <c r="P26" t="b">
        <f t="shared" si="32"/>
        <v>1</v>
      </c>
      <c r="Q26" t="b">
        <f t="shared" si="33"/>
        <v>1</v>
      </c>
      <c r="R26" t="b">
        <f t="shared" si="34"/>
        <v>1</v>
      </c>
      <c r="S26" t="b">
        <f t="shared" si="35"/>
        <v>1</v>
      </c>
      <c r="V26" t="b">
        <f t="shared" si="36"/>
        <v>1</v>
      </c>
      <c r="W26" t="b">
        <f t="shared" si="37"/>
        <v>1</v>
      </c>
      <c r="X26" t="b">
        <f t="shared" si="38"/>
        <v>1</v>
      </c>
      <c r="Y26" t="b">
        <f t="shared" si="39"/>
        <v>1</v>
      </c>
      <c r="Z26" t="b">
        <f t="shared" si="40"/>
        <v>1</v>
      </c>
      <c r="AA26" t="b">
        <f t="shared" si="41"/>
        <v>1</v>
      </c>
      <c r="AB26" t="b">
        <f t="shared" si="42"/>
        <v>1</v>
      </c>
      <c r="AC26" t="b">
        <f t="shared" si="43"/>
        <v>1</v>
      </c>
      <c r="AD26" t="b">
        <f t="shared" si="44"/>
        <v>1</v>
      </c>
      <c r="AE26" t="b">
        <f t="shared" si="45"/>
        <v>1</v>
      </c>
      <c r="AF26" t="b">
        <f t="shared" si="46"/>
        <v>1</v>
      </c>
      <c r="AG26" t="b">
        <f t="shared" si="47"/>
        <v>1</v>
      </c>
    </row>
    <row r="27" spans="1:33">
      <c r="A27" s="3" t="s">
        <v>228</v>
      </c>
      <c r="B27" s="27" t="s">
        <v>192</v>
      </c>
      <c r="E27" s="27" t="s">
        <v>192</v>
      </c>
      <c r="F27" s="6" t="s">
        <v>193</v>
      </c>
      <c r="H27" t="b">
        <f t="shared" si="24"/>
        <v>0</v>
      </c>
      <c r="I27" t="b">
        <f t="shared" si="25"/>
        <v>1</v>
      </c>
      <c r="J27" t="b">
        <f t="shared" si="26"/>
        <v>0</v>
      </c>
      <c r="K27" t="b">
        <f t="shared" si="27"/>
        <v>1</v>
      </c>
      <c r="L27" t="b">
        <f t="shared" si="28"/>
        <v>1</v>
      </c>
      <c r="M27" t="b">
        <f t="shared" si="29"/>
        <v>1</v>
      </c>
      <c r="N27" t="b">
        <f t="shared" si="30"/>
        <v>0</v>
      </c>
      <c r="O27" t="b">
        <f t="shared" si="31"/>
        <v>0</v>
      </c>
      <c r="P27" t="b">
        <f t="shared" si="32"/>
        <v>0</v>
      </c>
      <c r="Q27" t="b">
        <f t="shared" si="33"/>
        <v>1</v>
      </c>
      <c r="R27" t="b">
        <f t="shared" si="34"/>
        <v>0</v>
      </c>
      <c r="S27" t="b">
        <f t="shared" si="35"/>
        <v>1</v>
      </c>
      <c r="V27" t="b">
        <f t="shared" si="36"/>
        <v>0</v>
      </c>
      <c r="W27" t="b">
        <f t="shared" si="37"/>
        <v>1</v>
      </c>
      <c r="X27" t="b">
        <f t="shared" si="38"/>
        <v>0</v>
      </c>
      <c r="Y27" t="b">
        <f t="shared" si="39"/>
        <v>1</v>
      </c>
      <c r="Z27" t="b">
        <f t="shared" si="40"/>
        <v>1</v>
      </c>
      <c r="AA27" t="b">
        <f t="shared" si="41"/>
        <v>1</v>
      </c>
      <c r="AB27" t="b">
        <f t="shared" si="42"/>
        <v>0</v>
      </c>
      <c r="AC27" t="b">
        <f t="shared" si="43"/>
        <v>0</v>
      </c>
      <c r="AD27" t="b">
        <f t="shared" si="44"/>
        <v>0</v>
      </c>
      <c r="AE27" t="b">
        <f t="shared" si="45"/>
        <v>1</v>
      </c>
      <c r="AF27" t="b">
        <f t="shared" si="46"/>
        <v>0</v>
      </c>
      <c r="AG27" t="b">
        <f t="shared" si="47"/>
        <v>1</v>
      </c>
    </row>
    <row r="28" spans="1:33">
      <c r="A28" t="s">
        <v>391</v>
      </c>
      <c r="B28" s="27" t="s">
        <v>192</v>
      </c>
      <c r="D28" s="27" t="s">
        <v>192</v>
      </c>
      <c r="F28" s="6" t="s">
        <v>196</v>
      </c>
      <c r="H28" t="b">
        <f t="shared" si="24"/>
        <v>0</v>
      </c>
      <c r="I28" t="b">
        <f t="shared" si="25"/>
        <v>1</v>
      </c>
      <c r="J28" t="b">
        <f t="shared" si="26"/>
        <v>1</v>
      </c>
      <c r="K28" t="b">
        <f t="shared" si="27"/>
        <v>1</v>
      </c>
      <c r="L28" t="b">
        <f t="shared" si="28"/>
        <v>0</v>
      </c>
      <c r="M28" t="b">
        <f t="shared" si="29"/>
        <v>1</v>
      </c>
      <c r="N28" t="b">
        <f t="shared" si="30"/>
        <v>0</v>
      </c>
      <c r="O28" t="b">
        <f t="shared" si="31"/>
        <v>1</v>
      </c>
      <c r="P28" t="b">
        <f t="shared" si="32"/>
        <v>0</v>
      </c>
      <c r="Q28" t="b">
        <f t="shared" si="33"/>
        <v>0</v>
      </c>
      <c r="R28" t="b">
        <f t="shared" si="34"/>
        <v>0</v>
      </c>
      <c r="S28" t="b">
        <f t="shared" si="35"/>
        <v>1</v>
      </c>
      <c r="V28" t="b">
        <f t="shared" si="36"/>
        <v>0</v>
      </c>
      <c r="W28" t="b">
        <f t="shared" si="37"/>
        <v>0</v>
      </c>
      <c r="X28" t="b">
        <f t="shared" si="38"/>
        <v>0</v>
      </c>
      <c r="Y28" t="b">
        <f t="shared" si="39"/>
        <v>0</v>
      </c>
      <c r="Z28" t="b">
        <f t="shared" si="40"/>
        <v>0</v>
      </c>
      <c r="AA28" t="b">
        <f t="shared" si="41"/>
        <v>0</v>
      </c>
      <c r="AB28" t="b">
        <f t="shared" si="42"/>
        <v>0</v>
      </c>
      <c r="AC28" t="b">
        <f t="shared" si="43"/>
        <v>0</v>
      </c>
      <c r="AD28" t="b">
        <f t="shared" si="44"/>
        <v>0</v>
      </c>
      <c r="AE28" t="b">
        <f t="shared" si="45"/>
        <v>0</v>
      </c>
      <c r="AF28" t="b">
        <f t="shared" si="46"/>
        <v>0</v>
      </c>
      <c r="AG28" t="b">
        <f t="shared" si="47"/>
        <v>0</v>
      </c>
    </row>
    <row r="29" spans="1:33">
      <c r="A29" s="3" t="s">
        <v>231</v>
      </c>
      <c r="B29" s="27" t="s">
        <v>192</v>
      </c>
      <c r="C29" s="27" t="s">
        <v>192</v>
      </c>
      <c r="D29" s="27" t="s">
        <v>192</v>
      </c>
      <c r="E29" s="27" t="s">
        <v>192</v>
      </c>
      <c r="F29" s="6" t="s">
        <v>193</v>
      </c>
      <c r="H29" t="b">
        <f t="shared" si="24"/>
        <v>1</v>
      </c>
      <c r="I29" t="b">
        <f t="shared" si="25"/>
        <v>1</v>
      </c>
      <c r="J29" t="b">
        <f t="shared" si="26"/>
        <v>1</v>
      </c>
      <c r="K29" t="b">
        <f t="shared" si="27"/>
        <v>1</v>
      </c>
      <c r="L29" t="b">
        <f t="shared" si="28"/>
        <v>1</v>
      </c>
      <c r="M29" t="b">
        <f t="shared" si="29"/>
        <v>1</v>
      </c>
      <c r="N29" t="b">
        <f t="shared" si="30"/>
        <v>1</v>
      </c>
      <c r="O29" t="b">
        <f t="shared" si="31"/>
        <v>1</v>
      </c>
      <c r="P29" t="b">
        <f t="shared" si="32"/>
        <v>1</v>
      </c>
      <c r="Q29" t="b">
        <f t="shared" si="33"/>
        <v>1</v>
      </c>
      <c r="R29" t="b">
        <f t="shared" si="34"/>
        <v>1</v>
      </c>
      <c r="S29" t="b">
        <f t="shared" si="35"/>
        <v>1</v>
      </c>
      <c r="V29" t="b">
        <f t="shared" si="36"/>
        <v>1</v>
      </c>
      <c r="W29" t="b">
        <f t="shared" si="37"/>
        <v>1</v>
      </c>
      <c r="X29" t="b">
        <f t="shared" si="38"/>
        <v>1</v>
      </c>
      <c r="Y29" t="b">
        <f t="shared" si="39"/>
        <v>1</v>
      </c>
      <c r="Z29" t="b">
        <f t="shared" si="40"/>
        <v>1</v>
      </c>
      <c r="AA29" t="b">
        <f t="shared" si="41"/>
        <v>1</v>
      </c>
      <c r="AB29" t="b">
        <f t="shared" si="42"/>
        <v>1</v>
      </c>
      <c r="AC29" t="b">
        <f t="shared" si="43"/>
        <v>1</v>
      </c>
      <c r="AD29" t="b">
        <f t="shared" si="44"/>
        <v>1</v>
      </c>
      <c r="AE29" t="b">
        <f t="shared" si="45"/>
        <v>1</v>
      </c>
      <c r="AF29" t="b">
        <f t="shared" si="46"/>
        <v>1</v>
      </c>
      <c r="AG29" t="b">
        <f t="shared" si="47"/>
        <v>1</v>
      </c>
    </row>
    <row r="30" spans="1:33">
      <c r="A30" s="3" t="s">
        <v>392</v>
      </c>
      <c r="B30" s="27" t="s">
        <v>192</v>
      </c>
      <c r="F30" s="6" t="s">
        <v>193</v>
      </c>
      <c r="H30" t="b">
        <f t="shared" si="24"/>
        <v>0</v>
      </c>
      <c r="I30" t="b">
        <f t="shared" si="25"/>
        <v>1</v>
      </c>
      <c r="J30" t="b">
        <f t="shared" si="26"/>
        <v>0</v>
      </c>
      <c r="K30" t="b">
        <f t="shared" si="27"/>
        <v>1</v>
      </c>
      <c r="L30" t="b">
        <f t="shared" si="28"/>
        <v>0</v>
      </c>
      <c r="M30" t="b">
        <f t="shared" si="29"/>
        <v>1</v>
      </c>
      <c r="N30" t="b">
        <f t="shared" si="30"/>
        <v>0</v>
      </c>
      <c r="O30" t="b">
        <f t="shared" si="31"/>
        <v>0</v>
      </c>
      <c r="P30" t="b">
        <f t="shared" si="32"/>
        <v>0</v>
      </c>
      <c r="Q30" t="b">
        <f t="shared" si="33"/>
        <v>0</v>
      </c>
      <c r="R30" t="b">
        <f t="shared" si="34"/>
        <v>0</v>
      </c>
      <c r="S30" t="b">
        <f t="shared" si="35"/>
        <v>0</v>
      </c>
      <c r="V30" t="b">
        <f t="shared" si="36"/>
        <v>0</v>
      </c>
      <c r="W30" t="b">
        <f t="shared" si="37"/>
        <v>1</v>
      </c>
      <c r="X30" t="b">
        <f t="shared" si="38"/>
        <v>0</v>
      </c>
      <c r="Y30" t="b">
        <f t="shared" si="39"/>
        <v>1</v>
      </c>
      <c r="Z30" t="b">
        <f t="shared" si="40"/>
        <v>0</v>
      </c>
      <c r="AA30" t="b">
        <f t="shared" si="41"/>
        <v>1</v>
      </c>
      <c r="AB30" t="b">
        <f t="shared" si="42"/>
        <v>0</v>
      </c>
      <c r="AC30" t="b">
        <f t="shared" si="43"/>
        <v>0</v>
      </c>
      <c r="AD30" t="b">
        <f t="shared" si="44"/>
        <v>0</v>
      </c>
      <c r="AE30" t="b">
        <f t="shared" si="45"/>
        <v>0</v>
      </c>
      <c r="AF30" t="b">
        <f t="shared" si="46"/>
        <v>0</v>
      </c>
      <c r="AG30" t="b">
        <f t="shared" si="47"/>
        <v>0</v>
      </c>
    </row>
    <row r="31" spans="1:33">
      <c r="A31" s="3" t="s">
        <v>233</v>
      </c>
      <c r="B31" s="27" t="s">
        <v>220</v>
      </c>
      <c r="C31" s="27" t="s">
        <v>220</v>
      </c>
      <c r="D31" s="27" t="s">
        <v>220</v>
      </c>
      <c r="E31" s="27" t="s">
        <v>220</v>
      </c>
      <c r="F31" s="6" t="s">
        <v>193</v>
      </c>
      <c r="H31" t="b">
        <f t="shared" si="24"/>
        <v>1</v>
      </c>
      <c r="I31" t="b">
        <f t="shared" si="25"/>
        <v>1</v>
      </c>
      <c r="J31" t="b">
        <f t="shared" si="26"/>
        <v>1</v>
      </c>
      <c r="K31" t="b">
        <f t="shared" si="27"/>
        <v>1</v>
      </c>
      <c r="L31" t="b">
        <f t="shared" si="28"/>
        <v>1</v>
      </c>
      <c r="M31" t="b">
        <f t="shared" si="29"/>
        <v>1</v>
      </c>
      <c r="N31" t="b">
        <f t="shared" si="30"/>
        <v>1</v>
      </c>
      <c r="O31" t="b">
        <f t="shared" si="31"/>
        <v>1</v>
      </c>
      <c r="P31" t="b">
        <f t="shared" si="32"/>
        <v>1</v>
      </c>
      <c r="Q31" t="b">
        <f t="shared" si="33"/>
        <v>1</v>
      </c>
      <c r="R31" t="b">
        <f t="shared" si="34"/>
        <v>1</v>
      </c>
      <c r="S31" t="b">
        <f t="shared" si="35"/>
        <v>1</v>
      </c>
      <c r="V31" t="b">
        <f t="shared" si="36"/>
        <v>1</v>
      </c>
      <c r="W31" t="b">
        <f t="shared" si="37"/>
        <v>1</v>
      </c>
      <c r="X31" t="b">
        <f t="shared" si="38"/>
        <v>1</v>
      </c>
      <c r="Y31" t="b">
        <f t="shared" si="39"/>
        <v>1</v>
      </c>
      <c r="Z31" t="b">
        <f t="shared" si="40"/>
        <v>1</v>
      </c>
      <c r="AA31" t="b">
        <f t="shared" si="41"/>
        <v>1</v>
      </c>
      <c r="AB31" t="b">
        <f t="shared" si="42"/>
        <v>1</v>
      </c>
      <c r="AC31" t="b">
        <f t="shared" si="43"/>
        <v>1</v>
      </c>
      <c r="AD31" t="b">
        <f t="shared" si="44"/>
        <v>1</v>
      </c>
      <c r="AE31" t="b">
        <f t="shared" si="45"/>
        <v>1</v>
      </c>
      <c r="AF31" t="b">
        <f t="shared" si="46"/>
        <v>1</v>
      </c>
      <c r="AG31" t="b">
        <f t="shared" si="47"/>
        <v>1</v>
      </c>
    </row>
    <row r="32" spans="1:33">
      <c r="A32" s="3" t="s">
        <v>234</v>
      </c>
      <c r="B32" s="27" t="s">
        <v>220</v>
      </c>
      <c r="E32" s="27" t="s">
        <v>220</v>
      </c>
      <c r="F32" s="6" t="s">
        <v>193</v>
      </c>
      <c r="H32" t="b">
        <f t="shared" si="24"/>
        <v>0</v>
      </c>
      <c r="I32" t="b">
        <f t="shared" si="25"/>
        <v>1</v>
      </c>
      <c r="J32" t="b">
        <f t="shared" si="26"/>
        <v>0</v>
      </c>
      <c r="K32" t="b">
        <f t="shared" si="27"/>
        <v>1</v>
      </c>
      <c r="L32" t="b">
        <f t="shared" si="28"/>
        <v>1</v>
      </c>
      <c r="M32" t="b">
        <f t="shared" si="29"/>
        <v>1</v>
      </c>
      <c r="N32" t="b">
        <f t="shared" si="30"/>
        <v>0</v>
      </c>
      <c r="O32" t="b">
        <f t="shared" si="31"/>
        <v>0</v>
      </c>
      <c r="P32" t="b">
        <f t="shared" si="32"/>
        <v>0</v>
      </c>
      <c r="Q32" t="b">
        <f t="shared" si="33"/>
        <v>1</v>
      </c>
      <c r="R32" t="b">
        <f t="shared" si="34"/>
        <v>0</v>
      </c>
      <c r="S32" t="b">
        <f t="shared" si="35"/>
        <v>1</v>
      </c>
      <c r="V32" t="b">
        <f t="shared" si="36"/>
        <v>0</v>
      </c>
      <c r="W32" t="b">
        <f t="shared" si="37"/>
        <v>1</v>
      </c>
      <c r="X32" t="b">
        <f t="shared" si="38"/>
        <v>0</v>
      </c>
      <c r="Y32" t="b">
        <f t="shared" si="39"/>
        <v>1</v>
      </c>
      <c r="Z32" t="b">
        <f t="shared" si="40"/>
        <v>1</v>
      </c>
      <c r="AA32" t="b">
        <f t="shared" si="41"/>
        <v>1</v>
      </c>
      <c r="AB32" t="b">
        <f t="shared" si="42"/>
        <v>0</v>
      </c>
      <c r="AC32" t="b">
        <f t="shared" si="43"/>
        <v>0</v>
      </c>
      <c r="AD32" t="b">
        <f t="shared" si="44"/>
        <v>0</v>
      </c>
      <c r="AE32" t="b">
        <f t="shared" si="45"/>
        <v>1</v>
      </c>
      <c r="AF32" t="b">
        <f t="shared" si="46"/>
        <v>0</v>
      </c>
      <c r="AG32" t="b">
        <f t="shared" si="47"/>
        <v>1</v>
      </c>
    </row>
    <row r="33" spans="1:33">
      <c r="A33" s="3" t="s">
        <v>236</v>
      </c>
      <c r="B33" s="27" t="s">
        <v>192</v>
      </c>
      <c r="C33" s="27" t="s">
        <v>192</v>
      </c>
      <c r="F33" s="6" t="s">
        <v>193</v>
      </c>
      <c r="H33" t="b">
        <f t="shared" si="24"/>
        <v>1</v>
      </c>
      <c r="I33" t="b">
        <f t="shared" si="25"/>
        <v>1</v>
      </c>
      <c r="J33" t="b">
        <f t="shared" si="26"/>
        <v>0</v>
      </c>
      <c r="K33" t="b">
        <f t="shared" si="27"/>
        <v>1</v>
      </c>
      <c r="L33" t="b">
        <f t="shared" si="28"/>
        <v>0</v>
      </c>
      <c r="M33" t="b">
        <f t="shared" si="29"/>
        <v>1</v>
      </c>
      <c r="N33" t="b">
        <f t="shared" si="30"/>
        <v>0</v>
      </c>
      <c r="O33" t="b">
        <f t="shared" si="31"/>
        <v>1</v>
      </c>
      <c r="P33" t="b">
        <f t="shared" si="32"/>
        <v>0</v>
      </c>
      <c r="Q33" t="b">
        <f t="shared" si="33"/>
        <v>1</v>
      </c>
      <c r="R33" t="b">
        <f t="shared" si="34"/>
        <v>0</v>
      </c>
      <c r="S33" t="b">
        <f t="shared" si="35"/>
        <v>0</v>
      </c>
      <c r="V33" t="b">
        <f t="shared" si="36"/>
        <v>1</v>
      </c>
      <c r="W33" t="b">
        <f t="shared" si="37"/>
        <v>1</v>
      </c>
      <c r="X33" t="b">
        <f t="shared" si="38"/>
        <v>0</v>
      </c>
      <c r="Y33" t="b">
        <f t="shared" si="39"/>
        <v>1</v>
      </c>
      <c r="Z33" t="b">
        <f t="shared" si="40"/>
        <v>0</v>
      </c>
      <c r="AA33" t="b">
        <f t="shared" si="41"/>
        <v>1</v>
      </c>
      <c r="AB33" t="b">
        <f t="shared" si="42"/>
        <v>0</v>
      </c>
      <c r="AC33" t="b">
        <f t="shared" si="43"/>
        <v>1</v>
      </c>
      <c r="AD33" t="b">
        <f t="shared" si="44"/>
        <v>0</v>
      </c>
      <c r="AE33" t="b">
        <f t="shared" si="45"/>
        <v>1</v>
      </c>
      <c r="AF33" t="b">
        <f t="shared" si="46"/>
        <v>0</v>
      </c>
      <c r="AG33" t="b">
        <f t="shared" si="47"/>
        <v>0</v>
      </c>
    </row>
    <row r="34" spans="1:33" ht="15">
      <c r="A34" s="3" t="s">
        <v>393</v>
      </c>
      <c r="C34" s="27" t="s">
        <v>192</v>
      </c>
      <c r="F34" s="6" t="s">
        <v>196</v>
      </c>
      <c r="H34" t="b">
        <f t="shared" si="24"/>
        <v>0</v>
      </c>
      <c r="I34" t="b">
        <f t="shared" si="25"/>
        <v>1</v>
      </c>
      <c r="J34" t="b">
        <f t="shared" si="26"/>
        <v>0</v>
      </c>
      <c r="K34" t="b">
        <f t="shared" si="27"/>
        <v>0</v>
      </c>
      <c r="L34" t="b">
        <f t="shared" si="28"/>
        <v>0</v>
      </c>
      <c r="M34" t="b">
        <f t="shared" si="29"/>
        <v>0</v>
      </c>
      <c r="N34" t="b">
        <f t="shared" si="30"/>
        <v>0</v>
      </c>
      <c r="O34" t="b">
        <f t="shared" si="31"/>
        <v>1</v>
      </c>
      <c r="P34" t="b">
        <f t="shared" si="32"/>
        <v>0</v>
      </c>
      <c r="Q34" t="b">
        <f t="shared" si="33"/>
        <v>1</v>
      </c>
      <c r="R34" t="b">
        <f t="shared" si="34"/>
        <v>0</v>
      </c>
      <c r="S34" t="b">
        <f t="shared" si="35"/>
        <v>0</v>
      </c>
      <c r="V34" t="b">
        <f t="shared" si="36"/>
        <v>0</v>
      </c>
      <c r="W34" t="b">
        <f t="shared" si="37"/>
        <v>0</v>
      </c>
      <c r="X34" t="b">
        <f t="shared" si="38"/>
        <v>0</v>
      </c>
      <c r="Y34" t="b">
        <f t="shared" si="39"/>
        <v>0</v>
      </c>
      <c r="Z34" t="b">
        <f t="shared" si="40"/>
        <v>0</v>
      </c>
      <c r="AA34" t="b">
        <f t="shared" si="41"/>
        <v>0</v>
      </c>
      <c r="AB34" t="b">
        <f t="shared" si="42"/>
        <v>0</v>
      </c>
      <c r="AC34" t="b">
        <f t="shared" si="43"/>
        <v>0</v>
      </c>
      <c r="AD34" t="b">
        <f t="shared" si="44"/>
        <v>0</v>
      </c>
      <c r="AE34" t="b">
        <f t="shared" si="45"/>
        <v>0</v>
      </c>
      <c r="AF34" t="b">
        <f t="shared" si="46"/>
        <v>0</v>
      </c>
      <c r="AG34" t="b">
        <f t="shared" si="47"/>
        <v>0</v>
      </c>
    </row>
    <row r="35" spans="1:33" ht="15">
      <c r="A35" t="s">
        <v>394</v>
      </c>
      <c r="C35" s="27" t="s">
        <v>192</v>
      </c>
      <c r="F35" s="6" t="s">
        <v>196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0</v>
      </c>
      <c r="L35" t="b">
        <f t="shared" si="28"/>
        <v>0</v>
      </c>
      <c r="M35" t="b">
        <f t="shared" si="29"/>
        <v>0</v>
      </c>
      <c r="N35" t="b">
        <f t="shared" si="30"/>
        <v>0</v>
      </c>
      <c r="O35" t="b">
        <f t="shared" si="31"/>
        <v>1</v>
      </c>
      <c r="P35" t="b">
        <f t="shared" si="32"/>
        <v>0</v>
      </c>
      <c r="Q35" t="b">
        <f t="shared" si="33"/>
        <v>1</v>
      </c>
      <c r="R35" t="b">
        <f t="shared" si="34"/>
        <v>0</v>
      </c>
      <c r="S35" t="b">
        <f t="shared" si="35"/>
        <v>0</v>
      </c>
      <c r="V35" t="b">
        <f t="shared" si="36"/>
        <v>0</v>
      </c>
      <c r="W35" t="b">
        <f t="shared" si="37"/>
        <v>0</v>
      </c>
      <c r="X35" t="b">
        <f t="shared" si="38"/>
        <v>0</v>
      </c>
      <c r="Y35" t="b">
        <f t="shared" si="39"/>
        <v>0</v>
      </c>
      <c r="Z35" t="b">
        <f t="shared" si="40"/>
        <v>0</v>
      </c>
      <c r="AA35" t="b">
        <f t="shared" si="41"/>
        <v>0</v>
      </c>
      <c r="AB35" t="b">
        <f t="shared" si="42"/>
        <v>0</v>
      </c>
      <c r="AC35" t="b">
        <f t="shared" si="43"/>
        <v>0</v>
      </c>
      <c r="AD35" t="b">
        <f t="shared" si="44"/>
        <v>0</v>
      </c>
      <c r="AE35" t="b">
        <f t="shared" si="45"/>
        <v>0</v>
      </c>
      <c r="AF35" t="b">
        <f t="shared" si="46"/>
        <v>0</v>
      </c>
      <c r="AG35" t="b">
        <f t="shared" si="47"/>
        <v>0</v>
      </c>
    </row>
    <row r="36" spans="1:33" ht="15">
      <c r="A36" t="s">
        <v>395</v>
      </c>
      <c r="C36" s="27" t="s">
        <v>192</v>
      </c>
      <c r="F36" s="6" t="s">
        <v>196</v>
      </c>
      <c r="H36" t="b">
        <f t="shared" si="24"/>
        <v>0</v>
      </c>
      <c r="I36" t="b">
        <f t="shared" si="25"/>
        <v>1</v>
      </c>
      <c r="J36" t="b">
        <f t="shared" si="26"/>
        <v>0</v>
      </c>
      <c r="K36" t="b">
        <f t="shared" si="27"/>
        <v>0</v>
      </c>
      <c r="L36" t="b">
        <f t="shared" si="28"/>
        <v>0</v>
      </c>
      <c r="M36" t="b">
        <f t="shared" si="29"/>
        <v>0</v>
      </c>
      <c r="N36" t="b">
        <f t="shared" si="30"/>
        <v>0</v>
      </c>
      <c r="O36" t="b">
        <f t="shared" si="31"/>
        <v>1</v>
      </c>
      <c r="P36" t="b">
        <f t="shared" si="32"/>
        <v>0</v>
      </c>
      <c r="Q36" t="b">
        <f t="shared" si="33"/>
        <v>1</v>
      </c>
      <c r="R36" t="b">
        <f t="shared" si="34"/>
        <v>0</v>
      </c>
      <c r="S36" t="b">
        <f t="shared" si="35"/>
        <v>0</v>
      </c>
      <c r="V36" t="b">
        <f t="shared" si="36"/>
        <v>0</v>
      </c>
      <c r="W36" t="b">
        <f t="shared" si="37"/>
        <v>0</v>
      </c>
      <c r="X36" t="b">
        <f t="shared" si="38"/>
        <v>0</v>
      </c>
      <c r="Y36" t="b">
        <f t="shared" si="39"/>
        <v>0</v>
      </c>
      <c r="Z36" t="b">
        <f t="shared" si="40"/>
        <v>0</v>
      </c>
      <c r="AA36" t="b">
        <f t="shared" si="41"/>
        <v>0</v>
      </c>
      <c r="AB36" t="b">
        <f t="shared" si="42"/>
        <v>0</v>
      </c>
      <c r="AC36" t="b">
        <f t="shared" si="43"/>
        <v>0</v>
      </c>
      <c r="AD36" t="b">
        <f t="shared" si="44"/>
        <v>0</v>
      </c>
      <c r="AE36" t="b">
        <f t="shared" si="45"/>
        <v>0</v>
      </c>
      <c r="AF36" t="b">
        <f t="shared" si="46"/>
        <v>0</v>
      </c>
      <c r="AG36" t="b">
        <f t="shared" si="47"/>
        <v>0</v>
      </c>
    </row>
    <row r="37" spans="1:33" ht="15">
      <c r="A37" t="s">
        <v>396</v>
      </c>
      <c r="E37" s="27" t="s">
        <v>192</v>
      </c>
      <c r="F37" s="6" t="s">
        <v>196</v>
      </c>
      <c r="H37" t="b">
        <f t="shared" si="24"/>
        <v>0</v>
      </c>
      <c r="I37" t="b">
        <f t="shared" si="25"/>
        <v>0</v>
      </c>
      <c r="J37" t="b">
        <f t="shared" si="26"/>
        <v>0</v>
      </c>
      <c r="K37" t="b">
        <f t="shared" si="27"/>
        <v>0</v>
      </c>
      <c r="L37" t="b">
        <f t="shared" si="28"/>
        <v>0</v>
      </c>
      <c r="M37" t="b">
        <f t="shared" si="29"/>
        <v>1</v>
      </c>
      <c r="N37" t="b">
        <f t="shared" si="30"/>
        <v>0</v>
      </c>
      <c r="O37" t="b">
        <f t="shared" si="31"/>
        <v>0</v>
      </c>
      <c r="P37" t="b">
        <f t="shared" si="32"/>
        <v>0</v>
      </c>
      <c r="Q37" t="b">
        <f t="shared" si="33"/>
        <v>1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0</v>
      </c>
      <c r="X37" t="b">
        <f t="shared" si="38"/>
        <v>0</v>
      </c>
      <c r="Y37" t="b">
        <f t="shared" si="39"/>
        <v>0</v>
      </c>
      <c r="Z37" t="b">
        <f t="shared" si="40"/>
        <v>0</v>
      </c>
      <c r="AA37" t="b">
        <f t="shared" si="41"/>
        <v>0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0</v>
      </c>
      <c r="AF37" t="b">
        <f t="shared" si="46"/>
        <v>0</v>
      </c>
      <c r="AG37" t="b">
        <f t="shared" si="47"/>
        <v>0</v>
      </c>
    </row>
    <row r="38" spans="1:33" ht="15">
      <c r="A38" t="s">
        <v>397</v>
      </c>
      <c r="E38" s="27" t="s">
        <v>192</v>
      </c>
      <c r="F38" s="6" t="s">
        <v>196</v>
      </c>
      <c r="H38" t="b">
        <f t="shared" si="24"/>
        <v>0</v>
      </c>
      <c r="I38" t="b">
        <f t="shared" si="25"/>
        <v>0</v>
      </c>
      <c r="J38" t="b">
        <f t="shared" si="26"/>
        <v>0</v>
      </c>
      <c r="K38" t="b">
        <f t="shared" si="27"/>
        <v>0</v>
      </c>
      <c r="L38" t="b">
        <f t="shared" si="28"/>
        <v>0</v>
      </c>
      <c r="M38" t="b">
        <f t="shared" si="29"/>
        <v>1</v>
      </c>
      <c r="N38" t="b">
        <f t="shared" si="30"/>
        <v>0</v>
      </c>
      <c r="O38" t="b">
        <f t="shared" si="31"/>
        <v>0</v>
      </c>
      <c r="P38" t="b">
        <f t="shared" si="32"/>
        <v>0</v>
      </c>
      <c r="Q38" t="b">
        <f t="shared" si="33"/>
        <v>1</v>
      </c>
      <c r="R38" t="b">
        <f t="shared" si="34"/>
        <v>0</v>
      </c>
      <c r="S38" t="b">
        <f t="shared" si="35"/>
        <v>1</v>
      </c>
      <c r="V38" t="b">
        <f t="shared" si="36"/>
        <v>0</v>
      </c>
      <c r="W38" t="b">
        <f t="shared" si="37"/>
        <v>0</v>
      </c>
      <c r="X38" t="b">
        <f t="shared" si="38"/>
        <v>0</v>
      </c>
      <c r="Y38" t="b">
        <f t="shared" si="39"/>
        <v>0</v>
      </c>
      <c r="Z38" t="b">
        <f t="shared" si="40"/>
        <v>0</v>
      </c>
      <c r="AA38" t="b">
        <f t="shared" si="41"/>
        <v>0</v>
      </c>
      <c r="AB38" t="b">
        <f t="shared" si="42"/>
        <v>0</v>
      </c>
      <c r="AC38" t="b">
        <f t="shared" si="43"/>
        <v>0</v>
      </c>
      <c r="AD38" t="b">
        <f t="shared" si="44"/>
        <v>0</v>
      </c>
      <c r="AE38" t="b">
        <f t="shared" si="45"/>
        <v>0</v>
      </c>
      <c r="AF38" t="b">
        <f t="shared" si="46"/>
        <v>0</v>
      </c>
      <c r="AG38" t="b">
        <f t="shared" si="47"/>
        <v>0</v>
      </c>
    </row>
    <row r="39" spans="1:33">
      <c r="A39" s="3" t="s">
        <v>240</v>
      </c>
      <c r="B39" s="27" t="s">
        <v>192</v>
      </c>
      <c r="C39" s="27" t="s">
        <v>192</v>
      </c>
      <c r="D39" s="27" t="s">
        <v>192</v>
      </c>
      <c r="E39" s="27" t="s">
        <v>192</v>
      </c>
      <c r="F39" s="6" t="s">
        <v>193</v>
      </c>
      <c r="H39" t="b">
        <f t="shared" si="24"/>
        <v>1</v>
      </c>
      <c r="I39" t="b">
        <f t="shared" si="25"/>
        <v>1</v>
      </c>
      <c r="J39" t="b">
        <f t="shared" si="26"/>
        <v>1</v>
      </c>
      <c r="K39" t="b">
        <f t="shared" si="27"/>
        <v>1</v>
      </c>
      <c r="L39" t="b">
        <f t="shared" si="28"/>
        <v>1</v>
      </c>
      <c r="M39" t="b">
        <f t="shared" si="29"/>
        <v>1</v>
      </c>
      <c r="N39" t="b">
        <f t="shared" si="30"/>
        <v>1</v>
      </c>
      <c r="O39" t="b">
        <f t="shared" si="31"/>
        <v>1</v>
      </c>
      <c r="P39" t="b">
        <f t="shared" si="32"/>
        <v>1</v>
      </c>
      <c r="Q39" t="b">
        <f t="shared" si="33"/>
        <v>1</v>
      </c>
      <c r="R39" t="b">
        <f t="shared" si="34"/>
        <v>1</v>
      </c>
      <c r="S39" t="b">
        <f t="shared" si="35"/>
        <v>1</v>
      </c>
      <c r="V39" t="b">
        <f t="shared" si="36"/>
        <v>1</v>
      </c>
      <c r="W39" t="b">
        <f t="shared" si="37"/>
        <v>1</v>
      </c>
      <c r="X39" t="b">
        <f t="shared" si="38"/>
        <v>1</v>
      </c>
      <c r="Y39" t="b">
        <f t="shared" si="39"/>
        <v>1</v>
      </c>
      <c r="Z39" t="b">
        <f t="shared" si="40"/>
        <v>1</v>
      </c>
      <c r="AA39" t="b">
        <f t="shared" si="41"/>
        <v>1</v>
      </c>
      <c r="AB39" t="b">
        <f t="shared" si="42"/>
        <v>1</v>
      </c>
      <c r="AC39" t="b">
        <f t="shared" si="43"/>
        <v>1</v>
      </c>
      <c r="AD39" t="b">
        <f t="shared" si="44"/>
        <v>1</v>
      </c>
      <c r="AE39" t="b">
        <f t="shared" si="45"/>
        <v>1</v>
      </c>
      <c r="AF39" t="b">
        <f t="shared" si="46"/>
        <v>1</v>
      </c>
      <c r="AG39" t="b">
        <f t="shared" si="47"/>
        <v>1</v>
      </c>
    </row>
    <row r="40" spans="1:33">
      <c r="A40" t="s">
        <v>398</v>
      </c>
      <c r="B40"/>
      <c r="C40" s="27" t="s">
        <v>192</v>
      </c>
      <c r="D40" s="27" t="s">
        <v>192</v>
      </c>
      <c r="E40"/>
      <c r="F40" s="6" t="s">
        <v>196</v>
      </c>
      <c r="H40" t="b">
        <f t="shared" si="24"/>
        <v>0</v>
      </c>
      <c r="I40" t="b">
        <f t="shared" si="25"/>
        <v>1</v>
      </c>
      <c r="J40" t="b">
        <f t="shared" si="26"/>
        <v>0</v>
      </c>
      <c r="K40" t="b">
        <f t="shared" si="27"/>
        <v>1</v>
      </c>
      <c r="L40" t="b">
        <f t="shared" si="28"/>
        <v>0</v>
      </c>
      <c r="M40" t="b">
        <f t="shared" si="29"/>
        <v>0</v>
      </c>
      <c r="N40" t="b">
        <f t="shared" si="30"/>
        <v>1</v>
      </c>
      <c r="O40" t="b">
        <f t="shared" si="31"/>
        <v>1</v>
      </c>
      <c r="P40" t="b">
        <f t="shared" si="32"/>
        <v>0</v>
      </c>
      <c r="Q40" t="b">
        <f t="shared" si="33"/>
        <v>1</v>
      </c>
      <c r="R40" t="b">
        <f t="shared" si="34"/>
        <v>0</v>
      </c>
      <c r="S40" t="b">
        <f t="shared" si="35"/>
        <v>1</v>
      </c>
      <c r="V40" t="b">
        <f t="shared" si="36"/>
        <v>0</v>
      </c>
      <c r="W40" t="b">
        <f t="shared" si="37"/>
        <v>0</v>
      </c>
      <c r="X40" t="b">
        <f t="shared" si="38"/>
        <v>0</v>
      </c>
      <c r="Y40" t="b">
        <f t="shared" si="39"/>
        <v>0</v>
      </c>
      <c r="Z40" t="b">
        <f t="shared" si="40"/>
        <v>0</v>
      </c>
      <c r="AA40" t="b">
        <f t="shared" si="41"/>
        <v>0</v>
      </c>
      <c r="AB40" t="b">
        <f t="shared" si="42"/>
        <v>0</v>
      </c>
      <c r="AC40" t="b">
        <f t="shared" si="43"/>
        <v>0</v>
      </c>
      <c r="AD40" t="b">
        <f t="shared" si="44"/>
        <v>0</v>
      </c>
      <c r="AE40" t="b">
        <f t="shared" si="45"/>
        <v>0</v>
      </c>
      <c r="AF40" t="b">
        <f t="shared" si="46"/>
        <v>0</v>
      </c>
      <c r="AG40" t="b">
        <f t="shared" si="47"/>
        <v>0</v>
      </c>
    </row>
    <row r="41" spans="1:33">
      <c r="A41" t="s">
        <v>399</v>
      </c>
      <c r="B41"/>
      <c r="C41" s="27" t="s">
        <v>192</v>
      </c>
      <c r="D41"/>
      <c r="E41"/>
      <c r="F41" s="6" t="s">
        <v>196</v>
      </c>
      <c r="H41" t="b">
        <f t="shared" si="24"/>
        <v>0</v>
      </c>
      <c r="I41" t="b">
        <f t="shared" si="25"/>
        <v>1</v>
      </c>
      <c r="J41" t="b">
        <f t="shared" si="26"/>
        <v>0</v>
      </c>
      <c r="K41" t="b">
        <f t="shared" si="27"/>
        <v>0</v>
      </c>
      <c r="L41" t="b">
        <f t="shared" si="28"/>
        <v>0</v>
      </c>
      <c r="M41" t="b">
        <f t="shared" si="29"/>
        <v>0</v>
      </c>
      <c r="N41" t="b">
        <f t="shared" si="30"/>
        <v>0</v>
      </c>
      <c r="O41" t="b">
        <f t="shared" si="31"/>
        <v>1</v>
      </c>
      <c r="P41" t="b">
        <f t="shared" si="32"/>
        <v>0</v>
      </c>
      <c r="Q41" t="b">
        <f t="shared" si="33"/>
        <v>1</v>
      </c>
      <c r="R41" t="b">
        <f t="shared" si="34"/>
        <v>0</v>
      </c>
      <c r="S41" t="b">
        <f t="shared" si="35"/>
        <v>0</v>
      </c>
      <c r="V41" t="b">
        <f t="shared" si="36"/>
        <v>0</v>
      </c>
      <c r="W41" t="b">
        <f t="shared" si="37"/>
        <v>0</v>
      </c>
      <c r="X41" t="b">
        <f t="shared" si="38"/>
        <v>0</v>
      </c>
      <c r="Y41" t="b">
        <f t="shared" si="39"/>
        <v>0</v>
      </c>
      <c r="Z41" t="b">
        <f t="shared" si="40"/>
        <v>0</v>
      </c>
      <c r="AA41" t="b">
        <f t="shared" si="41"/>
        <v>0</v>
      </c>
      <c r="AB41" t="b">
        <f t="shared" si="42"/>
        <v>0</v>
      </c>
      <c r="AC41" t="b">
        <f t="shared" si="43"/>
        <v>0</v>
      </c>
      <c r="AD41" t="b">
        <f t="shared" si="44"/>
        <v>0</v>
      </c>
      <c r="AE41" t="b">
        <f t="shared" si="45"/>
        <v>0</v>
      </c>
      <c r="AF41" t="b">
        <f t="shared" si="46"/>
        <v>0</v>
      </c>
      <c r="AG41" t="b">
        <f t="shared" si="47"/>
        <v>0</v>
      </c>
    </row>
    <row r="42" spans="1:33">
      <c r="A42" t="s">
        <v>400</v>
      </c>
      <c r="B42"/>
      <c r="C42" s="27" t="s">
        <v>192</v>
      </c>
      <c r="D42"/>
      <c r="E42"/>
      <c r="F42" s="6" t="s">
        <v>196</v>
      </c>
      <c r="H42" t="b">
        <f t="shared" si="24"/>
        <v>0</v>
      </c>
      <c r="I42" t="b">
        <f t="shared" si="25"/>
        <v>1</v>
      </c>
      <c r="J42" t="b">
        <f t="shared" si="26"/>
        <v>0</v>
      </c>
      <c r="K42" t="b">
        <f t="shared" si="27"/>
        <v>0</v>
      </c>
      <c r="L42" t="b">
        <f t="shared" si="28"/>
        <v>0</v>
      </c>
      <c r="M42" t="b">
        <f t="shared" si="29"/>
        <v>0</v>
      </c>
      <c r="N42" t="b">
        <f t="shared" si="30"/>
        <v>0</v>
      </c>
      <c r="O42" t="b">
        <f t="shared" si="31"/>
        <v>1</v>
      </c>
      <c r="P42" t="b">
        <f t="shared" si="32"/>
        <v>0</v>
      </c>
      <c r="Q42" t="b">
        <f t="shared" si="33"/>
        <v>1</v>
      </c>
      <c r="R42" t="b">
        <f t="shared" si="34"/>
        <v>0</v>
      </c>
      <c r="S42" t="b">
        <f t="shared" si="35"/>
        <v>0</v>
      </c>
      <c r="V42" t="b">
        <f t="shared" si="36"/>
        <v>0</v>
      </c>
      <c r="W42" t="b">
        <f t="shared" si="37"/>
        <v>0</v>
      </c>
      <c r="X42" t="b">
        <f t="shared" si="38"/>
        <v>0</v>
      </c>
      <c r="Y42" t="b">
        <f t="shared" si="39"/>
        <v>0</v>
      </c>
      <c r="Z42" t="b">
        <f t="shared" si="40"/>
        <v>0</v>
      </c>
      <c r="AA42" t="b">
        <f t="shared" si="41"/>
        <v>0</v>
      </c>
      <c r="AB42" t="b">
        <f t="shared" si="42"/>
        <v>0</v>
      </c>
      <c r="AC42" t="b">
        <f t="shared" si="43"/>
        <v>0</v>
      </c>
      <c r="AD42" t="b">
        <f t="shared" si="44"/>
        <v>0</v>
      </c>
      <c r="AE42" t="b">
        <f t="shared" si="45"/>
        <v>0</v>
      </c>
      <c r="AF42" t="b">
        <f t="shared" si="46"/>
        <v>0</v>
      </c>
      <c r="AG42" t="b">
        <f t="shared" si="47"/>
        <v>0</v>
      </c>
    </row>
    <row r="43" spans="1:33">
      <c r="A43" t="s">
        <v>401</v>
      </c>
      <c r="B43"/>
      <c r="C43" s="27" t="s">
        <v>192</v>
      </c>
      <c r="D43"/>
      <c r="E43"/>
      <c r="F43" s="6" t="s">
        <v>196</v>
      </c>
      <c r="H43" t="b">
        <f t="shared" si="24"/>
        <v>0</v>
      </c>
      <c r="I43" t="b">
        <f t="shared" si="25"/>
        <v>1</v>
      </c>
      <c r="J43" t="b">
        <f t="shared" si="26"/>
        <v>0</v>
      </c>
      <c r="K43" t="b">
        <f t="shared" si="27"/>
        <v>0</v>
      </c>
      <c r="L43" t="b">
        <f t="shared" si="28"/>
        <v>0</v>
      </c>
      <c r="M43" t="b">
        <f t="shared" si="29"/>
        <v>0</v>
      </c>
      <c r="N43" t="b">
        <f t="shared" si="30"/>
        <v>0</v>
      </c>
      <c r="O43" t="b">
        <f t="shared" si="31"/>
        <v>1</v>
      </c>
      <c r="P43" t="b">
        <f t="shared" si="32"/>
        <v>0</v>
      </c>
      <c r="Q43" t="b">
        <f t="shared" si="33"/>
        <v>1</v>
      </c>
      <c r="R43" t="b">
        <f t="shared" si="34"/>
        <v>0</v>
      </c>
      <c r="S43" t="b">
        <f t="shared" si="35"/>
        <v>0</v>
      </c>
      <c r="V43" t="b">
        <f t="shared" si="36"/>
        <v>0</v>
      </c>
      <c r="W43" t="b">
        <f t="shared" si="37"/>
        <v>0</v>
      </c>
      <c r="X43" t="b">
        <f t="shared" si="38"/>
        <v>0</v>
      </c>
      <c r="Y43" t="b">
        <f t="shared" si="39"/>
        <v>0</v>
      </c>
      <c r="Z43" t="b">
        <f t="shared" si="40"/>
        <v>0</v>
      </c>
      <c r="AA43" t="b">
        <f t="shared" si="41"/>
        <v>0</v>
      </c>
      <c r="AB43" t="b">
        <f t="shared" si="42"/>
        <v>0</v>
      </c>
      <c r="AC43" t="b">
        <f t="shared" si="43"/>
        <v>0</v>
      </c>
      <c r="AD43" t="b">
        <f t="shared" si="44"/>
        <v>0</v>
      </c>
      <c r="AE43" t="b">
        <f t="shared" si="45"/>
        <v>0</v>
      </c>
      <c r="AF43" t="b">
        <f t="shared" si="46"/>
        <v>0</v>
      </c>
      <c r="AG43" t="b">
        <f t="shared" si="47"/>
        <v>0</v>
      </c>
    </row>
    <row r="44" spans="1:33">
      <c r="A44" t="s">
        <v>402</v>
      </c>
      <c r="B44"/>
      <c r="C44"/>
      <c r="D44" s="27" t="s">
        <v>192</v>
      </c>
      <c r="E44"/>
      <c r="F44" s="6" t="s">
        <v>196</v>
      </c>
      <c r="H44" t="b">
        <f t="shared" si="24"/>
        <v>0</v>
      </c>
      <c r="I44" t="b">
        <f t="shared" si="25"/>
        <v>0</v>
      </c>
      <c r="J44" t="b">
        <f t="shared" si="26"/>
        <v>0</v>
      </c>
      <c r="K44" t="b">
        <f t="shared" si="27"/>
        <v>1</v>
      </c>
      <c r="L44" t="b">
        <f t="shared" si="28"/>
        <v>0</v>
      </c>
      <c r="M44" t="b">
        <f t="shared" si="29"/>
        <v>0</v>
      </c>
      <c r="N44" t="b">
        <f t="shared" si="30"/>
        <v>0</v>
      </c>
      <c r="O44" t="b">
        <f t="shared" si="31"/>
        <v>1</v>
      </c>
      <c r="P44" t="b">
        <f t="shared" si="32"/>
        <v>0</v>
      </c>
      <c r="Q44" t="b">
        <f t="shared" si="33"/>
        <v>0</v>
      </c>
      <c r="R44" t="b">
        <f t="shared" si="34"/>
        <v>0</v>
      </c>
      <c r="S44" t="b">
        <f t="shared" si="35"/>
        <v>1</v>
      </c>
      <c r="V44" t="b">
        <f t="shared" si="36"/>
        <v>0</v>
      </c>
      <c r="W44" t="b">
        <f t="shared" si="37"/>
        <v>0</v>
      </c>
      <c r="X44" t="b">
        <f t="shared" si="38"/>
        <v>0</v>
      </c>
      <c r="Y44" t="b">
        <f t="shared" si="39"/>
        <v>0</v>
      </c>
      <c r="Z44" t="b">
        <f t="shared" si="40"/>
        <v>0</v>
      </c>
      <c r="AA44" t="b">
        <f t="shared" si="41"/>
        <v>0</v>
      </c>
      <c r="AB44" t="b">
        <f t="shared" si="42"/>
        <v>0</v>
      </c>
      <c r="AC44" t="b">
        <f t="shared" si="43"/>
        <v>0</v>
      </c>
      <c r="AD44" t="b">
        <f t="shared" si="44"/>
        <v>0</v>
      </c>
      <c r="AE44" t="b">
        <f t="shared" si="45"/>
        <v>0</v>
      </c>
      <c r="AF44" t="b">
        <f t="shared" si="46"/>
        <v>0</v>
      </c>
      <c r="AG44" t="b">
        <f t="shared" si="47"/>
        <v>0</v>
      </c>
    </row>
    <row r="45" spans="1:33">
      <c r="A45" s="3" t="s">
        <v>403</v>
      </c>
      <c r="B45"/>
      <c r="C45"/>
      <c r="D45"/>
      <c r="E45" s="27" t="s">
        <v>192</v>
      </c>
      <c r="F45" s="6" t="s">
        <v>196</v>
      </c>
      <c r="H45" t="b">
        <f t="shared" si="24"/>
        <v>0</v>
      </c>
      <c r="I45" t="b">
        <f t="shared" si="25"/>
        <v>0</v>
      </c>
      <c r="J45" t="b">
        <f t="shared" si="26"/>
        <v>0</v>
      </c>
      <c r="K45" t="b">
        <f t="shared" si="27"/>
        <v>0</v>
      </c>
      <c r="L45" t="b">
        <f t="shared" si="28"/>
        <v>0</v>
      </c>
      <c r="M45" t="b">
        <f t="shared" si="29"/>
        <v>1</v>
      </c>
      <c r="N45" t="b">
        <f t="shared" si="30"/>
        <v>0</v>
      </c>
      <c r="O45" t="b">
        <f t="shared" si="31"/>
        <v>0</v>
      </c>
      <c r="P45" t="b">
        <f t="shared" si="32"/>
        <v>0</v>
      </c>
      <c r="Q45" t="b">
        <f t="shared" si="33"/>
        <v>1</v>
      </c>
      <c r="R45" t="b">
        <f t="shared" si="34"/>
        <v>0</v>
      </c>
      <c r="S45" t="b">
        <f t="shared" si="35"/>
        <v>1</v>
      </c>
      <c r="V45" t="b">
        <f t="shared" si="36"/>
        <v>0</v>
      </c>
      <c r="W45" t="b">
        <f t="shared" si="37"/>
        <v>0</v>
      </c>
      <c r="X45" t="b">
        <f t="shared" si="38"/>
        <v>0</v>
      </c>
      <c r="Y45" t="b">
        <f t="shared" si="39"/>
        <v>0</v>
      </c>
      <c r="Z45" t="b">
        <f t="shared" si="40"/>
        <v>0</v>
      </c>
      <c r="AA45" t="b">
        <f t="shared" si="41"/>
        <v>0</v>
      </c>
      <c r="AB45" t="b">
        <f t="shared" si="42"/>
        <v>0</v>
      </c>
      <c r="AC45" t="b">
        <f t="shared" si="43"/>
        <v>0</v>
      </c>
      <c r="AD45" t="b">
        <f t="shared" si="44"/>
        <v>0</v>
      </c>
      <c r="AE45" t="b">
        <f t="shared" si="45"/>
        <v>0</v>
      </c>
      <c r="AF45" t="b">
        <f t="shared" si="46"/>
        <v>0</v>
      </c>
      <c r="AG45" t="b">
        <f t="shared" si="47"/>
        <v>0</v>
      </c>
    </row>
    <row r="46" spans="1:33">
      <c r="A46" s="3" t="s">
        <v>404</v>
      </c>
      <c r="B46"/>
      <c r="C46"/>
      <c r="D46"/>
      <c r="E46" s="27" t="s">
        <v>192</v>
      </c>
      <c r="F46" s="6" t="s">
        <v>196</v>
      </c>
      <c r="H46" t="b">
        <f t="shared" si="24"/>
        <v>0</v>
      </c>
      <c r="I46" t="b">
        <f t="shared" si="25"/>
        <v>0</v>
      </c>
      <c r="J46" t="b">
        <f t="shared" si="26"/>
        <v>0</v>
      </c>
      <c r="K46" t="b">
        <f t="shared" si="27"/>
        <v>0</v>
      </c>
      <c r="L46" t="b">
        <f t="shared" si="28"/>
        <v>0</v>
      </c>
      <c r="M46" t="b">
        <f t="shared" si="29"/>
        <v>1</v>
      </c>
      <c r="N46" t="b">
        <f t="shared" si="30"/>
        <v>0</v>
      </c>
      <c r="O46" t="b">
        <f t="shared" si="31"/>
        <v>0</v>
      </c>
      <c r="P46" t="b">
        <f t="shared" si="32"/>
        <v>0</v>
      </c>
      <c r="Q46" t="b">
        <f t="shared" si="33"/>
        <v>1</v>
      </c>
      <c r="R46" t="b">
        <f t="shared" si="34"/>
        <v>0</v>
      </c>
      <c r="S46" t="b">
        <f t="shared" si="35"/>
        <v>1</v>
      </c>
      <c r="V46" t="b">
        <f t="shared" si="36"/>
        <v>0</v>
      </c>
      <c r="W46" t="b">
        <f t="shared" si="37"/>
        <v>0</v>
      </c>
      <c r="X46" t="b">
        <f t="shared" si="38"/>
        <v>0</v>
      </c>
      <c r="Y46" t="b">
        <f t="shared" si="39"/>
        <v>0</v>
      </c>
      <c r="Z46" t="b">
        <f t="shared" si="40"/>
        <v>0</v>
      </c>
      <c r="AA46" t="b">
        <f t="shared" si="41"/>
        <v>0</v>
      </c>
      <c r="AB46" t="b">
        <f t="shared" si="42"/>
        <v>0</v>
      </c>
      <c r="AC46" t="b">
        <f t="shared" si="43"/>
        <v>0</v>
      </c>
      <c r="AD46" t="b">
        <f t="shared" si="44"/>
        <v>0</v>
      </c>
      <c r="AE46" t="b">
        <f t="shared" si="45"/>
        <v>0</v>
      </c>
      <c r="AF46" t="b">
        <f t="shared" si="46"/>
        <v>0</v>
      </c>
      <c r="AG46" t="b">
        <f t="shared" si="47"/>
        <v>0</v>
      </c>
    </row>
    <row r="47" spans="1:33">
      <c r="A47" s="3" t="s">
        <v>246</v>
      </c>
      <c r="B47" s="27" t="s">
        <v>192</v>
      </c>
      <c r="C47" s="27" t="s">
        <v>192</v>
      </c>
      <c r="D47" s="27" t="s">
        <v>220</v>
      </c>
      <c r="E47" s="27" t="s">
        <v>192</v>
      </c>
      <c r="F47" s="6" t="s">
        <v>193</v>
      </c>
      <c r="H47" t="b">
        <f t="shared" si="24"/>
        <v>1</v>
      </c>
      <c r="I47" t="b">
        <f t="shared" si="25"/>
        <v>1</v>
      </c>
      <c r="J47" t="b">
        <f t="shared" si="26"/>
        <v>1</v>
      </c>
      <c r="K47" t="b">
        <f t="shared" si="27"/>
        <v>1</v>
      </c>
      <c r="L47" t="b">
        <f t="shared" si="28"/>
        <v>1</v>
      </c>
      <c r="M47" t="b">
        <f t="shared" si="29"/>
        <v>1</v>
      </c>
      <c r="N47" t="b">
        <f t="shared" si="30"/>
        <v>1</v>
      </c>
      <c r="O47" t="b">
        <f t="shared" si="31"/>
        <v>1</v>
      </c>
      <c r="P47" t="b">
        <f t="shared" si="32"/>
        <v>1</v>
      </c>
      <c r="Q47" t="b">
        <f t="shared" si="33"/>
        <v>1</v>
      </c>
      <c r="R47" t="b">
        <f t="shared" si="34"/>
        <v>1</v>
      </c>
      <c r="S47" t="b">
        <f t="shared" si="35"/>
        <v>1</v>
      </c>
      <c r="V47" t="b">
        <f t="shared" si="36"/>
        <v>1</v>
      </c>
      <c r="W47" t="b">
        <f t="shared" si="37"/>
        <v>1</v>
      </c>
      <c r="X47" t="b">
        <f t="shared" si="38"/>
        <v>1</v>
      </c>
      <c r="Y47" t="b">
        <f t="shared" si="39"/>
        <v>1</v>
      </c>
      <c r="Z47" t="b">
        <f t="shared" si="40"/>
        <v>1</v>
      </c>
      <c r="AA47" t="b">
        <f t="shared" si="41"/>
        <v>1</v>
      </c>
      <c r="AB47" t="b">
        <f t="shared" si="42"/>
        <v>1</v>
      </c>
      <c r="AC47" t="b">
        <f t="shared" si="43"/>
        <v>1</v>
      </c>
      <c r="AD47" t="b">
        <f t="shared" si="44"/>
        <v>1</v>
      </c>
      <c r="AE47" t="b">
        <f t="shared" si="45"/>
        <v>1</v>
      </c>
      <c r="AF47" t="b">
        <f t="shared" si="46"/>
        <v>1</v>
      </c>
      <c r="AG47" t="b">
        <f t="shared" si="47"/>
        <v>1</v>
      </c>
    </row>
    <row r="48" spans="1:33">
      <c r="A48" s="3" t="s">
        <v>247</v>
      </c>
      <c r="B48" s="27" t="s">
        <v>220</v>
      </c>
      <c r="F48" s="6" t="s">
        <v>193</v>
      </c>
      <c r="H48" t="b">
        <f t="shared" si="24"/>
        <v>0</v>
      </c>
      <c r="I48" t="b">
        <f t="shared" si="25"/>
        <v>1</v>
      </c>
      <c r="J48" t="b">
        <f t="shared" si="26"/>
        <v>0</v>
      </c>
      <c r="K48" t="b">
        <f t="shared" si="27"/>
        <v>1</v>
      </c>
      <c r="L48" t="b">
        <f t="shared" si="28"/>
        <v>0</v>
      </c>
      <c r="M48" t="b">
        <f t="shared" si="29"/>
        <v>1</v>
      </c>
      <c r="N48" t="b">
        <f t="shared" si="30"/>
        <v>0</v>
      </c>
      <c r="O48" t="b">
        <f t="shared" si="31"/>
        <v>0</v>
      </c>
      <c r="P48" t="b">
        <f t="shared" si="32"/>
        <v>0</v>
      </c>
      <c r="Q48" t="b">
        <f t="shared" si="33"/>
        <v>0</v>
      </c>
      <c r="R48" t="b">
        <f t="shared" si="34"/>
        <v>0</v>
      </c>
      <c r="S48" t="b">
        <f t="shared" si="35"/>
        <v>0</v>
      </c>
      <c r="V48" t="b">
        <f t="shared" si="36"/>
        <v>0</v>
      </c>
      <c r="W48" t="b">
        <f t="shared" si="37"/>
        <v>1</v>
      </c>
      <c r="X48" t="b">
        <f t="shared" si="38"/>
        <v>0</v>
      </c>
      <c r="Y48" t="b">
        <f t="shared" si="39"/>
        <v>1</v>
      </c>
      <c r="Z48" t="b">
        <f t="shared" si="40"/>
        <v>0</v>
      </c>
      <c r="AA48" t="b">
        <f t="shared" si="41"/>
        <v>1</v>
      </c>
      <c r="AB48" t="b">
        <f t="shared" si="42"/>
        <v>0</v>
      </c>
      <c r="AC48" t="b">
        <f t="shared" si="43"/>
        <v>0</v>
      </c>
      <c r="AD48" t="b">
        <f t="shared" si="44"/>
        <v>0</v>
      </c>
      <c r="AE48" t="b">
        <f t="shared" si="45"/>
        <v>0</v>
      </c>
      <c r="AF48" t="b">
        <f t="shared" si="46"/>
        <v>0</v>
      </c>
      <c r="AG48" t="b">
        <f t="shared" si="47"/>
        <v>0</v>
      </c>
    </row>
    <row r="49" spans="1:34">
      <c r="A49" s="3" t="s">
        <v>248</v>
      </c>
      <c r="B49" s="27" t="s">
        <v>192</v>
      </c>
      <c r="C49" s="27" t="s">
        <v>192</v>
      </c>
      <c r="D49" s="27" t="s">
        <v>192</v>
      </c>
      <c r="E49" s="27" t="s">
        <v>192</v>
      </c>
      <c r="F49" s="6" t="s">
        <v>193</v>
      </c>
      <c r="H49" t="b">
        <f t="shared" si="24"/>
        <v>1</v>
      </c>
      <c r="I49" t="b">
        <f t="shared" si="25"/>
        <v>1</v>
      </c>
      <c r="J49" t="b">
        <f t="shared" si="26"/>
        <v>1</v>
      </c>
      <c r="K49" t="b">
        <f t="shared" si="27"/>
        <v>1</v>
      </c>
      <c r="L49" t="b">
        <f t="shared" si="28"/>
        <v>1</v>
      </c>
      <c r="M49" t="b">
        <f t="shared" si="29"/>
        <v>1</v>
      </c>
      <c r="N49" t="b">
        <f t="shared" si="30"/>
        <v>1</v>
      </c>
      <c r="O49" t="b">
        <f t="shared" si="31"/>
        <v>1</v>
      </c>
      <c r="P49" t="b">
        <f t="shared" si="32"/>
        <v>1</v>
      </c>
      <c r="Q49" t="b">
        <f t="shared" si="33"/>
        <v>1</v>
      </c>
      <c r="R49" t="b">
        <f t="shared" si="34"/>
        <v>1</v>
      </c>
      <c r="S49" t="b">
        <f t="shared" si="35"/>
        <v>1</v>
      </c>
      <c r="V49" t="b">
        <f t="shared" si="36"/>
        <v>1</v>
      </c>
      <c r="W49" t="b">
        <f t="shared" si="37"/>
        <v>1</v>
      </c>
      <c r="X49" t="b">
        <f t="shared" si="38"/>
        <v>1</v>
      </c>
      <c r="Y49" t="b">
        <f t="shared" si="39"/>
        <v>1</v>
      </c>
      <c r="Z49" t="b">
        <f t="shared" si="40"/>
        <v>1</v>
      </c>
      <c r="AA49" t="b">
        <f t="shared" si="41"/>
        <v>1</v>
      </c>
      <c r="AB49" t="b">
        <f t="shared" si="42"/>
        <v>1</v>
      </c>
      <c r="AC49" t="b">
        <f t="shared" si="43"/>
        <v>1</v>
      </c>
      <c r="AD49" t="b">
        <f t="shared" si="44"/>
        <v>1</v>
      </c>
      <c r="AE49" t="b">
        <f t="shared" si="45"/>
        <v>1</v>
      </c>
      <c r="AF49" t="b">
        <f t="shared" si="46"/>
        <v>1</v>
      </c>
      <c r="AG49" t="b">
        <f t="shared" si="47"/>
        <v>1</v>
      </c>
    </row>
    <row r="50" spans="1:34">
      <c r="A50" s="3" t="s">
        <v>351</v>
      </c>
      <c r="B50" s="27" t="s">
        <v>192</v>
      </c>
      <c r="C50" s="27" t="s">
        <v>192</v>
      </c>
      <c r="D50" s="27" t="s">
        <v>192</v>
      </c>
      <c r="E50" s="27" t="s">
        <v>192</v>
      </c>
      <c r="F50" s="6" t="s">
        <v>193</v>
      </c>
      <c r="H50" t="b">
        <f t="shared" si="24"/>
        <v>1</v>
      </c>
      <c r="I50" t="b">
        <f t="shared" si="25"/>
        <v>1</v>
      </c>
      <c r="J50" t="b">
        <f t="shared" si="26"/>
        <v>1</v>
      </c>
      <c r="K50" t="b">
        <f t="shared" si="27"/>
        <v>1</v>
      </c>
      <c r="L50" t="b">
        <f t="shared" si="28"/>
        <v>1</v>
      </c>
      <c r="M50" t="b">
        <f t="shared" si="29"/>
        <v>1</v>
      </c>
      <c r="N50" t="b">
        <f t="shared" si="30"/>
        <v>1</v>
      </c>
      <c r="O50" t="b">
        <f t="shared" si="31"/>
        <v>1</v>
      </c>
      <c r="P50" t="b">
        <f t="shared" si="32"/>
        <v>1</v>
      </c>
      <c r="Q50" t="b">
        <f t="shared" si="33"/>
        <v>1</v>
      </c>
      <c r="R50" t="b">
        <f t="shared" si="34"/>
        <v>1</v>
      </c>
      <c r="S50" t="b">
        <f t="shared" si="35"/>
        <v>1</v>
      </c>
      <c r="V50" t="b">
        <f t="shared" si="36"/>
        <v>1</v>
      </c>
      <c r="W50" t="b">
        <f t="shared" si="37"/>
        <v>1</v>
      </c>
      <c r="X50" t="b">
        <f t="shared" si="38"/>
        <v>1</v>
      </c>
      <c r="Y50" t="b">
        <f t="shared" si="39"/>
        <v>1</v>
      </c>
      <c r="Z50" t="b">
        <f t="shared" si="40"/>
        <v>1</v>
      </c>
      <c r="AA50" t="b">
        <f t="shared" si="41"/>
        <v>1</v>
      </c>
      <c r="AB50" t="b">
        <f t="shared" si="42"/>
        <v>1</v>
      </c>
      <c r="AC50" t="b">
        <f t="shared" si="43"/>
        <v>1</v>
      </c>
      <c r="AD50" t="b">
        <f t="shared" si="44"/>
        <v>1</v>
      </c>
      <c r="AE50" t="b">
        <f t="shared" si="45"/>
        <v>1</v>
      </c>
      <c r="AF50" t="b">
        <f t="shared" si="46"/>
        <v>1</v>
      </c>
      <c r="AG50" t="b">
        <f t="shared" si="47"/>
        <v>1</v>
      </c>
    </row>
    <row r="51" spans="1:34">
      <c r="A51" s="3" t="s">
        <v>253</v>
      </c>
      <c r="B51" s="27" t="s">
        <v>192</v>
      </c>
      <c r="C51" s="27" t="s">
        <v>192</v>
      </c>
      <c r="D51" s="27" t="s">
        <v>192</v>
      </c>
      <c r="F51" s="6" t="s">
        <v>193</v>
      </c>
      <c r="H51" t="b">
        <f t="shared" si="24"/>
        <v>1</v>
      </c>
      <c r="I51" t="b">
        <f t="shared" si="25"/>
        <v>1</v>
      </c>
      <c r="J51" t="b">
        <f t="shared" si="26"/>
        <v>1</v>
      </c>
      <c r="K51" t="b">
        <f t="shared" si="27"/>
        <v>1</v>
      </c>
      <c r="L51" t="b">
        <f t="shared" si="28"/>
        <v>0</v>
      </c>
      <c r="M51" t="b">
        <f t="shared" si="29"/>
        <v>1</v>
      </c>
      <c r="N51" t="b">
        <f t="shared" si="30"/>
        <v>1</v>
      </c>
      <c r="O51" t="b">
        <f t="shared" si="31"/>
        <v>1</v>
      </c>
      <c r="P51" t="b">
        <f t="shared" si="32"/>
        <v>0</v>
      </c>
      <c r="Q51" t="b">
        <f t="shared" si="33"/>
        <v>1</v>
      </c>
      <c r="R51" t="b">
        <f t="shared" si="34"/>
        <v>0</v>
      </c>
      <c r="S51" t="b">
        <f t="shared" si="35"/>
        <v>1</v>
      </c>
      <c r="V51" t="b">
        <f t="shared" si="36"/>
        <v>1</v>
      </c>
      <c r="W51" t="b">
        <f t="shared" si="37"/>
        <v>1</v>
      </c>
      <c r="X51" t="b">
        <f t="shared" si="38"/>
        <v>1</v>
      </c>
      <c r="Y51" t="b">
        <f t="shared" si="39"/>
        <v>1</v>
      </c>
      <c r="Z51" t="b">
        <f t="shared" si="40"/>
        <v>0</v>
      </c>
      <c r="AA51" t="b">
        <f t="shared" si="41"/>
        <v>1</v>
      </c>
      <c r="AB51" t="b">
        <f t="shared" si="42"/>
        <v>1</v>
      </c>
      <c r="AC51" t="b">
        <f t="shared" si="43"/>
        <v>1</v>
      </c>
      <c r="AD51" t="b">
        <f t="shared" si="44"/>
        <v>0</v>
      </c>
      <c r="AE51" t="b">
        <f t="shared" si="45"/>
        <v>1</v>
      </c>
      <c r="AF51" t="b">
        <f t="shared" si="46"/>
        <v>0</v>
      </c>
      <c r="AG51" t="b">
        <f t="shared" si="47"/>
        <v>1</v>
      </c>
    </row>
    <row r="52" spans="1:34">
      <c r="A52" s="3" t="s">
        <v>254</v>
      </c>
      <c r="B52" s="27" t="s">
        <v>220</v>
      </c>
      <c r="C52" s="27" t="s">
        <v>220</v>
      </c>
      <c r="F52" s="6" t="s">
        <v>193</v>
      </c>
      <c r="H52" t="b">
        <f t="shared" si="24"/>
        <v>1</v>
      </c>
      <c r="I52" t="b">
        <f t="shared" si="25"/>
        <v>1</v>
      </c>
      <c r="J52" t="b">
        <f t="shared" si="26"/>
        <v>0</v>
      </c>
      <c r="K52" t="b">
        <f t="shared" si="27"/>
        <v>1</v>
      </c>
      <c r="L52" t="b">
        <f t="shared" si="28"/>
        <v>0</v>
      </c>
      <c r="M52" t="b">
        <f t="shared" si="29"/>
        <v>1</v>
      </c>
      <c r="N52" t="b">
        <f t="shared" si="30"/>
        <v>0</v>
      </c>
      <c r="O52" t="b">
        <f t="shared" si="31"/>
        <v>1</v>
      </c>
      <c r="P52" t="b">
        <f t="shared" si="32"/>
        <v>0</v>
      </c>
      <c r="Q52" t="b">
        <f t="shared" si="33"/>
        <v>1</v>
      </c>
      <c r="R52" t="b">
        <f t="shared" si="34"/>
        <v>0</v>
      </c>
      <c r="S52" t="b">
        <f t="shared" si="35"/>
        <v>0</v>
      </c>
      <c r="V52" t="b">
        <f t="shared" si="36"/>
        <v>1</v>
      </c>
      <c r="W52" t="b">
        <f t="shared" si="37"/>
        <v>1</v>
      </c>
      <c r="X52" t="b">
        <f t="shared" si="38"/>
        <v>0</v>
      </c>
      <c r="Y52" t="b">
        <f t="shared" si="39"/>
        <v>1</v>
      </c>
      <c r="Z52" t="b">
        <f t="shared" si="40"/>
        <v>0</v>
      </c>
      <c r="AA52" t="b">
        <f t="shared" si="41"/>
        <v>1</v>
      </c>
      <c r="AB52" t="b">
        <f t="shared" si="42"/>
        <v>0</v>
      </c>
      <c r="AC52" t="b">
        <f t="shared" si="43"/>
        <v>1</v>
      </c>
      <c r="AD52" t="b">
        <f t="shared" si="44"/>
        <v>0</v>
      </c>
      <c r="AE52" t="b">
        <f t="shared" si="45"/>
        <v>1</v>
      </c>
      <c r="AF52" t="b">
        <f t="shared" si="46"/>
        <v>0</v>
      </c>
      <c r="AG52" t="b">
        <f t="shared" si="47"/>
        <v>0</v>
      </c>
    </row>
    <row r="53" spans="1:34">
      <c r="A53" s="3" t="s">
        <v>300</v>
      </c>
      <c r="B53" s="27" t="s">
        <v>192</v>
      </c>
      <c r="F53" s="6" t="s">
        <v>193</v>
      </c>
      <c r="H53" t="b">
        <f t="shared" si="24"/>
        <v>0</v>
      </c>
      <c r="I53" t="b">
        <f t="shared" si="25"/>
        <v>1</v>
      </c>
      <c r="J53" t="b">
        <f t="shared" si="26"/>
        <v>0</v>
      </c>
      <c r="K53" t="b">
        <f t="shared" si="27"/>
        <v>1</v>
      </c>
      <c r="L53" t="b">
        <f t="shared" si="28"/>
        <v>0</v>
      </c>
      <c r="M53" t="b">
        <f t="shared" si="29"/>
        <v>1</v>
      </c>
      <c r="N53" t="b">
        <f t="shared" si="30"/>
        <v>0</v>
      </c>
      <c r="O53" t="b">
        <f t="shared" si="31"/>
        <v>0</v>
      </c>
      <c r="P53" t="b">
        <f t="shared" si="32"/>
        <v>0</v>
      </c>
      <c r="Q53" t="b">
        <f t="shared" si="33"/>
        <v>0</v>
      </c>
      <c r="R53" t="b">
        <f t="shared" si="34"/>
        <v>0</v>
      </c>
      <c r="S53" t="b">
        <f t="shared" si="35"/>
        <v>0</v>
      </c>
      <c r="V53" t="b">
        <f t="shared" si="36"/>
        <v>0</v>
      </c>
      <c r="W53" t="b">
        <f t="shared" si="37"/>
        <v>1</v>
      </c>
      <c r="X53" t="b">
        <f t="shared" si="38"/>
        <v>0</v>
      </c>
      <c r="Y53" t="b">
        <f t="shared" si="39"/>
        <v>1</v>
      </c>
      <c r="Z53" t="b">
        <f t="shared" si="40"/>
        <v>0</v>
      </c>
      <c r="AA53" t="b">
        <f t="shared" si="41"/>
        <v>1</v>
      </c>
      <c r="AB53" t="b">
        <f t="shared" si="42"/>
        <v>0</v>
      </c>
      <c r="AC53" t="b">
        <f t="shared" si="43"/>
        <v>0</v>
      </c>
      <c r="AD53" t="b">
        <f t="shared" si="44"/>
        <v>0</v>
      </c>
      <c r="AE53" t="b">
        <f t="shared" si="45"/>
        <v>0</v>
      </c>
      <c r="AF53" t="b">
        <f t="shared" si="46"/>
        <v>0</v>
      </c>
      <c r="AG53" t="b">
        <f t="shared" si="47"/>
        <v>0</v>
      </c>
    </row>
    <row r="54" spans="1:34">
      <c r="A54" s="3" t="s">
        <v>405</v>
      </c>
      <c r="B54" s="27" t="s">
        <v>192</v>
      </c>
      <c r="F54" s="6" t="s">
        <v>193</v>
      </c>
      <c r="H54" t="b">
        <f t="shared" si="24"/>
        <v>0</v>
      </c>
      <c r="I54" t="b">
        <f t="shared" si="25"/>
        <v>1</v>
      </c>
      <c r="J54" t="b">
        <f t="shared" si="26"/>
        <v>0</v>
      </c>
      <c r="K54" t="b">
        <f t="shared" si="27"/>
        <v>1</v>
      </c>
      <c r="L54" t="b">
        <f t="shared" si="28"/>
        <v>0</v>
      </c>
      <c r="M54" t="b">
        <f t="shared" si="29"/>
        <v>1</v>
      </c>
      <c r="N54" t="b">
        <f t="shared" si="30"/>
        <v>0</v>
      </c>
      <c r="O54" t="b">
        <f t="shared" si="31"/>
        <v>0</v>
      </c>
      <c r="P54" t="b">
        <f t="shared" si="32"/>
        <v>0</v>
      </c>
      <c r="Q54" t="b">
        <f t="shared" si="33"/>
        <v>0</v>
      </c>
      <c r="R54" t="b">
        <f t="shared" si="34"/>
        <v>0</v>
      </c>
      <c r="S54" t="b">
        <f t="shared" si="35"/>
        <v>0</v>
      </c>
      <c r="V54" t="b">
        <f t="shared" si="36"/>
        <v>0</v>
      </c>
      <c r="W54" t="b">
        <f t="shared" si="37"/>
        <v>1</v>
      </c>
      <c r="X54" t="b">
        <f t="shared" si="38"/>
        <v>0</v>
      </c>
      <c r="Y54" t="b">
        <f t="shared" si="39"/>
        <v>1</v>
      </c>
      <c r="Z54" t="b">
        <f t="shared" si="40"/>
        <v>0</v>
      </c>
      <c r="AA54" t="b">
        <f t="shared" si="41"/>
        <v>1</v>
      </c>
      <c r="AB54" t="b">
        <f t="shared" si="42"/>
        <v>0</v>
      </c>
      <c r="AC54" t="b">
        <f t="shared" si="43"/>
        <v>0</v>
      </c>
      <c r="AD54" t="b">
        <f t="shared" si="44"/>
        <v>0</v>
      </c>
      <c r="AE54" t="b">
        <f t="shared" si="45"/>
        <v>0</v>
      </c>
      <c r="AF54" t="b">
        <f t="shared" si="46"/>
        <v>0</v>
      </c>
      <c r="AG54" t="b">
        <f t="shared" si="47"/>
        <v>0</v>
      </c>
    </row>
    <row r="55" spans="1:34">
      <c r="A55" s="3" t="s">
        <v>406</v>
      </c>
      <c r="B55" s="27" t="s">
        <v>192</v>
      </c>
      <c r="F55" s="6" t="s">
        <v>193</v>
      </c>
      <c r="H55" t="b">
        <f t="shared" si="24"/>
        <v>0</v>
      </c>
      <c r="I55" t="b">
        <f t="shared" si="25"/>
        <v>1</v>
      </c>
      <c r="J55" t="b">
        <f t="shared" si="26"/>
        <v>0</v>
      </c>
      <c r="K55" t="b">
        <f t="shared" si="27"/>
        <v>1</v>
      </c>
      <c r="L55" t="b">
        <f t="shared" si="28"/>
        <v>0</v>
      </c>
      <c r="M55" t="b">
        <f t="shared" si="29"/>
        <v>1</v>
      </c>
      <c r="N55" t="b">
        <f t="shared" si="30"/>
        <v>0</v>
      </c>
      <c r="O55" t="b">
        <f t="shared" si="31"/>
        <v>0</v>
      </c>
      <c r="P55" t="b">
        <f t="shared" si="32"/>
        <v>0</v>
      </c>
      <c r="Q55" t="b">
        <f t="shared" si="33"/>
        <v>0</v>
      </c>
      <c r="R55" t="b">
        <f t="shared" si="34"/>
        <v>0</v>
      </c>
      <c r="S55" t="b">
        <f t="shared" si="35"/>
        <v>0</v>
      </c>
      <c r="V55" t="b">
        <f t="shared" si="36"/>
        <v>0</v>
      </c>
      <c r="W55" t="b">
        <f t="shared" si="37"/>
        <v>1</v>
      </c>
      <c r="X55" t="b">
        <f t="shared" si="38"/>
        <v>0</v>
      </c>
      <c r="Y55" t="b">
        <f t="shared" si="39"/>
        <v>1</v>
      </c>
      <c r="Z55" t="b">
        <f t="shared" si="40"/>
        <v>0</v>
      </c>
      <c r="AA55" t="b">
        <f t="shared" si="41"/>
        <v>1</v>
      </c>
      <c r="AB55" t="b">
        <f t="shared" si="42"/>
        <v>0</v>
      </c>
      <c r="AC55" t="b">
        <f t="shared" si="43"/>
        <v>0</v>
      </c>
      <c r="AD55" t="b">
        <f t="shared" si="44"/>
        <v>0</v>
      </c>
      <c r="AE55" t="b">
        <f t="shared" si="45"/>
        <v>0</v>
      </c>
      <c r="AF55" t="b">
        <f t="shared" si="46"/>
        <v>0</v>
      </c>
      <c r="AG55" t="b">
        <f t="shared" si="47"/>
        <v>0</v>
      </c>
    </row>
    <row r="56" spans="1:34" ht="15">
      <c r="A56" s="3"/>
      <c r="F56" s="6"/>
    </row>
    <row r="57" spans="1:34">
      <c r="A57" s="47" t="s">
        <v>261</v>
      </c>
      <c r="B57" s="47"/>
      <c r="C57" s="47"/>
      <c r="D57" s="47"/>
      <c r="E57" s="47"/>
      <c r="F57" s="47"/>
      <c r="G57" s="47"/>
      <c r="H57">
        <f>COUNTIF(H2:H55,TRUE())</f>
        <v>17</v>
      </c>
      <c r="I57">
        <f>COUNTIF(I2:I55,TRUE())</f>
        <v>42</v>
      </c>
      <c r="J57">
        <f>COUNTIF(J2:J55,TRUE())</f>
        <v>17</v>
      </c>
      <c r="K57">
        <f>COUNTIF(K2:K55,TRUE())</f>
        <v>37</v>
      </c>
      <c r="L57">
        <f>COUNTIF(L2:L55,TRUE())</f>
        <v>15</v>
      </c>
      <c r="M57">
        <f>COUNTIF(M2:M55,TRUE())</f>
        <v>37</v>
      </c>
      <c r="N57">
        <f>COUNTIF(N2:N55,TRUE())</f>
        <v>16</v>
      </c>
      <c r="O57">
        <f>COUNTIF(O2:O55,TRUE())</f>
        <v>39</v>
      </c>
      <c r="P57">
        <f>COUNTIF(P2:P55,TRUE())</f>
        <v>14</v>
      </c>
      <c r="Q57">
        <f>COUNTIF(Q2:Q55,TRUE())</f>
        <v>39</v>
      </c>
      <c r="R57">
        <f>COUNTIF(R2:R55,TRUE())</f>
        <v>13</v>
      </c>
      <c r="S57">
        <f>COUNTIF(S2:S55,TRUE())</f>
        <v>35</v>
      </c>
      <c r="T57" s="16" t="s">
        <v>262</v>
      </c>
      <c r="V57">
        <f>COUNTIF(V2:V55,TRUE())</f>
        <v>15</v>
      </c>
      <c r="W57">
        <f>COUNTIF(W2:W55,TRUE())</f>
        <v>23</v>
      </c>
      <c r="X57">
        <f>COUNTIF(X2:X55,TRUE())</f>
        <v>14</v>
      </c>
      <c r="Y57">
        <f>COUNTIF(Y2:Y55,TRUE())</f>
        <v>24</v>
      </c>
      <c r="Z57">
        <f>COUNTIF(Z2:Z55,TRUE())</f>
        <v>15</v>
      </c>
      <c r="AA57">
        <f>COUNTIF(AA2:AA55,TRUE())</f>
        <v>25</v>
      </c>
      <c r="AB57">
        <f>COUNTIF(AB2:AB55,TRUE())</f>
        <v>13</v>
      </c>
      <c r="AC57">
        <f>COUNTIF(AC2:AC55,TRUE())</f>
        <v>17</v>
      </c>
      <c r="AD57">
        <f>COUNTIF(AD2:AD55,TRUE())</f>
        <v>12</v>
      </c>
      <c r="AE57">
        <f>COUNTIF(AE2:AE55,TRUE())</f>
        <v>20</v>
      </c>
      <c r="AF57">
        <f>COUNTIF(AF2:AF55,TRUE())</f>
        <v>13</v>
      </c>
      <c r="AG57">
        <f>COUNTIF(AG2:AG55,TRUE())</f>
        <v>19</v>
      </c>
      <c r="AH57" s="16" t="s">
        <v>262</v>
      </c>
    </row>
    <row r="58" spans="1:34">
      <c r="G58" s="6" t="s">
        <v>132</v>
      </c>
      <c r="H58" s="55">
        <f>H57/I57</f>
        <v>0.40476190476190477</v>
      </c>
      <c r="I58" s="55"/>
      <c r="J58" s="55">
        <f>J57/K57</f>
        <v>0.45945945945945948</v>
      </c>
      <c r="K58" s="55"/>
      <c r="L58" s="55">
        <f>L57/M57</f>
        <v>0.40540540540540543</v>
      </c>
      <c r="M58" s="55"/>
      <c r="N58" s="55">
        <f>N57/O57</f>
        <v>0.41025641025641024</v>
      </c>
      <c r="O58" s="55"/>
      <c r="P58" s="55">
        <f>P57/Q57</f>
        <v>0.35897435897435898</v>
      </c>
      <c r="Q58" s="55"/>
      <c r="R58" s="55">
        <f>R57/S57</f>
        <v>0.37142857142857144</v>
      </c>
      <c r="S58" s="55"/>
      <c r="T58" s="24">
        <f>AVERAGE(H58:S58)</f>
        <v>0.40171435171435177</v>
      </c>
      <c r="U58" s="6" t="s">
        <v>132</v>
      </c>
      <c r="V58" s="55">
        <f>V57/W57</f>
        <v>0.65217391304347827</v>
      </c>
      <c r="W58" s="55"/>
      <c r="X58" s="55">
        <f>X57/Y57</f>
        <v>0.58333333333333337</v>
      </c>
      <c r="Y58" s="55"/>
      <c r="Z58" s="55">
        <f>Z57/AA57</f>
        <v>0.6</v>
      </c>
      <c r="AA58" s="55"/>
      <c r="AB58" s="55">
        <f>AB57/AC57</f>
        <v>0.76470588235294112</v>
      </c>
      <c r="AC58" s="55"/>
      <c r="AD58" s="55">
        <f>AD57/AE57</f>
        <v>0.6</v>
      </c>
      <c r="AE58" s="55"/>
      <c r="AF58" s="55">
        <f>AF57/AG57</f>
        <v>0.68421052631578949</v>
      </c>
      <c r="AG58" s="55"/>
      <c r="AH58" s="24">
        <f>AVERAGE(V58:AG58)</f>
        <v>0.64740394250759037</v>
      </c>
    </row>
    <row r="59" spans="1:34">
      <c r="T59" s="24">
        <f>GEOMEAN(H58:S58)</f>
        <v>0.40045625284099484</v>
      </c>
      <c r="AH59" s="24">
        <f>GEOMEAN(V58:AG58)</f>
        <v>0.64448253087371599</v>
      </c>
    </row>
    <row r="1048554" ht="15"/>
  </sheetData>
  <autoFilter ref="A1:F55" xr:uid="{00000000-0001-0000-0600-000000000000}"/>
  <mergeCells count="13">
    <mergeCell ref="A57:G57"/>
    <mergeCell ref="H58:I58"/>
    <mergeCell ref="J58:K58"/>
    <mergeCell ref="L58:M58"/>
    <mergeCell ref="N58:O58"/>
    <mergeCell ref="AB58:AC58"/>
    <mergeCell ref="AD58:AE58"/>
    <mergeCell ref="AF58:AG58"/>
    <mergeCell ref="P58:Q58"/>
    <mergeCell ref="R58:S58"/>
    <mergeCell ref="V58:W58"/>
    <mergeCell ref="X58:Y58"/>
    <mergeCell ref="Z58:AA58"/>
  </mergeCells>
  <conditionalFormatting sqref="F2:F56">
    <cfRule type="containsText" dxfId="262" priority="2" operator="containsText" text="No">
      <formula>NOT(ISERROR(SEARCH("No",F2)))</formula>
    </cfRule>
    <cfRule type="containsText" dxfId="261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48551"/>
  <sheetViews>
    <sheetView zoomScale="85" zoomScaleNormal="85" workbookViewId="0"/>
  </sheetViews>
  <sheetFormatPr defaultColWidth="8.7109375" defaultRowHeight="14.45"/>
  <cols>
    <col min="1" max="1" width="18" customWidth="1"/>
    <col min="2" max="5" width="9.140625" style="27" customWidth="1"/>
    <col min="6" max="6" width="9.140625" customWidth="1"/>
    <col min="7" max="7" width="11.7109375" customWidth="1"/>
    <col min="8" max="34" width="12.7109375" customWidth="1"/>
  </cols>
  <sheetData>
    <row r="1" spans="1:33">
      <c r="A1" t="s">
        <v>173</v>
      </c>
      <c r="B1" s="27" t="s">
        <v>407</v>
      </c>
      <c r="C1" s="27" t="s">
        <v>408</v>
      </c>
      <c r="D1" s="27" t="s">
        <v>409</v>
      </c>
      <c r="E1" s="27" t="s">
        <v>410</v>
      </c>
      <c r="F1" t="s">
        <v>178</v>
      </c>
      <c r="H1" t="s">
        <v>411</v>
      </c>
      <c r="I1" t="s">
        <v>412</v>
      </c>
      <c r="J1" t="s">
        <v>413</v>
      </c>
      <c r="K1" t="s">
        <v>414</v>
      </c>
      <c r="L1" t="s">
        <v>415</v>
      </c>
      <c r="M1" t="s">
        <v>416</v>
      </c>
      <c r="N1" t="s">
        <v>417</v>
      </c>
      <c r="O1" t="s">
        <v>418</v>
      </c>
      <c r="P1" t="s">
        <v>419</v>
      </c>
      <c r="Q1" t="s">
        <v>420</v>
      </c>
      <c r="R1" t="s">
        <v>421</v>
      </c>
      <c r="S1" t="s">
        <v>422</v>
      </c>
      <c r="V1" t="s">
        <v>411</v>
      </c>
      <c r="W1" t="s">
        <v>412</v>
      </c>
      <c r="X1" t="s">
        <v>413</v>
      </c>
      <c r="Y1" t="s">
        <v>414</v>
      </c>
      <c r="Z1" t="s">
        <v>415</v>
      </c>
      <c r="AA1" t="s">
        <v>416</v>
      </c>
      <c r="AB1" t="s">
        <v>417</v>
      </c>
      <c r="AC1" t="s">
        <v>418</v>
      </c>
      <c r="AD1" t="s">
        <v>419</v>
      </c>
      <c r="AE1" t="s">
        <v>420</v>
      </c>
      <c r="AF1" t="s">
        <v>421</v>
      </c>
      <c r="AG1" t="s">
        <v>422</v>
      </c>
    </row>
    <row r="2" spans="1:33">
      <c r="A2" s="3" t="s">
        <v>191</v>
      </c>
      <c r="B2" s="27" t="s">
        <v>220</v>
      </c>
      <c r="C2" s="27" t="s">
        <v>192</v>
      </c>
      <c r="D2" s="27" t="s">
        <v>192</v>
      </c>
      <c r="E2" s="27" t="s">
        <v>192</v>
      </c>
      <c r="F2" s="6" t="s">
        <v>193</v>
      </c>
      <c r="H2" t="b">
        <f t="shared" ref="H2:H34" si="0">AND(B2&lt;&gt;"",C2&lt;&gt;"")</f>
        <v>1</v>
      </c>
      <c r="I2" t="b">
        <f t="shared" ref="I2:I34" si="1">OR(B2&lt;&gt;"",C2&lt;&gt;"")</f>
        <v>1</v>
      </c>
      <c r="J2" t="b">
        <f t="shared" ref="J2:J34" si="2">AND(B2&lt;&gt;"",D2&lt;&gt;"")</f>
        <v>1</v>
      </c>
      <c r="K2" t="b">
        <f t="shared" ref="K2:K34" si="3">OR(B2&lt;&gt;"",D2&lt;&gt;"")</f>
        <v>1</v>
      </c>
      <c r="L2" t="b">
        <f t="shared" ref="L2:L34" si="4">AND(B2&lt;&gt;"",E2&lt;&gt;"")</f>
        <v>1</v>
      </c>
      <c r="M2" t="b">
        <f t="shared" ref="M2:M34" si="5">OR(B2&lt;&gt;"",E2&lt;&gt;"")</f>
        <v>1</v>
      </c>
      <c r="N2" t="b">
        <f t="shared" ref="N2:N34" si="6">AND(C2&lt;&gt;"",D2&lt;&gt;"")</f>
        <v>1</v>
      </c>
      <c r="O2" t="b">
        <f t="shared" ref="O2:O34" si="7">OR(C2&lt;&gt;"",D2&lt;&gt;"")</f>
        <v>1</v>
      </c>
      <c r="P2" t="b">
        <f t="shared" ref="P2:P34" si="8">AND(C2&lt;&gt;"",E2&lt;&gt;"")</f>
        <v>1</v>
      </c>
      <c r="Q2" t="b">
        <f t="shared" ref="Q2:Q34" si="9">OR(C2&lt;&gt;"",E2&lt;&gt;"")</f>
        <v>1</v>
      </c>
      <c r="R2" t="b">
        <f t="shared" ref="R2:R34" si="10">AND(D2&lt;&gt;"",E2&lt;&gt;"")</f>
        <v>1</v>
      </c>
      <c r="S2" t="b">
        <f t="shared" ref="S2:S34" si="11">OR(D2&lt;&gt;"",E2&lt;&gt;"")</f>
        <v>1</v>
      </c>
      <c r="V2" t="b">
        <f t="shared" ref="V2:V34" si="12">AND(B2&lt;&gt;"",C2&lt;&gt;"",F2="No")</f>
        <v>1</v>
      </c>
      <c r="W2" t="b">
        <f t="shared" ref="W2:W34" si="13">AND(OR(B2&lt;&gt;"",C2&lt;&gt;""),F2="No")</f>
        <v>1</v>
      </c>
      <c r="X2" t="b">
        <f t="shared" ref="X2:X34" si="14">AND(B2&lt;&gt;"",D2&lt;&gt;"",F2="No")</f>
        <v>1</v>
      </c>
      <c r="Y2" t="b">
        <f t="shared" ref="Y2:Y34" si="15">AND(OR(B2&lt;&gt;"",D2&lt;&gt;""),F2="No")</f>
        <v>1</v>
      </c>
      <c r="Z2" t="b">
        <f t="shared" ref="Z2:Z34" si="16">AND(B2&lt;&gt;"",E2&lt;&gt;"",F2="No")</f>
        <v>1</v>
      </c>
      <c r="AA2" t="b">
        <f t="shared" ref="AA2:AA34" si="17">AND(OR(B2&lt;&gt;"",E2&lt;&gt;""),F2="No")</f>
        <v>1</v>
      </c>
      <c r="AB2" t="b">
        <f t="shared" ref="AB2:AB34" si="18">AND(C2&lt;&gt;"",D2&lt;&gt;"",F2="No")</f>
        <v>1</v>
      </c>
      <c r="AC2" t="b">
        <f t="shared" ref="AC2:AC34" si="19">AND(OR(C2&lt;&gt;"",D2&lt;&gt;""),F2="No")</f>
        <v>1</v>
      </c>
      <c r="AD2" t="b">
        <f t="shared" ref="AD2:AD34" si="20">AND(C2&lt;&gt;"",E2&lt;&gt;"",F2="No")</f>
        <v>1</v>
      </c>
      <c r="AE2" t="b">
        <f t="shared" ref="AE2:AE34" si="21">AND(OR(C2&lt;&gt;"",E2&lt;&gt;""),F2="No")</f>
        <v>1</v>
      </c>
      <c r="AF2" t="b">
        <f t="shared" ref="AF2:AF34" si="22">AND(D2&lt;&gt;"",E2&lt;&gt;"",F2="No")</f>
        <v>1</v>
      </c>
      <c r="AG2" t="b">
        <f t="shared" ref="AG2:AG34" si="23">AND(OR(D2&lt;&gt;"",E2&lt;&gt;""),F2="No")</f>
        <v>1</v>
      </c>
    </row>
    <row r="3" spans="1:33">
      <c r="A3" s="3" t="s">
        <v>199</v>
      </c>
      <c r="B3" s="27" t="s">
        <v>220</v>
      </c>
      <c r="C3" s="27" t="s">
        <v>192</v>
      </c>
      <c r="D3" s="27" t="s">
        <v>192</v>
      </c>
      <c r="E3" s="27" t="s">
        <v>220</v>
      </c>
      <c r="F3" s="6" t="s">
        <v>193</v>
      </c>
      <c r="H3" t="b">
        <f t="shared" ref="H3:H41" si="24">AND(B3&lt;&gt;"",C3&lt;&gt;"")</f>
        <v>1</v>
      </c>
      <c r="I3" t="b">
        <f t="shared" ref="I3:I41" si="25">OR(B3&lt;&gt;"",C3&lt;&gt;"")</f>
        <v>1</v>
      </c>
      <c r="J3" t="b">
        <f t="shared" ref="J3:J41" si="26">AND(B3&lt;&gt;"",D3&lt;&gt;"")</f>
        <v>1</v>
      </c>
      <c r="K3" t="b">
        <f t="shared" ref="K3:K41" si="27">OR(B3&lt;&gt;"",D3&lt;&gt;"")</f>
        <v>1</v>
      </c>
      <c r="L3" t="b">
        <f t="shared" ref="L3:L41" si="28">AND(B3&lt;&gt;"",E3&lt;&gt;"")</f>
        <v>1</v>
      </c>
      <c r="M3" t="b">
        <f t="shared" ref="M3:M41" si="29">OR(B3&lt;&gt;"",E3&lt;&gt;"")</f>
        <v>1</v>
      </c>
      <c r="N3" t="b">
        <f t="shared" ref="N3:N41" si="30">AND(C3&lt;&gt;"",D3&lt;&gt;"")</f>
        <v>1</v>
      </c>
      <c r="O3" t="b">
        <f t="shared" ref="O3:O41" si="31">OR(C3&lt;&gt;"",D3&lt;&gt;"")</f>
        <v>1</v>
      </c>
      <c r="P3" t="b">
        <f t="shared" ref="P3:P41" si="32">AND(C3&lt;&gt;"",E3&lt;&gt;"")</f>
        <v>1</v>
      </c>
      <c r="Q3" t="b">
        <f t="shared" ref="Q3:Q41" si="33">OR(C3&lt;&gt;"",E3&lt;&gt;"")</f>
        <v>1</v>
      </c>
      <c r="R3" t="b">
        <f t="shared" ref="R3:R41" si="34">AND(D3&lt;&gt;"",E3&lt;&gt;"")</f>
        <v>1</v>
      </c>
      <c r="S3" t="b">
        <f t="shared" ref="S3:S41" si="35">OR(D3&lt;&gt;"",E3&lt;&gt;"")</f>
        <v>1</v>
      </c>
      <c r="V3" t="b">
        <f t="shared" ref="V3:V41" si="36">AND(B3&lt;&gt;"",C3&lt;&gt;"",F3="No")</f>
        <v>1</v>
      </c>
      <c r="W3" t="b">
        <f t="shared" ref="W3:W41" si="37">AND(OR(B3&lt;&gt;"",C3&lt;&gt;""),F3="No")</f>
        <v>1</v>
      </c>
      <c r="X3" t="b">
        <f t="shared" ref="X3:X41" si="38">AND(B3&lt;&gt;"",D3&lt;&gt;"",F3="No")</f>
        <v>1</v>
      </c>
      <c r="Y3" t="b">
        <f t="shared" ref="Y3:Y41" si="39">AND(OR(B3&lt;&gt;"",D3&lt;&gt;""),F3="No")</f>
        <v>1</v>
      </c>
      <c r="Z3" t="b">
        <f t="shared" ref="Z3:Z41" si="40">AND(B3&lt;&gt;"",E3&lt;&gt;"",F3="No")</f>
        <v>1</v>
      </c>
      <c r="AA3" t="b">
        <f t="shared" ref="AA3:AA41" si="41">AND(OR(B3&lt;&gt;"",E3&lt;&gt;""),F3="No")</f>
        <v>1</v>
      </c>
      <c r="AB3" t="b">
        <f t="shared" ref="AB3:AB41" si="42">AND(C3&lt;&gt;"",D3&lt;&gt;"",F3="No")</f>
        <v>1</v>
      </c>
      <c r="AC3" t="b">
        <f t="shared" ref="AC3:AC41" si="43">AND(OR(C3&lt;&gt;"",D3&lt;&gt;""),F3="No")</f>
        <v>1</v>
      </c>
      <c r="AD3" t="b">
        <f t="shared" ref="AD3:AD41" si="44">AND(C3&lt;&gt;"",E3&lt;&gt;"",F3="No")</f>
        <v>1</v>
      </c>
      <c r="AE3" t="b">
        <f t="shared" ref="AE3:AE41" si="45">AND(OR(C3&lt;&gt;"",E3&lt;&gt;""),F3="No")</f>
        <v>1</v>
      </c>
      <c r="AF3" t="b">
        <f t="shared" ref="AF3:AF41" si="46">AND(D3&lt;&gt;"",E3&lt;&gt;"",F3="No")</f>
        <v>1</v>
      </c>
      <c r="AG3" t="b">
        <f t="shared" ref="AG3:AG41" si="47">AND(OR(D3&lt;&gt;"",E3&lt;&gt;""),F3="No")</f>
        <v>1</v>
      </c>
    </row>
    <row r="4" spans="1:33">
      <c r="A4" t="s">
        <v>423</v>
      </c>
      <c r="B4" s="27" t="s">
        <v>192</v>
      </c>
      <c r="F4" s="6" t="s">
        <v>196</v>
      </c>
      <c r="H4" t="b">
        <f t="shared" si="24"/>
        <v>0</v>
      </c>
      <c r="I4" t="b">
        <f t="shared" si="25"/>
        <v>1</v>
      </c>
      <c r="J4" t="b">
        <f t="shared" si="26"/>
        <v>0</v>
      </c>
      <c r="K4" t="b">
        <f t="shared" si="27"/>
        <v>1</v>
      </c>
      <c r="L4" t="b">
        <f t="shared" si="28"/>
        <v>0</v>
      </c>
      <c r="M4" t="b">
        <f t="shared" si="29"/>
        <v>1</v>
      </c>
      <c r="N4" t="b">
        <f t="shared" si="30"/>
        <v>0</v>
      </c>
      <c r="O4" t="b">
        <f t="shared" si="31"/>
        <v>0</v>
      </c>
      <c r="P4" t="b">
        <f t="shared" si="32"/>
        <v>0</v>
      </c>
      <c r="Q4" t="b">
        <f t="shared" si="33"/>
        <v>0</v>
      </c>
      <c r="R4" t="b">
        <f t="shared" si="34"/>
        <v>0</v>
      </c>
      <c r="S4" t="b">
        <f t="shared" si="35"/>
        <v>0</v>
      </c>
      <c r="V4" t="b">
        <f t="shared" si="36"/>
        <v>0</v>
      </c>
      <c r="W4" t="b">
        <f t="shared" si="37"/>
        <v>0</v>
      </c>
      <c r="X4" t="b">
        <f t="shared" si="38"/>
        <v>0</v>
      </c>
      <c r="Y4" t="b">
        <f t="shared" si="39"/>
        <v>0</v>
      </c>
      <c r="Z4" t="b">
        <f t="shared" si="40"/>
        <v>0</v>
      </c>
      <c r="AA4" t="b">
        <f t="shared" si="41"/>
        <v>0</v>
      </c>
      <c r="AB4" t="b">
        <f t="shared" si="42"/>
        <v>0</v>
      </c>
      <c r="AC4" t="b">
        <f t="shared" si="43"/>
        <v>0</v>
      </c>
      <c r="AD4" t="b">
        <f t="shared" si="44"/>
        <v>0</v>
      </c>
      <c r="AE4" t="b">
        <f t="shared" si="45"/>
        <v>0</v>
      </c>
      <c r="AF4" t="b">
        <f t="shared" si="46"/>
        <v>0</v>
      </c>
      <c r="AG4" t="b">
        <f t="shared" si="47"/>
        <v>0</v>
      </c>
    </row>
    <row r="5" spans="1:33">
      <c r="A5" t="s">
        <v>424</v>
      </c>
      <c r="D5" s="27" t="s">
        <v>192</v>
      </c>
      <c r="F5" s="6" t="s">
        <v>196</v>
      </c>
      <c r="H5" t="b">
        <f t="shared" si="24"/>
        <v>0</v>
      </c>
      <c r="I5" t="b">
        <f t="shared" si="25"/>
        <v>0</v>
      </c>
      <c r="J5" t="b">
        <f t="shared" si="26"/>
        <v>0</v>
      </c>
      <c r="K5" t="b">
        <f t="shared" si="27"/>
        <v>1</v>
      </c>
      <c r="L5" t="b">
        <f t="shared" si="28"/>
        <v>0</v>
      </c>
      <c r="M5" t="b">
        <f t="shared" si="29"/>
        <v>0</v>
      </c>
      <c r="N5" t="b">
        <f t="shared" si="30"/>
        <v>0</v>
      </c>
      <c r="O5" t="b">
        <f t="shared" si="31"/>
        <v>1</v>
      </c>
      <c r="P5" t="b">
        <f t="shared" si="32"/>
        <v>0</v>
      </c>
      <c r="Q5" t="b">
        <f t="shared" si="33"/>
        <v>0</v>
      </c>
      <c r="R5" t="b">
        <f t="shared" si="34"/>
        <v>0</v>
      </c>
      <c r="S5" t="b">
        <f t="shared" si="35"/>
        <v>1</v>
      </c>
      <c r="V5" t="b">
        <f t="shared" si="36"/>
        <v>0</v>
      </c>
      <c r="W5" t="b">
        <f t="shared" si="37"/>
        <v>0</v>
      </c>
      <c r="X5" t="b">
        <f t="shared" si="38"/>
        <v>0</v>
      </c>
      <c r="Y5" t="b">
        <f t="shared" si="39"/>
        <v>0</v>
      </c>
      <c r="Z5" t="b">
        <f t="shared" si="40"/>
        <v>0</v>
      </c>
      <c r="AA5" t="b">
        <f t="shared" si="41"/>
        <v>0</v>
      </c>
      <c r="AB5" t="b">
        <f t="shared" si="42"/>
        <v>0</v>
      </c>
      <c r="AC5" t="b">
        <f t="shared" si="43"/>
        <v>0</v>
      </c>
      <c r="AD5" t="b">
        <f t="shared" si="44"/>
        <v>0</v>
      </c>
      <c r="AE5" t="b">
        <f t="shared" si="45"/>
        <v>0</v>
      </c>
      <c r="AF5" t="b">
        <f t="shared" si="46"/>
        <v>0</v>
      </c>
      <c r="AG5" t="b">
        <f t="shared" si="47"/>
        <v>0</v>
      </c>
    </row>
    <row r="6" spans="1:33">
      <c r="A6" s="3" t="s">
        <v>202</v>
      </c>
      <c r="B6" s="27" t="s">
        <v>192</v>
      </c>
      <c r="C6" s="27" t="s">
        <v>192</v>
      </c>
      <c r="D6" s="27" t="s">
        <v>192</v>
      </c>
      <c r="E6" s="27" t="s">
        <v>192</v>
      </c>
      <c r="F6" s="6" t="s">
        <v>193</v>
      </c>
      <c r="H6" t="b">
        <f t="shared" si="24"/>
        <v>1</v>
      </c>
      <c r="I6" t="b">
        <f t="shared" si="25"/>
        <v>1</v>
      </c>
      <c r="J6" t="b">
        <f t="shared" si="26"/>
        <v>1</v>
      </c>
      <c r="K6" t="b">
        <f t="shared" si="27"/>
        <v>1</v>
      </c>
      <c r="L6" t="b">
        <f t="shared" si="28"/>
        <v>1</v>
      </c>
      <c r="M6" t="b">
        <f t="shared" si="29"/>
        <v>1</v>
      </c>
      <c r="N6" t="b">
        <f t="shared" si="30"/>
        <v>1</v>
      </c>
      <c r="O6" t="b">
        <f t="shared" si="31"/>
        <v>1</v>
      </c>
      <c r="P6" t="b">
        <f t="shared" si="32"/>
        <v>1</v>
      </c>
      <c r="Q6" t="b">
        <f t="shared" si="33"/>
        <v>1</v>
      </c>
      <c r="R6" t="b">
        <f t="shared" si="34"/>
        <v>1</v>
      </c>
      <c r="S6" t="b">
        <f t="shared" si="35"/>
        <v>1</v>
      </c>
      <c r="V6" t="b">
        <f t="shared" si="36"/>
        <v>1</v>
      </c>
      <c r="W6" t="b">
        <f t="shared" si="37"/>
        <v>1</v>
      </c>
      <c r="X6" t="b">
        <f t="shared" si="38"/>
        <v>1</v>
      </c>
      <c r="Y6" t="b">
        <f t="shared" si="39"/>
        <v>1</v>
      </c>
      <c r="Z6" t="b">
        <f t="shared" si="40"/>
        <v>1</v>
      </c>
      <c r="AA6" t="b">
        <f t="shared" si="41"/>
        <v>1</v>
      </c>
      <c r="AB6" t="b">
        <f t="shared" si="42"/>
        <v>1</v>
      </c>
      <c r="AC6" t="b">
        <f t="shared" si="43"/>
        <v>1</v>
      </c>
      <c r="AD6" t="b">
        <f t="shared" si="44"/>
        <v>1</v>
      </c>
      <c r="AE6" t="b">
        <f t="shared" si="45"/>
        <v>1</v>
      </c>
      <c r="AF6" t="b">
        <f t="shared" si="46"/>
        <v>1</v>
      </c>
      <c r="AG6" t="b">
        <f t="shared" si="47"/>
        <v>1</v>
      </c>
    </row>
    <row r="7" spans="1:33">
      <c r="A7" s="3" t="s">
        <v>203</v>
      </c>
      <c r="B7"/>
      <c r="C7"/>
      <c r="D7"/>
      <c r="E7" s="27" t="s">
        <v>192</v>
      </c>
      <c r="F7" s="6" t="s">
        <v>193</v>
      </c>
      <c r="H7" t="b">
        <f t="shared" si="24"/>
        <v>0</v>
      </c>
      <c r="I7" t="b">
        <f t="shared" si="25"/>
        <v>0</v>
      </c>
      <c r="J7" t="b">
        <f t="shared" si="26"/>
        <v>0</v>
      </c>
      <c r="K7" t="b">
        <f t="shared" si="27"/>
        <v>0</v>
      </c>
      <c r="L7" t="b">
        <f t="shared" si="28"/>
        <v>0</v>
      </c>
      <c r="M7" t="b">
        <f t="shared" si="29"/>
        <v>1</v>
      </c>
      <c r="N7" t="b">
        <f t="shared" si="30"/>
        <v>0</v>
      </c>
      <c r="O7" t="b">
        <f t="shared" si="31"/>
        <v>0</v>
      </c>
      <c r="P7" t="b">
        <f t="shared" si="32"/>
        <v>0</v>
      </c>
      <c r="Q7" t="b">
        <f t="shared" si="33"/>
        <v>1</v>
      </c>
      <c r="R7" t="b">
        <f t="shared" si="34"/>
        <v>0</v>
      </c>
      <c r="S7" t="b">
        <f t="shared" si="35"/>
        <v>1</v>
      </c>
      <c r="V7" t="b">
        <f t="shared" si="36"/>
        <v>0</v>
      </c>
      <c r="W7" t="b">
        <f t="shared" si="37"/>
        <v>0</v>
      </c>
      <c r="X7" t="b">
        <f t="shared" si="38"/>
        <v>0</v>
      </c>
      <c r="Y7" t="b">
        <f t="shared" si="39"/>
        <v>0</v>
      </c>
      <c r="Z7" t="b">
        <f t="shared" si="40"/>
        <v>0</v>
      </c>
      <c r="AA7" t="b">
        <f t="shared" si="41"/>
        <v>1</v>
      </c>
      <c r="AB7" t="b">
        <f t="shared" si="42"/>
        <v>0</v>
      </c>
      <c r="AC7" t="b">
        <f t="shared" si="43"/>
        <v>0</v>
      </c>
      <c r="AD7" t="b">
        <f t="shared" si="44"/>
        <v>0</v>
      </c>
      <c r="AE7" t="b">
        <f t="shared" si="45"/>
        <v>1</v>
      </c>
      <c r="AF7" t="b">
        <f t="shared" si="46"/>
        <v>0</v>
      </c>
      <c r="AG7" t="b">
        <f t="shared" si="47"/>
        <v>1</v>
      </c>
    </row>
    <row r="8" spans="1:33">
      <c r="A8" s="3" t="s">
        <v>204</v>
      </c>
      <c r="B8" s="27" t="s">
        <v>192</v>
      </c>
      <c r="C8" s="27" t="s">
        <v>192</v>
      </c>
      <c r="D8"/>
      <c r="E8" s="27" t="s">
        <v>220</v>
      </c>
      <c r="F8" s="6" t="s">
        <v>193</v>
      </c>
      <c r="H8" t="b">
        <f t="shared" si="24"/>
        <v>1</v>
      </c>
      <c r="I8" t="b">
        <f t="shared" si="25"/>
        <v>1</v>
      </c>
      <c r="J8" t="b">
        <f t="shared" si="26"/>
        <v>0</v>
      </c>
      <c r="K8" t="b">
        <f t="shared" si="27"/>
        <v>1</v>
      </c>
      <c r="L8" t="b">
        <f t="shared" si="28"/>
        <v>1</v>
      </c>
      <c r="M8" t="b">
        <f t="shared" si="29"/>
        <v>1</v>
      </c>
      <c r="N8" t="b">
        <f t="shared" si="30"/>
        <v>0</v>
      </c>
      <c r="O8" t="b">
        <f t="shared" si="31"/>
        <v>1</v>
      </c>
      <c r="P8" t="b">
        <f t="shared" si="32"/>
        <v>1</v>
      </c>
      <c r="Q8" t="b">
        <f t="shared" si="33"/>
        <v>1</v>
      </c>
      <c r="R8" t="b">
        <f t="shared" si="34"/>
        <v>0</v>
      </c>
      <c r="S8" t="b">
        <f t="shared" si="35"/>
        <v>1</v>
      </c>
      <c r="V8" t="b">
        <f t="shared" si="36"/>
        <v>1</v>
      </c>
      <c r="W8" t="b">
        <f t="shared" si="37"/>
        <v>1</v>
      </c>
      <c r="X8" t="b">
        <f t="shared" si="38"/>
        <v>0</v>
      </c>
      <c r="Y8" t="b">
        <f t="shared" si="39"/>
        <v>1</v>
      </c>
      <c r="Z8" t="b">
        <f t="shared" si="40"/>
        <v>1</v>
      </c>
      <c r="AA8" t="b">
        <f t="shared" si="41"/>
        <v>1</v>
      </c>
      <c r="AB8" t="b">
        <f t="shared" si="42"/>
        <v>0</v>
      </c>
      <c r="AC8" t="b">
        <f t="shared" si="43"/>
        <v>1</v>
      </c>
      <c r="AD8" t="b">
        <f t="shared" si="44"/>
        <v>1</v>
      </c>
      <c r="AE8" t="b">
        <f t="shared" si="45"/>
        <v>1</v>
      </c>
      <c r="AF8" t="b">
        <f t="shared" si="46"/>
        <v>0</v>
      </c>
      <c r="AG8" t="b">
        <f t="shared" si="47"/>
        <v>1</v>
      </c>
    </row>
    <row r="9" spans="1:33">
      <c r="A9" s="3" t="s">
        <v>323</v>
      </c>
      <c r="B9"/>
      <c r="C9"/>
      <c r="D9" s="27" t="s">
        <v>192</v>
      </c>
      <c r="E9"/>
      <c r="F9" s="6" t="s">
        <v>193</v>
      </c>
      <c r="H9" t="b">
        <f t="shared" si="24"/>
        <v>0</v>
      </c>
      <c r="I9" t="b">
        <f t="shared" si="25"/>
        <v>0</v>
      </c>
      <c r="J9" t="b">
        <f t="shared" si="26"/>
        <v>0</v>
      </c>
      <c r="K9" t="b">
        <f t="shared" si="27"/>
        <v>1</v>
      </c>
      <c r="L9" t="b">
        <f t="shared" si="28"/>
        <v>0</v>
      </c>
      <c r="M9" t="b">
        <f t="shared" si="29"/>
        <v>0</v>
      </c>
      <c r="N9" t="b">
        <f t="shared" si="30"/>
        <v>0</v>
      </c>
      <c r="O9" t="b">
        <f t="shared" si="31"/>
        <v>1</v>
      </c>
      <c r="P9" t="b">
        <f t="shared" si="32"/>
        <v>0</v>
      </c>
      <c r="Q9" t="b">
        <f t="shared" si="33"/>
        <v>0</v>
      </c>
      <c r="R9" t="b">
        <f t="shared" si="34"/>
        <v>0</v>
      </c>
      <c r="S9" t="b">
        <f t="shared" si="35"/>
        <v>1</v>
      </c>
      <c r="V9" t="b">
        <f t="shared" si="36"/>
        <v>0</v>
      </c>
      <c r="W9" t="b">
        <f t="shared" si="37"/>
        <v>0</v>
      </c>
      <c r="X9" t="b">
        <f t="shared" si="38"/>
        <v>0</v>
      </c>
      <c r="Y9" t="b">
        <f t="shared" si="39"/>
        <v>1</v>
      </c>
      <c r="Z9" t="b">
        <f t="shared" si="40"/>
        <v>0</v>
      </c>
      <c r="AA9" t="b">
        <f t="shared" si="41"/>
        <v>0</v>
      </c>
      <c r="AB9" t="b">
        <f t="shared" si="42"/>
        <v>0</v>
      </c>
      <c r="AC9" t="b">
        <f t="shared" si="43"/>
        <v>1</v>
      </c>
      <c r="AD9" t="b">
        <f t="shared" si="44"/>
        <v>0</v>
      </c>
      <c r="AE9" t="b">
        <f t="shared" si="45"/>
        <v>0</v>
      </c>
      <c r="AF9" t="b">
        <f t="shared" si="46"/>
        <v>0</v>
      </c>
      <c r="AG9" t="b">
        <f t="shared" si="47"/>
        <v>1</v>
      </c>
    </row>
    <row r="10" spans="1:33">
      <c r="A10" t="s">
        <v>425</v>
      </c>
      <c r="B10"/>
      <c r="C10"/>
      <c r="D10" s="27" t="s">
        <v>192</v>
      </c>
      <c r="E10"/>
      <c r="F10" s="6" t="s">
        <v>196</v>
      </c>
      <c r="H10" t="b">
        <f t="shared" si="24"/>
        <v>0</v>
      </c>
      <c r="I10" t="b">
        <f t="shared" si="25"/>
        <v>0</v>
      </c>
      <c r="J10" t="b">
        <f t="shared" si="26"/>
        <v>0</v>
      </c>
      <c r="K10" t="b">
        <f t="shared" si="27"/>
        <v>1</v>
      </c>
      <c r="L10" t="b">
        <f t="shared" si="28"/>
        <v>0</v>
      </c>
      <c r="M10" t="b">
        <f t="shared" si="29"/>
        <v>0</v>
      </c>
      <c r="N10" t="b">
        <f t="shared" si="30"/>
        <v>0</v>
      </c>
      <c r="O10" t="b">
        <f t="shared" si="31"/>
        <v>1</v>
      </c>
      <c r="P10" t="b">
        <f t="shared" si="32"/>
        <v>0</v>
      </c>
      <c r="Q10" t="b">
        <f t="shared" si="33"/>
        <v>0</v>
      </c>
      <c r="R10" t="b">
        <f t="shared" si="34"/>
        <v>0</v>
      </c>
      <c r="S10" t="b">
        <f t="shared" si="35"/>
        <v>1</v>
      </c>
      <c r="V10" t="b">
        <f t="shared" si="36"/>
        <v>0</v>
      </c>
      <c r="W10" t="b">
        <f t="shared" si="37"/>
        <v>0</v>
      </c>
      <c r="X10" t="b">
        <f t="shared" si="38"/>
        <v>0</v>
      </c>
      <c r="Y10" t="b">
        <f t="shared" si="39"/>
        <v>0</v>
      </c>
      <c r="Z10" t="b">
        <f t="shared" si="40"/>
        <v>0</v>
      </c>
      <c r="AA10" t="b">
        <f t="shared" si="41"/>
        <v>0</v>
      </c>
      <c r="AB10" t="b">
        <f t="shared" si="42"/>
        <v>0</v>
      </c>
      <c r="AC10" t="b">
        <f t="shared" si="43"/>
        <v>0</v>
      </c>
      <c r="AD10" t="b">
        <f t="shared" si="44"/>
        <v>0</v>
      </c>
      <c r="AE10" t="b">
        <f t="shared" si="45"/>
        <v>0</v>
      </c>
      <c r="AF10" t="b">
        <f t="shared" si="46"/>
        <v>0</v>
      </c>
      <c r="AG10" t="b">
        <f t="shared" si="47"/>
        <v>0</v>
      </c>
    </row>
    <row r="11" spans="1:33">
      <c r="A11" t="s">
        <v>426</v>
      </c>
      <c r="B11"/>
      <c r="C11"/>
      <c r="D11"/>
      <c r="E11" s="27" t="s">
        <v>192</v>
      </c>
      <c r="F11" s="6" t="s">
        <v>196</v>
      </c>
      <c r="H11" t="b">
        <f t="shared" si="24"/>
        <v>0</v>
      </c>
      <c r="I11" t="b">
        <f t="shared" si="25"/>
        <v>0</v>
      </c>
      <c r="J11" t="b">
        <f t="shared" si="26"/>
        <v>0</v>
      </c>
      <c r="K11" t="b">
        <f t="shared" si="27"/>
        <v>0</v>
      </c>
      <c r="L11" t="b">
        <f t="shared" si="28"/>
        <v>0</v>
      </c>
      <c r="M11" t="b">
        <f t="shared" si="29"/>
        <v>1</v>
      </c>
      <c r="N11" t="b">
        <f t="shared" si="30"/>
        <v>0</v>
      </c>
      <c r="O11" t="b">
        <f t="shared" si="31"/>
        <v>0</v>
      </c>
      <c r="P11" t="b">
        <f t="shared" si="32"/>
        <v>0</v>
      </c>
      <c r="Q11" t="b">
        <f t="shared" si="33"/>
        <v>1</v>
      </c>
      <c r="R11" t="b">
        <f t="shared" si="34"/>
        <v>0</v>
      </c>
      <c r="S11" t="b">
        <f t="shared" si="35"/>
        <v>1</v>
      </c>
      <c r="V11" t="b">
        <f t="shared" si="36"/>
        <v>0</v>
      </c>
      <c r="W11" t="b">
        <f t="shared" si="37"/>
        <v>0</v>
      </c>
      <c r="X11" t="b">
        <f t="shared" si="38"/>
        <v>0</v>
      </c>
      <c r="Y11" t="b">
        <f t="shared" si="39"/>
        <v>0</v>
      </c>
      <c r="Z11" t="b">
        <f t="shared" si="40"/>
        <v>0</v>
      </c>
      <c r="AA11" t="b">
        <f t="shared" si="41"/>
        <v>0</v>
      </c>
      <c r="AB11" t="b">
        <f t="shared" si="42"/>
        <v>0</v>
      </c>
      <c r="AC11" t="b">
        <f t="shared" si="43"/>
        <v>0</v>
      </c>
      <c r="AD11" t="b">
        <f t="shared" si="44"/>
        <v>0</v>
      </c>
      <c r="AE11" t="b">
        <f t="shared" si="45"/>
        <v>0</v>
      </c>
      <c r="AF11" t="b">
        <f t="shared" si="46"/>
        <v>0</v>
      </c>
      <c r="AG11" t="b">
        <f t="shared" si="47"/>
        <v>0</v>
      </c>
    </row>
    <row r="12" spans="1:33">
      <c r="A12" s="28" t="s">
        <v>219</v>
      </c>
      <c r="B12"/>
      <c r="C12" s="27" t="s">
        <v>192</v>
      </c>
      <c r="D12" s="27" t="s">
        <v>192</v>
      </c>
      <c r="E12" s="27" t="s">
        <v>220</v>
      </c>
      <c r="F12" s="6" t="s">
        <v>193</v>
      </c>
      <c r="H12" t="b">
        <f t="shared" si="24"/>
        <v>0</v>
      </c>
      <c r="I12" t="b">
        <f t="shared" si="25"/>
        <v>1</v>
      </c>
      <c r="J12" t="b">
        <f t="shared" si="26"/>
        <v>0</v>
      </c>
      <c r="K12" t="b">
        <f t="shared" si="27"/>
        <v>1</v>
      </c>
      <c r="L12" t="b">
        <f t="shared" si="28"/>
        <v>0</v>
      </c>
      <c r="M12" t="b">
        <f t="shared" si="29"/>
        <v>1</v>
      </c>
      <c r="N12" t="b">
        <f t="shared" si="30"/>
        <v>1</v>
      </c>
      <c r="O12" t="b">
        <f t="shared" si="31"/>
        <v>1</v>
      </c>
      <c r="P12" t="b">
        <f t="shared" si="32"/>
        <v>1</v>
      </c>
      <c r="Q12" t="b">
        <f t="shared" si="33"/>
        <v>1</v>
      </c>
      <c r="R12" t="b">
        <f t="shared" si="34"/>
        <v>1</v>
      </c>
      <c r="S12" t="b">
        <f t="shared" si="35"/>
        <v>1</v>
      </c>
      <c r="V12" t="b">
        <f t="shared" si="36"/>
        <v>0</v>
      </c>
      <c r="W12" t="b">
        <f t="shared" si="37"/>
        <v>1</v>
      </c>
      <c r="X12" t="b">
        <f t="shared" si="38"/>
        <v>0</v>
      </c>
      <c r="Y12" t="b">
        <f t="shared" si="39"/>
        <v>1</v>
      </c>
      <c r="Z12" t="b">
        <f t="shared" si="40"/>
        <v>0</v>
      </c>
      <c r="AA12" t="b">
        <f t="shared" si="41"/>
        <v>1</v>
      </c>
      <c r="AB12" t="b">
        <f t="shared" si="42"/>
        <v>1</v>
      </c>
      <c r="AC12" t="b">
        <f t="shared" si="43"/>
        <v>1</v>
      </c>
      <c r="AD12" t="b">
        <f t="shared" si="44"/>
        <v>1</v>
      </c>
      <c r="AE12" t="b">
        <f t="shared" si="45"/>
        <v>1</v>
      </c>
      <c r="AF12" t="b">
        <f t="shared" si="46"/>
        <v>1</v>
      </c>
      <c r="AG12" t="b">
        <f t="shared" si="47"/>
        <v>1</v>
      </c>
    </row>
    <row r="13" spans="1:33">
      <c r="A13" s="3" t="s">
        <v>221</v>
      </c>
      <c r="B13" s="27" t="s">
        <v>220</v>
      </c>
      <c r="C13" s="27" t="s">
        <v>220</v>
      </c>
      <c r="F13" s="6" t="s">
        <v>193</v>
      </c>
      <c r="H13" t="b">
        <f t="shared" si="24"/>
        <v>1</v>
      </c>
      <c r="I13" t="b">
        <f t="shared" si="25"/>
        <v>1</v>
      </c>
      <c r="J13" t="b">
        <f t="shared" si="26"/>
        <v>0</v>
      </c>
      <c r="K13" t="b">
        <f t="shared" si="27"/>
        <v>1</v>
      </c>
      <c r="L13" t="b">
        <f t="shared" si="28"/>
        <v>0</v>
      </c>
      <c r="M13" t="b">
        <f t="shared" si="29"/>
        <v>1</v>
      </c>
      <c r="N13" t="b">
        <f t="shared" si="30"/>
        <v>0</v>
      </c>
      <c r="O13" t="b">
        <f t="shared" si="31"/>
        <v>1</v>
      </c>
      <c r="P13" t="b">
        <f t="shared" si="32"/>
        <v>0</v>
      </c>
      <c r="Q13" t="b">
        <f t="shared" si="33"/>
        <v>1</v>
      </c>
      <c r="R13" t="b">
        <f t="shared" si="34"/>
        <v>0</v>
      </c>
      <c r="S13" t="b">
        <f t="shared" si="35"/>
        <v>0</v>
      </c>
      <c r="V13" t="b">
        <f t="shared" si="36"/>
        <v>1</v>
      </c>
      <c r="W13" t="b">
        <f t="shared" si="37"/>
        <v>1</v>
      </c>
      <c r="X13" t="b">
        <f t="shared" si="38"/>
        <v>0</v>
      </c>
      <c r="Y13" t="b">
        <f t="shared" si="39"/>
        <v>1</v>
      </c>
      <c r="Z13" t="b">
        <f t="shared" si="40"/>
        <v>0</v>
      </c>
      <c r="AA13" t="b">
        <f t="shared" si="41"/>
        <v>1</v>
      </c>
      <c r="AB13" t="b">
        <f t="shared" si="42"/>
        <v>0</v>
      </c>
      <c r="AC13" t="b">
        <f t="shared" si="43"/>
        <v>1</v>
      </c>
      <c r="AD13" t="b">
        <f t="shared" si="44"/>
        <v>0</v>
      </c>
      <c r="AE13" t="b">
        <f t="shared" si="45"/>
        <v>1</v>
      </c>
      <c r="AF13" t="b">
        <f t="shared" si="46"/>
        <v>0</v>
      </c>
      <c r="AG13" t="b">
        <f t="shared" si="47"/>
        <v>0</v>
      </c>
    </row>
    <row r="14" spans="1:33">
      <c r="A14" s="3" t="s">
        <v>427</v>
      </c>
      <c r="B14" s="27" t="s">
        <v>192</v>
      </c>
      <c r="D14" s="27" t="s">
        <v>192</v>
      </c>
      <c r="E14" s="27" t="s">
        <v>192</v>
      </c>
      <c r="F14" s="6" t="s">
        <v>193</v>
      </c>
      <c r="H14" t="b">
        <f t="shared" si="24"/>
        <v>0</v>
      </c>
      <c r="I14" t="b">
        <f t="shared" si="25"/>
        <v>1</v>
      </c>
      <c r="J14" t="b">
        <f t="shared" si="26"/>
        <v>1</v>
      </c>
      <c r="K14" t="b">
        <f t="shared" si="27"/>
        <v>1</v>
      </c>
      <c r="L14" t="b">
        <f t="shared" si="28"/>
        <v>1</v>
      </c>
      <c r="M14" t="b">
        <f t="shared" si="29"/>
        <v>1</v>
      </c>
      <c r="N14" t="b">
        <f t="shared" si="30"/>
        <v>0</v>
      </c>
      <c r="O14" t="b">
        <f t="shared" si="31"/>
        <v>1</v>
      </c>
      <c r="P14" t="b">
        <f t="shared" si="32"/>
        <v>0</v>
      </c>
      <c r="Q14" t="b">
        <f t="shared" si="33"/>
        <v>1</v>
      </c>
      <c r="R14" t="b">
        <f t="shared" si="34"/>
        <v>1</v>
      </c>
      <c r="S14" t="b">
        <f t="shared" si="35"/>
        <v>1</v>
      </c>
      <c r="V14" t="b">
        <f t="shared" si="36"/>
        <v>0</v>
      </c>
      <c r="W14" t="b">
        <f t="shared" si="37"/>
        <v>1</v>
      </c>
      <c r="X14" t="b">
        <f t="shared" si="38"/>
        <v>1</v>
      </c>
      <c r="Y14" t="b">
        <f t="shared" si="39"/>
        <v>1</v>
      </c>
      <c r="Z14" t="b">
        <f t="shared" si="40"/>
        <v>1</v>
      </c>
      <c r="AA14" t="b">
        <f t="shared" si="41"/>
        <v>1</v>
      </c>
      <c r="AB14" t="b">
        <f t="shared" si="42"/>
        <v>0</v>
      </c>
      <c r="AC14" t="b">
        <f t="shared" si="43"/>
        <v>1</v>
      </c>
      <c r="AD14" t="b">
        <f t="shared" si="44"/>
        <v>0</v>
      </c>
      <c r="AE14" t="b">
        <f t="shared" si="45"/>
        <v>1</v>
      </c>
      <c r="AF14" t="b">
        <f t="shared" si="46"/>
        <v>1</v>
      </c>
      <c r="AG14" t="b">
        <f t="shared" si="47"/>
        <v>1</v>
      </c>
    </row>
    <row r="15" spans="1:33">
      <c r="A15" t="s">
        <v>428</v>
      </c>
      <c r="B15" s="27" t="s">
        <v>192</v>
      </c>
      <c r="F15" s="6" t="s">
        <v>196</v>
      </c>
      <c r="H15" t="b">
        <f t="shared" si="24"/>
        <v>0</v>
      </c>
      <c r="I15" t="b">
        <f t="shared" si="25"/>
        <v>1</v>
      </c>
      <c r="J15" t="b">
        <f t="shared" si="26"/>
        <v>0</v>
      </c>
      <c r="K15" t="b">
        <f t="shared" si="27"/>
        <v>1</v>
      </c>
      <c r="L15" t="b">
        <f t="shared" si="28"/>
        <v>0</v>
      </c>
      <c r="M15" t="b">
        <f t="shared" si="29"/>
        <v>1</v>
      </c>
      <c r="N15" t="b">
        <f t="shared" si="30"/>
        <v>0</v>
      </c>
      <c r="O15" t="b">
        <f t="shared" si="31"/>
        <v>0</v>
      </c>
      <c r="P15" t="b">
        <f t="shared" si="32"/>
        <v>0</v>
      </c>
      <c r="Q15" t="b">
        <f t="shared" si="33"/>
        <v>0</v>
      </c>
      <c r="R15" t="b">
        <f t="shared" si="34"/>
        <v>0</v>
      </c>
      <c r="S15" t="b">
        <f t="shared" si="35"/>
        <v>0</v>
      </c>
      <c r="V15" t="b">
        <f t="shared" si="36"/>
        <v>0</v>
      </c>
      <c r="W15" t="b">
        <f t="shared" si="37"/>
        <v>0</v>
      </c>
      <c r="X15" t="b">
        <f t="shared" si="38"/>
        <v>0</v>
      </c>
      <c r="Y15" t="b">
        <f t="shared" si="39"/>
        <v>0</v>
      </c>
      <c r="Z15" t="b">
        <f t="shared" si="40"/>
        <v>0</v>
      </c>
      <c r="AA15" t="b">
        <f t="shared" si="41"/>
        <v>0</v>
      </c>
      <c r="AB15" t="b">
        <f t="shared" si="42"/>
        <v>0</v>
      </c>
      <c r="AC15" t="b">
        <f t="shared" si="43"/>
        <v>0</v>
      </c>
      <c r="AD15" t="b">
        <f t="shared" si="44"/>
        <v>0</v>
      </c>
      <c r="AE15" t="b">
        <f t="shared" si="45"/>
        <v>0</v>
      </c>
      <c r="AF15" t="b">
        <f t="shared" si="46"/>
        <v>0</v>
      </c>
      <c r="AG15" t="b">
        <f t="shared" si="47"/>
        <v>0</v>
      </c>
    </row>
    <row r="16" spans="1:33">
      <c r="A16" t="s">
        <v>429</v>
      </c>
      <c r="B16" s="27" t="s">
        <v>192</v>
      </c>
      <c r="F16" s="6" t="s">
        <v>196</v>
      </c>
      <c r="H16" t="b">
        <f t="shared" si="24"/>
        <v>0</v>
      </c>
      <c r="I16" t="b">
        <f t="shared" si="25"/>
        <v>1</v>
      </c>
      <c r="J16" t="b">
        <f t="shared" si="26"/>
        <v>0</v>
      </c>
      <c r="K16" t="b">
        <f t="shared" si="27"/>
        <v>1</v>
      </c>
      <c r="L16" t="b">
        <f t="shared" si="28"/>
        <v>0</v>
      </c>
      <c r="M16" t="b">
        <f t="shared" si="29"/>
        <v>1</v>
      </c>
      <c r="N16" t="b">
        <f t="shared" si="30"/>
        <v>0</v>
      </c>
      <c r="O16" t="b">
        <f t="shared" si="31"/>
        <v>0</v>
      </c>
      <c r="P16" t="b">
        <f t="shared" si="32"/>
        <v>0</v>
      </c>
      <c r="Q16" t="b">
        <f t="shared" si="33"/>
        <v>0</v>
      </c>
      <c r="R16" t="b">
        <f t="shared" si="34"/>
        <v>0</v>
      </c>
      <c r="S16" t="b">
        <f t="shared" si="35"/>
        <v>0</v>
      </c>
      <c r="V16" t="b">
        <f t="shared" si="36"/>
        <v>0</v>
      </c>
      <c r="W16" t="b">
        <f t="shared" si="37"/>
        <v>0</v>
      </c>
      <c r="X16" t="b">
        <f t="shared" si="38"/>
        <v>0</v>
      </c>
      <c r="Y16" t="b">
        <f t="shared" si="39"/>
        <v>0</v>
      </c>
      <c r="Z16" t="b">
        <f t="shared" si="40"/>
        <v>0</v>
      </c>
      <c r="AA16" t="b">
        <f t="shared" si="41"/>
        <v>0</v>
      </c>
      <c r="AB16" t="b">
        <f t="shared" si="42"/>
        <v>0</v>
      </c>
      <c r="AC16" t="b">
        <f t="shared" si="43"/>
        <v>0</v>
      </c>
      <c r="AD16" t="b">
        <f t="shared" si="44"/>
        <v>0</v>
      </c>
      <c r="AE16" t="b">
        <f t="shared" si="45"/>
        <v>0</v>
      </c>
      <c r="AF16" t="b">
        <f t="shared" si="46"/>
        <v>0</v>
      </c>
      <c r="AG16" t="b">
        <f t="shared" si="47"/>
        <v>0</v>
      </c>
    </row>
    <row r="17" spans="1:33">
      <c r="A17" t="s">
        <v>430</v>
      </c>
      <c r="B17"/>
      <c r="C17"/>
      <c r="D17"/>
      <c r="E17" s="27" t="s">
        <v>192</v>
      </c>
      <c r="F17" s="6" t="s">
        <v>196</v>
      </c>
      <c r="H17" t="b">
        <f t="shared" si="24"/>
        <v>0</v>
      </c>
      <c r="I17" t="b">
        <f t="shared" si="25"/>
        <v>0</v>
      </c>
      <c r="J17" t="b">
        <f t="shared" si="26"/>
        <v>0</v>
      </c>
      <c r="K17" t="b">
        <f t="shared" si="27"/>
        <v>0</v>
      </c>
      <c r="L17" t="b">
        <f t="shared" si="28"/>
        <v>0</v>
      </c>
      <c r="M17" t="b">
        <f t="shared" si="29"/>
        <v>1</v>
      </c>
      <c r="N17" t="b">
        <f t="shared" si="30"/>
        <v>0</v>
      </c>
      <c r="O17" t="b">
        <f t="shared" si="31"/>
        <v>0</v>
      </c>
      <c r="P17" t="b">
        <f t="shared" si="32"/>
        <v>0</v>
      </c>
      <c r="Q17" t="b">
        <f t="shared" si="33"/>
        <v>1</v>
      </c>
      <c r="R17" t="b">
        <f t="shared" si="34"/>
        <v>0</v>
      </c>
      <c r="S17" t="b">
        <f t="shared" si="35"/>
        <v>1</v>
      </c>
      <c r="V17" t="b">
        <f t="shared" si="36"/>
        <v>0</v>
      </c>
      <c r="W17" t="b">
        <f t="shared" si="37"/>
        <v>0</v>
      </c>
      <c r="X17" t="b">
        <f t="shared" si="38"/>
        <v>0</v>
      </c>
      <c r="Y17" t="b">
        <f t="shared" si="39"/>
        <v>0</v>
      </c>
      <c r="Z17" t="b">
        <f t="shared" si="40"/>
        <v>0</v>
      </c>
      <c r="AA17" t="b">
        <f t="shared" si="41"/>
        <v>0</v>
      </c>
      <c r="AB17" t="b">
        <f t="shared" si="42"/>
        <v>0</v>
      </c>
      <c r="AC17" t="b">
        <f t="shared" si="43"/>
        <v>0</v>
      </c>
      <c r="AD17" t="b">
        <f t="shared" si="44"/>
        <v>0</v>
      </c>
      <c r="AE17" t="b">
        <f t="shared" si="45"/>
        <v>0</v>
      </c>
      <c r="AF17" t="b">
        <f t="shared" si="46"/>
        <v>0</v>
      </c>
      <c r="AG17" t="b">
        <f t="shared" si="47"/>
        <v>0</v>
      </c>
    </row>
    <row r="18" spans="1:33">
      <c r="A18" s="3" t="s">
        <v>226</v>
      </c>
      <c r="B18" s="27" t="s">
        <v>192</v>
      </c>
      <c r="C18" s="27" t="s">
        <v>192</v>
      </c>
      <c r="D18" s="27" t="s">
        <v>192</v>
      </c>
      <c r="E18" s="27" t="s">
        <v>192</v>
      </c>
      <c r="F18" s="6" t="s">
        <v>193</v>
      </c>
      <c r="H18" t="b">
        <f t="shared" si="24"/>
        <v>1</v>
      </c>
      <c r="I18" t="b">
        <f t="shared" si="25"/>
        <v>1</v>
      </c>
      <c r="J18" t="b">
        <f t="shared" si="26"/>
        <v>1</v>
      </c>
      <c r="K18" t="b">
        <f t="shared" si="27"/>
        <v>1</v>
      </c>
      <c r="L18" t="b">
        <f t="shared" si="28"/>
        <v>1</v>
      </c>
      <c r="M18" t="b">
        <f t="shared" si="29"/>
        <v>1</v>
      </c>
      <c r="N18" t="b">
        <f t="shared" si="30"/>
        <v>1</v>
      </c>
      <c r="O18" t="b">
        <f t="shared" si="31"/>
        <v>1</v>
      </c>
      <c r="P18" t="b">
        <f t="shared" si="32"/>
        <v>1</v>
      </c>
      <c r="Q18" t="b">
        <f t="shared" si="33"/>
        <v>1</v>
      </c>
      <c r="R18" t="b">
        <f t="shared" si="34"/>
        <v>1</v>
      </c>
      <c r="S18" t="b">
        <f t="shared" si="35"/>
        <v>1</v>
      </c>
      <c r="V18" t="b">
        <f t="shared" si="36"/>
        <v>1</v>
      </c>
      <c r="W18" t="b">
        <f t="shared" si="37"/>
        <v>1</v>
      </c>
      <c r="X18" t="b">
        <f t="shared" si="38"/>
        <v>1</v>
      </c>
      <c r="Y18" t="b">
        <f t="shared" si="39"/>
        <v>1</v>
      </c>
      <c r="Z18" t="b">
        <f t="shared" si="40"/>
        <v>1</v>
      </c>
      <c r="AA18" t="b">
        <f t="shared" si="41"/>
        <v>1</v>
      </c>
      <c r="AB18" t="b">
        <f t="shared" si="42"/>
        <v>1</v>
      </c>
      <c r="AC18" t="b">
        <f t="shared" si="43"/>
        <v>1</v>
      </c>
      <c r="AD18" t="b">
        <f t="shared" si="44"/>
        <v>1</v>
      </c>
      <c r="AE18" t="b">
        <f t="shared" si="45"/>
        <v>1</v>
      </c>
      <c r="AF18" t="b">
        <f t="shared" si="46"/>
        <v>1</v>
      </c>
      <c r="AG18" t="b">
        <f t="shared" si="47"/>
        <v>1</v>
      </c>
    </row>
    <row r="19" spans="1:33">
      <c r="A19" s="3" t="s">
        <v>288</v>
      </c>
      <c r="B19" s="27" t="s">
        <v>192</v>
      </c>
      <c r="C19" s="27" t="s">
        <v>192</v>
      </c>
      <c r="D19" s="27" t="s">
        <v>192</v>
      </c>
      <c r="E19" s="27" t="s">
        <v>192</v>
      </c>
      <c r="F19" s="6" t="s">
        <v>193</v>
      </c>
      <c r="H19" t="b">
        <f t="shared" si="24"/>
        <v>1</v>
      </c>
      <c r="I19" t="b">
        <f t="shared" si="25"/>
        <v>1</v>
      </c>
      <c r="J19" t="b">
        <f t="shared" si="26"/>
        <v>1</v>
      </c>
      <c r="K19" t="b">
        <f t="shared" si="27"/>
        <v>1</v>
      </c>
      <c r="L19" t="b">
        <f t="shared" si="28"/>
        <v>1</v>
      </c>
      <c r="M19" t="b">
        <f t="shared" si="29"/>
        <v>1</v>
      </c>
      <c r="N19" t="b">
        <f t="shared" si="30"/>
        <v>1</v>
      </c>
      <c r="O19" t="b">
        <f t="shared" si="31"/>
        <v>1</v>
      </c>
      <c r="P19" t="b">
        <f t="shared" si="32"/>
        <v>1</v>
      </c>
      <c r="Q19" t="b">
        <f t="shared" si="33"/>
        <v>1</v>
      </c>
      <c r="R19" t="b">
        <f t="shared" si="34"/>
        <v>1</v>
      </c>
      <c r="S19" t="b">
        <f t="shared" si="35"/>
        <v>1</v>
      </c>
      <c r="V19" t="b">
        <f t="shared" si="36"/>
        <v>1</v>
      </c>
      <c r="W19" t="b">
        <f t="shared" si="37"/>
        <v>1</v>
      </c>
      <c r="X19" t="b">
        <f t="shared" si="38"/>
        <v>1</v>
      </c>
      <c r="Y19" t="b">
        <f t="shared" si="39"/>
        <v>1</v>
      </c>
      <c r="Z19" t="b">
        <f t="shared" si="40"/>
        <v>1</v>
      </c>
      <c r="AA19" t="b">
        <f t="shared" si="41"/>
        <v>1</v>
      </c>
      <c r="AB19" t="b">
        <f t="shared" si="42"/>
        <v>1</v>
      </c>
      <c r="AC19" t="b">
        <f t="shared" si="43"/>
        <v>1</v>
      </c>
      <c r="AD19" t="b">
        <f t="shared" si="44"/>
        <v>1</v>
      </c>
      <c r="AE19" t="b">
        <f t="shared" si="45"/>
        <v>1</v>
      </c>
      <c r="AF19" t="b">
        <f t="shared" si="46"/>
        <v>1</v>
      </c>
      <c r="AG19" t="b">
        <f t="shared" si="47"/>
        <v>1</v>
      </c>
    </row>
    <row r="20" spans="1:33">
      <c r="A20" s="3" t="s">
        <v>346</v>
      </c>
      <c r="B20"/>
      <c r="C20"/>
      <c r="D20" s="27" t="s">
        <v>192</v>
      </c>
      <c r="E20"/>
      <c r="F20" s="6" t="s">
        <v>193</v>
      </c>
      <c r="H20" t="b">
        <f t="shared" si="24"/>
        <v>0</v>
      </c>
      <c r="I20" t="b">
        <f t="shared" si="25"/>
        <v>0</v>
      </c>
      <c r="J20" t="b">
        <f t="shared" si="26"/>
        <v>0</v>
      </c>
      <c r="K20" t="b">
        <f t="shared" si="27"/>
        <v>1</v>
      </c>
      <c r="L20" t="b">
        <f t="shared" si="28"/>
        <v>0</v>
      </c>
      <c r="M20" t="b">
        <f t="shared" si="29"/>
        <v>0</v>
      </c>
      <c r="N20" t="b">
        <f t="shared" si="30"/>
        <v>0</v>
      </c>
      <c r="O20" t="b">
        <f t="shared" si="31"/>
        <v>1</v>
      </c>
      <c r="P20" t="b">
        <f t="shared" si="32"/>
        <v>0</v>
      </c>
      <c r="Q20" t="b">
        <f t="shared" si="33"/>
        <v>0</v>
      </c>
      <c r="R20" t="b">
        <f t="shared" si="34"/>
        <v>0</v>
      </c>
      <c r="S20" t="b">
        <f t="shared" si="35"/>
        <v>1</v>
      </c>
      <c r="V20" t="b">
        <f t="shared" si="36"/>
        <v>0</v>
      </c>
      <c r="W20" t="b">
        <f t="shared" si="37"/>
        <v>0</v>
      </c>
      <c r="X20" t="b">
        <f t="shared" si="38"/>
        <v>0</v>
      </c>
      <c r="Y20" t="b">
        <f t="shared" si="39"/>
        <v>1</v>
      </c>
      <c r="Z20" t="b">
        <f t="shared" si="40"/>
        <v>0</v>
      </c>
      <c r="AA20" t="b">
        <f t="shared" si="41"/>
        <v>0</v>
      </c>
      <c r="AB20" t="b">
        <f t="shared" si="42"/>
        <v>0</v>
      </c>
      <c r="AC20" t="b">
        <f t="shared" si="43"/>
        <v>1</v>
      </c>
      <c r="AD20" t="b">
        <f t="shared" si="44"/>
        <v>0</v>
      </c>
      <c r="AE20" t="b">
        <f t="shared" si="45"/>
        <v>0</v>
      </c>
      <c r="AF20" t="b">
        <f t="shared" si="46"/>
        <v>0</v>
      </c>
      <c r="AG20" t="b">
        <f t="shared" si="47"/>
        <v>1</v>
      </c>
    </row>
    <row r="21" spans="1:33" ht="15">
      <c r="A21" s="3" t="s">
        <v>431</v>
      </c>
      <c r="B21"/>
      <c r="C21"/>
      <c r="D21" s="27" t="s">
        <v>192</v>
      </c>
      <c r="E21"/>
      <c r="F21" s="6" t="s">
        <v>193</v>
      </c>
      <c r="H21" t="b">
        <f t="shared" si="24"/>
        <v>0</v>
      </c>
      <c r="I21" t="b">
        <f t="shared" si="25"/>
        <v>0</v>
      </c>
      <c r="J21" t="b">
        <f t="shared" si="26"/>
        <v>0</v>
      </c>
      <c r="K21" t="b">
        <f t="shared" si="27"/>
        <v>1</v>
      </c>
      <c r="L21" t="b">
        <f t="shared" si="28"/>
        <v>0</v>
      </c>
      <c r="M21" t="b">
        <f t="shared" si="29"/>
        <v>0</v>
      </c>
      <c r="N21" t="b">
        <f t="shared" si="30"/>
        <v>0</v>
      </c>
      <c r="O21" t="b">
        <f t="shared" si="31"/>
        <v>1</v>
      </c>
      <c r="P21" t="b">
        <f t="shared" si="32"/>
        <v>0</v>
      </c>
      <c r="Q21" t="b">
        <f t="shared" si="33"/>
        <v>0</v>
      </c>
      <c r="R21" t="b">
        <f t="shared" si="34"/>
        <v>0</v>
      </c>
      <c r="S21" t="b">
        <f t="shared" si="35"/>
        <v>1</v>
      </c>
      <c r="V21" t="b">
        <f t="shared" si="36"/>
        <v>0</v>
      </c>
      <c r="W21" t="b">
        <f t="shared" si="37"/>
        <v>0</v>
      </c>
      <c r="X21" t="b">
        <f t="shared" si="38"/>
        <v>0</v>
      </c>
      <c r="Y21" t="b">
        <f t="shared" si="39"/>
        <v>1</v>
      </c>
      <c r="Z21" t="b">
        <f t="shared" si="40"/>
        <v>0</v>
      </c>
      <c r="AA21" t="b">
        <f t="shared" si="41"/>
        <v>0</v>
      </c>
      <c r="AB21" t="b">
        <f t="shared" si="42"/>
        <v>0</v>
      </c>
      <c r="AC21" t="b">
        <f t="shared" si="43"/>
        <v>1</v>
      </c>
      <c r="AD21" t="b">
        <f t="shared" si="44"/>
        <v>0</v>
      </c>
      <c r="AE21" t="b">
        <f t="shared" si="45"/>
        <v>0</v>
      </c>
      <c r="AF21" t="b">
        <f t="shared" si="46"/>
        <v>0</v>
      </c>
      <c r="AG21" t="b">
        <f t="shared" si="47"/>
        <v>1</v>
      </c>
    </row>
    <row r="22" spans="1:33" ht="15">
      <c r="A22" t="s">
        <v>432</v>
      </c>
      <c r="B22"/>
      <c r="C22"/>
      <c r="E22" s="27" t="s">
        <v>192</v>
      </c>
      <c r="F22" s="6" t="s">
        <v>196</v>
      </c>
      <c r="H22" t="b">
        <f t="shared" si="24"/>
        <v>0</v>
      </c>
      <c r="I22" t="b">
        <f t="shared" si="25"/>
        <v>0</v>
      </c>
      <c r="J22" t="b">
        <f t="shared" si="26"/>
        <v>0</v>
      </c>
      <c r="K22" t="b">
        <f t="shared" si="27"/>
        <v>0</v>
      </c>
      <c r="L22" t="b">
        <f t="shared" si="28"/>
        <v>0</v>
      </c>
      <c r="M22" t="b">
        <f t="shared" si="29"/>
        <v>1</v>
      </c>
      <c r="N22" t="b">
        <f t="shared" si="30"/>
        <v>0</v>
      </c>
      <c r="O22" t="b">
        <f t="shared" si="31"/>
        <v>0</v>
      </c>
      <c r="P22" t="b">
        <f t="shared" si="32"/>
        <v>0</v>
      </c>
      <c r="Q22" t="b">
        <f t="shared" si="33"/>
        <v>1</v>
      </c>
      <c r="R22" t="b">
        <f t="shared" si="34"/>
        <v>0</v>
      </c>
      <c r="S22" t="b">
        <f t="shared" si="35"/>
        <v>1</v>
      </c>
      <c r="V22" t="b">
        <f t="shared" si="36"/>
        <v>0</v>
      </c>
      <c r="W22" t="b">
        <f t="shared" si="37"/>
        <v>0</v>
      </c>
      <c r="X22" t="b">
        <f t="shared" si="38"/>
        <v>0</v>
      </c>
      <c r="Y22" t="b">
        <f t="shared" si="39"/>
        <v>0</v>
      </c>
      <c r="Z22" t="b">
        <f t="shared" si="40"/>
        <v>0</v>
      </c>
      <c r="AA22" t="b">
        <f t="shared" si="41"/>
        <v>0</v>
      </c>
      <c r="AB22" t="b">
        <f t="shared" si="42"/>
        <v>0</v>
      </c>
      <c r="AC22" t="b">
        <f t="shared" si="43"/>
        <v>0</v>
      </c>
      <c r="AD22" t="b">
        <f t="shared" si="44"/>
        <v>0</v>
      </c>
      <c r="AE22" t="b">
        <f t="shared" si="45"/>
        <v>0</v>
      </c>
      <c r="AF22" t="b">
        <f t="shared" si="46"/>
        <v>0</v>
      </c>
      <c r="AG22" t="b">
        <f t="shared" si="47"/>
        <v>0</v>
      </c>
    </row>
    <row r="23" spans="1:33" ht="15">
      <c r="A23" t="s">
        <v>433</v>
      </c>
      <c r="B23"/>
      <c r="C23"/>
      <c r="E23" s="27" t="s">
        <v>192</v>
      </c>
      <c r="F23" s="6" t="s">
        <v>196</v>
      </c>
      <c r="H23" t="b">
        <f t="shared" si="24"/>
        <v>0</v>
      </c>
      <c r="I23" t="b">
        <f t="shared" si="25"/>
        <v>0</v>
      </c>
      <c r="J23" t="b">
        <f t="shared" si="26"/>
        <v>0</v>
      </c>
      <c r="K23" t="b">
        <f t="shared" si="27"/>
        <v>0</v>
      </c>
      <c r="L23" t="b">
        <f t="shared" si="28"/>
        <v>0</v>
      </c>
      <c r="M23" t="b">
        <f t="shared" si="29"/>
        <v>1</v>
      </c>
      <c r="N23" t="b">
        <f t="shared" si="30"/>
        <v>0</v>
      </c>
      <c r="O23" t="b">
        <f t="shared" si="31"/>
        <v>0</v>
      </c>
      <c r="P23" t="b">
        <f t="shared" si="32"/>
        <v>0</v>
      </c>
      <c r="Q23" t="b">
        <f t="shared" si="33"/>
        <v>1</v>
      </c>
      <c r="R23" t="b">
        <f t="shared" si="34"/>
        <v>0</v>
      </c>
      <c r="S23" t="b">
        <f t="shared" si="35"/>
        <v>1</v>
      </c>
      <c r="V23" t="b">
        <f t="shared" si="36"/>
        <v>0</v>
      </c>
      <c r="W23" t="b">
        <f t="shared" si="37"/>
        <v>0</v>
      </c>
      <c r="X23" t="b">
        <f t="shared" si="38"/>
        <v>0</v>
      </c>
      <c r="Y23" t="b">
        <f t="shared" si="39"/>
        <v>0</v>
      </c>
      <c r="Z23" t="b">
        <f t="shared" si="40"/>
        <v>0</v>
      </c>
      <c r="AA23" t="b">
        <f t="shared" si="41"/>
        <v>0</v>
      </c>
      <c r="AB23" t="b">
        <f t="shared" si="42"/>
        <v>0</v>
      </c>
      <c r="AC23" t="b">
        <f t="shared" si="43"/>
        <v>0</v>
      </c>
      <c r="AD23" t="b">
        <f t="shared" si="44"/>
        <v>0</v>
      </c>
      <c r="AE23" t="b">
        <f t="shared" si="45"/>
        <v>0</v>
      </c>
      <c r="AF23" t="b">
        <f t="shared" si="46"/>
        <v>0</v>
      </c>
      <c r="AG23" t="b">
        <f t="shared" si="47"/>
        <v>0</v>
      </c>
    </row>
    <row r="24" spans="1:33">
      <c r="A24" s="3" t="s">
        <v>231</v>
      </c>
      <c r="B24" s="27" t="s">
        <v>192</v>
      </c>
      <c r="C24" s="27" t="s">
        <v>192</v>
      </c>
      <c r="D24" s="27" t="s">
        <v>192</v>
      </c>
      <c r="E24" s="27" t="s">
        <v>192</v>
      </c>
      <c r="F24" s="6" t="s">
        <v>193</v>
      </c>
      <c r="H24" t="b">
        <f t="shared" si="24"/>
        <v>1</v>
      </c>
      <c r="I24" t="b">
        <f t="shared" si="25"/>
        <v>1</v>
      </c>
      <c r="J24" t="b">
        <f t="shared" si="26"/>
        <v>1</v>
      </c>
      <c r="K24" t="b">
        <f t="shared" si="27"/>
        <v>1</v>
      </c>
      <c r="L24" t="b">
        <f t="shared" si="28"/>
        <v>1</v>
      </c>
      <c r="M24" t="b">
        <f t="shared" si="29"/>
        <v>1</v>
      </c>
      <c r="N24" t="b">
        <f t="shared" si="30"/>
        <v>1</v>
      </c>
      <c r="O24" t="b">
        <f t="shared" si="31"/>
        <v>1</v>
      </c>
      <c r="P24" t="b">
        <f t="shared" si="32"/>
        <v>1</v>
      </c>
      <c r="Q24" t="b">
        <f t="shared" si="33"/>
        <v>1</v>
      </c>
      <c r="R24" t="b">
        <f t="shared" si="34"/>
        <v>1</v>
      </c>
      <c r="S24" t="b">
        <f t="shared" si="35"/>
        <v>1</v>
      </c>
      <c r="V24" t="b">
        <f t="shared" si="36"/>
        <v>1</v>
      </c>
      <c r="W24" t="b">
        <f t="shared" si="37"/>
        <v>1</v>
      </c>
      <c r="X24" t="b">
        <f t="shared" si="38"/>
        <v>1</v>
      </c>
      <c r="Y24" t="b">
        <f t="shared" si="39"/>
        <v>1</v>
      </c>
      <c r="Z24" t="b">
        <f t="shared" si="40"/>
        <v>1</v>
      </c>
      <c r="AA24" t="b">
        <f t="shared" si="41"/>
        <v>1</v>
      </c>
      <c r="AB24" t="b">
        <f t="shared" si="42"/>
        <v>1</v>
      </c>
      <c r="AC24" t="b">
        <f t="shared" si="43"/>
        <v>1</v>
      </c>
      <c r="AD24" t="b">
        <f t="shared" si="44"/>
        <v>1</v>
      </c>
      <c r="AE24" t="b">
        <f t="shared" si="45"/>
        <v>1</v>
      </c>
      <c r="AF24" t="b">
        <f t="shared" si="46"/>
        <v>1</v>
      </c>
      <c r="AG24" t="b">
        <f t="shared" si="47"/>
        <v>1</v>
      </c>
    </row>
    <row r="25" spans="1:33">
      <c r="A25" s="3" t="s">
        <v>232</v>
      </c>
      <c r="B25" s="27" t="s">
        <v>192</v>
      </c>
      <c r="D25" s="27" t="s">
        <v>192</v>
      </c>
      <c r="F25" s="6" t="s">
        <v>193</v>
      </c>
      <c r="H25" t="b">
        <f t="shared" si="24"/>
        <v>0</v>
      </c>
      <c r="I25" t="b">
        <f t="shared" si="25"/>
        <v>1</v>
      </c>
      <c r="J25" t="b">
        <f t="shared" si="26"/>
        <v>1</v>
      </c>
      <c r="K25" t="b">
        <f t="shared" si="27"/>
        <v>1</v>
      </c>
      <c r="L25" t="b">
        <f t="shared" si="28"/>
        <v>0</v>
      </c>
      <c r="M25" t="b">
        <f t="shared" si="29"/>
        <v>1</v>
      </c>
      <c r="N25" t="b">
        <f t="shared" si="30"/>
        <v>0</v>
      </c>
      <c r="O25" t="b">
        <f t="shared" si="31"/>
        <v>1</v>
      </c>
      <c r="P25" t="b">
        <f t="shared" si="32"/>
        <v>0</v>
      </c>
      <c r="Q25" t="b">
        <f t="shared" si="33"/>
        <v>0</v>
      </c>
      <c r="R25" t="b">
        <f t="shared" si="34"/>
        <v>0</v>
      </c>
      <c r="S25" t="b">
        <f t="shared" si="35"/>
        <v>1</v>
      </c>
      <c r="V25" t="b">
        <f t="shared" si="36"/>
        <v>0</v>
      </c>
      <c r="W25" t="b">
        <f t="shared" si="37"/>
        <v>1</v>
      </c>
      <c r="X25" t="b">
        <f t="shared" si="38"/>
        <v>1</v>
      </c>
      <c r="Y25" t="b">
        <f t="shared" si="39"/>
        <v>1</v>
      </c>
      <c r="Z25" t="b">
        <f t="shared" si="40"/>
        <v>0</v>
      </c>
      <c r="AA25" t="b">
        <f t="shared" si="41"/>
        <v>1</v>
      </c>
      <c r="AB25" t="b">
        <f t="shared" si="42"/>
        <v>0</v>
      </c>
      <c r="AC25" t="b">
        <f t="shared" si="43"/>
        <v>1</v>
      </c>
      <c r="AD25" t="b">
        <f t="shared" si="44"/>
        <v>0</v>
      </c>
      <c r="AE25" t="b">
        <f t="shared" si="45"/>
        <v>0</v>
      </c>
      <c r="AF25" t="b">
        <f t="shared" si="46"/>
        <v>0</v>
      </c>
      <c r="AG25" t="b">
        <f t="shared" si="47"/>
        <v>1</v>
      </c>
    </row>
    <row r="26" spans="1:33">
      <c r="A26" t="s">
        <v>434</v>
      </c>
      <c r="B26" s="27" t="s">
        <v>192</v>
      </c>
      <c r="F26" s="6" t="s">
        <v>196</v>
      </c>
      <c r="H26" t="b">
        <f t="shared" si="24"/>
        <v>0</v>
      </c>
      <c r="I26" t="b">
        <f t="shared" si="25"/>
        <v>1</v>
      </c>
      <c r="J26" t="b">
        <f t="shared" si="26"/>
        <v>0</v>
      </c>
      <c r="K26" t="b">
        <f t="shared" si="27"/>
        <v>1</v>
      </c>
      <c r="L26" t="b">
        <f t="shared" si="28"/>
        <v>0</v>
      </c>
      <c r="M26" t="b">
        <f t="shared" si="29"/>
        <v>1</v>
      </c>
      <c r="N26" t="b">
        <f t="shared" si="30"/>
        <v>0</v>
      </c>
      <c r="O26" t="b">
        <f t="shared" si="31"/>
        <v>0</v>
      </c>
      <c r="P26" t="b">
        <f t="shared" si="32"/>
        <v>0</v>
      </c>
      <c r="Q26" t="b">
        <f t="shared" si="33"/>
        <v>0</v>
      </c>
      <c r="R26" t="b">
        <f t="shared" si="34"/>
        <v>0</v>
      </c>
      <c r="S26" t="b">
        <f t="shared" si="35"/>
        <v>0</v>
      </c>
      <c r="V26" t="b">
        <f t="shared" si="36"/>
        <v>0</v>
      </c>
      <c r="W26" t="b">
        <f t="shared" si="37"/>
        <v>0</v>
      </c>
      <c r="X26" t="b">
        <f t="shared" si="38"/>
        <v>0</v>
      </c>
      <c r="Y26" t="b">
        <f t="shared" si="39"/>
        <v>0</v>
      </c>
      <c r="Z26" t="b">
        <f t="shared" si="40"/>
        <v>0</v>
      </c>
      <c r="AA26" t="b">
        <f t="shared" si="41"/>
        <v>0</v>
      </c>
      <c r="AB26" t="b">
        <f t="shared" si="42"/>
        <v>0</v>
      </c>
      <c r="AC26" t="b">
        <f t="shared" si="43"/>
        <v>0</v>
      </c>
      <c r="AD26" t="b">
        <f t="shared" si="44"/>
        <v>0</v>
      </c>
      <c r="AE26" t="b">
        <f t="shared" si="45"/>
        <v>0</v>
      </c>
      <c r="AF26" t="b">
        <f t="shared" si="46"/>
        <v>0</v>
      </c>
      <c r="AG26" t="b">
        <f t="shared" si="47"/>
        <v>0</v>
      </c>
    </row>
    <row r="27" spans="1:33">
      <c r="A27" s="3" t="s">
        <v>233</v>
      </c>
      <c r="B27" s="27" t="s">
        <v>192</v>
      </c>
      <c r="C27" s="27" t="s">
        <v>192</v>
      </c>
      <c r="D27" s="27" t="s">
        <v>192</v>
      </c>
      <c r="E27" s="27" t="s">
        <v>192</v>
      </c>
      <c r="F27" s="6" t="s">
        <v>193</v>
      </c>
      <c r="H27" t="b">
        <f t="shared" si="24"/>
        <v>1</v>
      </c>
      <c r="I27" t="b">
        <f t="shared" si="25"/>
        <v>1</v>
      </c>
      <c r="J27" t="b">
        <f t="shared" si="26"/>
        <v>1</v>
      </c>
      <c r="K27" t="b">
        <f t="shared" si="27"/>
        <v>1</v>
      </c>
      <c r="L27" t="b">
        <f t="shared" si="28"/>
        <v>1</v>
      </c>
      <c r="M27" t="b">
        <f t="shared" si="29"/>
        <v>1</v>
      </c>
      <c r="N27" t="b">
        <f t="shared" si="30"/>
        <v>1</v>
      </c>
      <c r="O27" t="b">
        <f t="shared" si="31"/>
        <v>1</v>
      </c>
      <c r="P27" t="b">
        <f t="shared" si="32"/>
        <v>1</v>
      </c>
      <c r="Q27" t="b">
        <f t="shared" si="33"/>
        <v>1</v>
      </c>
      <c r="R27" t="b">
        <f t="shared" si="34"/>
        <v>1</v>
      </c>
      <c r="S27" t="b">
        <f t="shared" si="35"/>
        <v>1</v>
      </c>
      <c r="V27" t="b">
        <f t="shared" si="36"/>
        <v>1</v>
      </c>
      <c r="W27" t="b">
        <f t="shared" si="37"/>
        <v>1</v>
      </c>
      <c r="X27" t="b">
        <f t="shared" si="38"/>
        <v>1</v>
      </c>
      <c r="Y27" t="b">
        <f t="shared" si="39"/>
        <v>1</v>
      </c>
      <c r="Z27" t="b">
        <f t="shared" si="40"/>
        <v>1</v>
      </c>
      <c r="AA27" t="b">
        <f t="shared" si="41"/>
        <v>1</v>
      </c>
      <c r="AB27" t="b">
        <f t="shared" si="42"/>
        <v>1</v>
      </c>
      <c r="AC27" t="b">
        <f t="shared" si="43"/>
        <v>1</v>
      </c>
      <c r="AD27" t="b">
        <f t="shared" si="44"/>
        <v>1</v>
      </c>
      <c r="AE27" t="b">
        <f t="shared" si="45"/>
        <v>1</v>
      </c>
      <c r="AF27" t="b">
        <f t="shared" si="46"/>
        <v>1</v>
      </c>
      <c r="AG27" t="b">
        <f t="shared" si="47"/>
        <v>1</v>
      </c>
    </row>
    <row r="28" spans="1:33">
      <c r="A28" s="3" t="s">
        <v>234</v>
      </c>
      <c r="B28" s="27" t="s">
        <v>192</v>
      </c>
      <c r="C28" s="27" t="s">
        <v>192</v>
      </c>
      <c r="D28" s="27" t="s">
        <v>192</v>
      </c>
      <c r="E28" s="27" t="s">
        <v>192</v>
      </c>
      <c r="F28" s="6" t="s">
        <v>193</v>
      </c>
      <c r="H28" t="b">
        <f t="shared" si="24"/>
        <v>1</v>
      </c>
      <c r="I28" t="b">
        <f t="shared" si="25"/>
        <v>1</v>
      </c>
      <c r="J28" t="b">
        <f t="shared" si="26"/>
        <v>1</v>
      </c>
      <c r="K28" t="b">
        <f t="shared" si="27"/>
        <v>1</v>
      </c>
      <c r="L28" t="b">
        <f t="shared" si="28"/>
        <v>1</v>
      </c>
      <c r="M28" t="b">
        <f t="shared" si="29"/>
        <v>1</v>
      </c>
      <c r="N28" t="b">
        <f t="shared" si="30"/>
        <v>1</v>
      </c>
      <c r="O28" t="b">
        <f t="shared" si="31"/>
        <v>1</v>
      </c>
      <c r="P28" t="b">
        <f t="shared" si="32"/>
        <v>1</v>
      </c>
      <c r="Q28" t="b">
        <f t="shared" si="33"/>
        <v>1</v>
      </c>
      <c r="R28" t="b">
        <f t="shared" si="34"/>
        <v>1</v>
      </c>
      <c r="S28" t="b">
        <f t="shared" si="35"/>
        <v>1</v>
      </c>
      <c r="V28" t="b">
        <f t="shared" si="36"/>
        <v>1</v>
      </c>
      <c r="W28" t="b">
        <f t="shared" si="37"/>
        <v>1</v>
      </c>
      <c r="X28" t="b">
        <f t="shared" si="38"/>
        <v>1</v>
      </c>
      <c r="Y28" t="b">
        <f t="shared" si="39"/>
        <v>1</v>
      </c>
      <c r="Z28" t="b">
        <f t="shared" si="40"/>
        <v>1</v>
      </c>
      <c r="AA28" t="b">
        <f t="shared" si="41"/>
        <v>1</v>
      </c>
      <c r="AB28" t="b">
        <f t="shared" si="42"/>
        <v>1</v>
      </c>
      <c r="AC28" t="b">
        <f t="shared" si="43"/>
        <v>1</v>
      </c>
      <c r="AD28" t="b">
        <f t="shared" si="44"/>
        <v>1</v>
      </c>
      <c r="AE28" t="b">
        <f t="shared" si="45"/>
        <v>1</v>
      </c>
      <c r="AF28" t="b">
        <f t="shared" si="46"/>
        <v>1</v>
      </c>
      <c r="AG28" t="b">
        <f t="shared" si="47"/>
        <v>1</v>
      </c>
    </row>
    <row r="29" spans="1:33">
      <c r="A29" s="3" t="s">
        <v>235</v>
      </c>
      <c r="B29" s="27" t="s">
        <v>192</v>
      </c>
      <c r="D29" s="27" t="s">
        <v>192</v>
      </c>
      <c r="E29" s="27" t="s">
        <v>192</v>
      </c>
      <c r="F29" s="6" t="s">
        <v>193</v>
      </c>
      <c r="H29" t="b">
        <f t="shared" si="24"/>
        <v>0</v>
      </c>
      <c r="I29" t="b">
        <f t="shared" si="25"/>
        <v>1</v>
      </c>
      <c r="J29" t="b">
        <f t="shared" si="26"/>
        <v>1</v>
      </c>
      <c r="K29" t="b">
        <f t="shared" si="27"/>
        <v>1</v>
      </c>
      <c r="L29" t="b">
        <f t="shared" si="28"/>
        <v>1</v>
      </c>
      <c r="M29" t="b">
        <f t="shared" si="29"/>
        <v>1</v>
      </c>
      <c r="N29" t="b">
        <f t="shared" si="30"/>
        <v>0</v>
      </c>
      <c r="O29" t="b">
        <f t="shared" si="31"/>
        <v>1</v>
      </c>
      <c r="P29" t="b">
        <f t="shared" si="32"/>
        <v>0</v>
      </c>
      <c r="Q29" t="b">
        <f t="shared" si="33"/>
        <v>1</v>
      </c>
      <c r="R29" t="b">
        <f t="shared" si="34"/>
        <v>1</v>
      </c>
      <c r="S29" t="b">
        <f t="shared" si="35"/>
        <v>1</v>
      </c>
      <c r="V29" t="b">
        <f t="shared" si="36"/>
        <v>0</v>
      </c>
      <c r="W29" t="b">
        <f t="shared" si="37"/>
        <v>1</v>
      </c>
      <c r="X29" t="b">
        <f t="shared" si="38"/>
        <v>1</v>
      </c>
      <c r="Y29" t="b">
        <f t="shared" si="39"/>
        <v>1</v>
      </c>
      <c r="Z29" t="b">
        <f t="shared" si="40"/>
        <v>1</v>
      </c>
      <c r="AA29" t="b">
        <f t="shared" si="41"/>
        <v>1</v>
      </c>
      <c r="AB29" t="b">
        <f t="shared" si="42"/>
        <v>0</v>
      </c>
      <c r="AC29" t="b">
        <f t="shared" si="43"/>
        <v>1</v>
      </c>
      <c r="AD29" t="b">
        <f t="shared" si="44"/>
        <v>0</v>
      </c>
      <c r="AE29" t="b">
        <f t="shared" si="45"/>
        <v>1</v>
      </c>
      <c r="AF29" t="b">
        <f t="shared" si="46"/>
        <v>1</v>
      </c>
      <c r="AG29" t="b">
        <f t="shared" si="47"/>
        <v>1</v>
      </c>
    </row>
    <row r="30" spans="1:33">
      <c r="A30" s="3" t="s">
        <v>240</v>
      </c>
      <c r="B30" s="27" t="s">
        <v>192</v>
      </c>
      <c r="C30" s="27" t="s">
        <v>192</v>
      </c>
      <c r="D30" s="27" t="s">
        <v>192</v>
      </c>
      <c r="E30" s="27" t="s">
        <v>192</v>
      </c>
      <c r="F30" s="6" t="s">
        <v>193</v>
      </c>
      <c r="H30" t="b">
        <f t="shared" si="24"/>
        <v>1</v>
      </c>
      <c r="I30" t="b">
        <f t="shared" si="25"/>
        <v>1</v>
      </c>
      <c r="J30" t="b">
        <f t="shared" si="26"/>
        <v>1</v>
      </c>
      <c r="K30" t="b">
        <f t="shared" si="27"/>
        <v>1</v>
      </c>
      <c r="L30" t="b">
        <f t="shared" si="28"/>
        <v>1</v>
      </c>
      <c r="M30" t="b">
        <f t="shared" si="29"/>
        <v>1</v>
      </c>
      <c r="N30" t="b">
        <f t="shared" si="30"/>
        <v>1</v>
      </c>
      <c r="O30" t="b">
        <f t="shared" si="31"/>
        <v>1</v>
      </c>
      <c r="P30" t="b">
        <f t="shared" si="32"/>
        <v>1</v>
      </c>
      <c r="Q30" t="b">
        <f t="shared" si="33"/>
        <v>1</v>
      </c>
      <c r="R30" t="b">
        <f t="shared" si="34"/>
        <v>1</v>
      </c>
      <c r="S30" t="b">
        <f t="shared" si="35"/>
        <v>1</v>
      </c>
      <c r="V30" t="b">
        <f t="shared" si="36"/>
        <v>1</v>
      </c>
      <c r="W30" t="b">
        <f t="shared" si="37"/>
        <v>1</v>
      </c>
      <c r="X30" t="b">
        <f t="shared" si="38"/>
        <v>1</v>
      </c>
      <c r="Y30" t="b">
        <f t="shared" si="39"/>
        <v>1</v>
      </c>
      <c r="Z30" t="b">
        <f t="shared" si="40"/>
        <v>1</v>
      </c>
      <c r="AA30" t="b">
        <f t="shared" si="41"/>
        <v>1</v>
      </c>
      <c r="AB30" t="b">
        <f t="shared" si="42"/>
        <v>1</v>
      </c>
      <c r="AC30" t="b">
        <f t="shared" si="43"/>
        <v>1</v>
      </c>
      <c r="AD30" t="b">
        <f t="shared" si="44"/>
        <v>1</v>
      </c>
      <c r="AE30" t="b">
        <f t="shared" si="45"/>
        <v>1</v>
      </c>
      <c r="AF30" t="b">
        <f t="shared" si="46"/>
        <v>1</v>
      </c>
      <c r="AG30" t="b">
        <f t="shared" si="47"/>
        <v>1</v>
      </c>
    </row>
    <row r="31" spans="1:33">
      <c r="A31" s="3" t="s">
        <v>246</v>
      </c>
      <c r="B31" s="27" t="s">
        <v>192</v>
      </c>
      <c r="C31" s="27" t="s">
        <v>192</v>
      </c>
      <c r="D31" s="27" t="s">
        <v>192</v>
      </c>
      <c r="E31" s="27" t="s">
        <v>192</v>
      </c>
      <c r="F31" s="6" t="s">
        <v>193</v>
      </c>
      <c r="H31" t="b">
        <f t="shared" si="24"/>
        <v>1</v>
      </c>
      <c r="I31" t="b">
        <f t="shared" si="25"/>
        <v>1</v>
      </c>
      <c r="J31" t="b">
        <f t="shared" si="26"/>
        <v>1</v>
      </c>
      <c r="K31" t="b">
        <f t="shared" si="27"/>
        <v>1</v>
      </c>
      <c r="L31" t="b">
        <f t="shared" si="28"/>
        <v>1</v>
      </c>
      <c r="M31" t="b">
        <f t="shared" si="29"/>
        <v>1</v>
      </c>
      <c r="N31" t="b">
        <f t="shared" si="30"/>
        <v>1</v>
      </c>
      <c r="O31" t="b">
        <f t="shared" si="31"/>
        <v>1</v>
      </c>
      <c r="P31" t="b">
        <f t="shared" si="32"/>
        <v>1</v>
      </c>
      <c r="Q31" t="b">
        <f t="shared" si="33"/>
        <v>1</v>
      </c>
      <c r="R31" t="b">
        <f t="shared" si="34"/>
        <v>1</v>
      </c>
      <c r="S31" t="b">
        <f t="shared" si="35"/>
        <v>1</v>
      </c>
      <c r="V31" t="b">
        <f t="shared" si="36"/>
        <v>1</v>
      </c>
      <c r="W31" t="b">
        <f t="shared" si="37"/>
        <v>1</v>
      </c>
      <c r="X31" t="b">
        <f t="shared" si="38"/>
        <v>1</v>
      </c>
      <c r="Y31" t="b">
        <f t="shared" si="39"/>
        <v>1</v>
      </c>
      <c r="Z31" t="b">
        <f t="shared" si="40"/>
        <v>1</v>
      </c>
      <c r="AA31" t="b">
        <f t="shared" si="41"/>
        <v>1</v>
      </c>
      <c r="AB31" t="b">
        <f t="shared" si="42"/>
        <v>1</v>
      </c>
      <c r="AC31" t="b">
        <f t="shared" si="43"/>
        <v>1</v>
      </c>
      <c r="AD31" t="b">
        <f t="shared" si="44"/>
        <v>1</v>
      </c>
      <c r="AE31" t="b">
        <f t="shared" si="45"/>
        <v>1</v>
      </c>
      <c r="AF31" t="b">
        <f t="shared" si="46"/>
        <v>1</v>
      </c>
      <c r="AG31" t="b">
        <f t="shared" si="47"/>
        <v>1</v>
      </c>
    </row>
    <row r="32" spans="1:33">
      <c r="A32" s="3" t="s">
        <v>248</v>
      </c>
      <c r="B32" s="27" t="s">
        <v>192</v>
      </c>
      <c r="C32" s="27" t="s">
        <v>192</v>
      </c>
      <c r="D32" s="27" t="s">
        <v>192</v>
      </c>
      <c r="E32" s="27" t="s">
        <v>192</v>
      </c>
      <c r="F32" s="6" t="s">
        <v>193</v>
      </c>
      <c r="H32" t="b">
        <f t="shared" si="24"/>
        <v>1</v>
      </c>
      <c r="I32" t="b">
        <f t="shared" si="25"/>
        <v>1</v>
      </c>
      <c r="J32" t="b">
        <f t="shared" si="26"/>
        <v>1</v>
      </c>
      <c r="K32" t="b">
        <f t="shared" si="27"/>
        <v>1</v>
      </c>
      <c r="L32" t="b">
        <f t="shared" si="28"/>
        <v>1</v>
      </c>
      <c r="M32" t="b">
        <f t="shared" si="29"/>
        <v>1</v>
      </c>
      <c r="N32" t="b">
        <f t="shared" si="30"/>
        <v>1</v>
      </c>
      <c r="O32" t="b">
        <f t="shared" si="31"/>
        <v>1</v>
      </c>
      <c r="P32" t="b">
        <f t="shared" si="32"/>
        <v>1</v>
      </c>
      <c r="Q32" t="b">
        <f t="shared" si="33"/>
        <v>1</v>
      </c>
      <c r="R32" t="b">
        <f t="shared" si="34"/>
        <v>1</v>
      </c>
      <c r="S32" t="b">
        <f t="shared" si="35"/>
        <v>1</v>
      </c>
      <c r="V32" t="b">
        <f t="shared" si="36"/>
        <v>1</v>
      </c>
      <c r="W32" t="b">
        <f t="shared" si="37"/>
        <v>1</v>
      </c>
      <c r="X32" t="b">
        <f t="shared" si="38"/>
        <v>1</v>
      </c>
      <c r="Y32" t="b">
        <f t="shared" si="39"/>
        <v>1</v>
      </c>
      <c r="Z32" t="b">
        <f t="shared" si="40"/>
        <v>1</v>
      </c>
      <c r="AA32" t="b">
        <f t="shared" si="41"/>
        <v>1</v>
      </c>
      <c r="AB32" t="b">
        <f t="shared" si="42"/>
        <v>1</v>
      </c>
      <c r="AC32" t="b">
        <f t="shared" si="43"/>
        <v>1</v>
      </c>
      <c r="AD32" t="b">
        <f t="shared" si="44"/>
        <v>1</v>
      </c>
      <c r="AE32" t="b">
        <f t="shared" si="45"/>
        <v>1</v>
      </c>
      <c r="AF32" t="b">
        <f t="shared" si="46"/>
        <v>1</v>
      </c>
      <c r="AG32" t="b">
        <f t="shared" si="47"/>
        <v>1</v>
      </c>
    </row>
    <row r="33" spans="1:34">
      <c r="A33" s="3" t="s">
        <v>250</v>
      </c>
      <c r="B33" s="27" t="s">
        <v>192</v>
      </c>
      <c r="C33" s="27" t="s">
        <v>192</v>
      </c>
      <c r="D33" s="27" t="s">
        <v>192</v>
      </c>
      <c r="E33" s="27" t="s">
        <v>192</v>
      </c>
      <c r="F33" s="6" t="s">
        <v>193</v>
      </c>
      <c r="H33" t="b">
        <f t="shared" si="24"/>
        <v>1</v>
      </c>
      <c r="I33" t="b">
        <f t="shared" si="25"/>
        <v>1</v>
      </c>
      <c r="J33" t="b">
        <f t="shared" si="26"/>
        <v>1</v>
      </c>
      <c r="K33" t="b">
        <f t="shared" si="27"/>
        <v>1</v>
      </c>
      <c r="L33" t="b">
        <f t="shared" si="28"/>
        <v>1</v>
      </c>
      <c r="M33" t="b">
        <f t="shared" si="29"/>
        <v>1</v>
      </c>
      <c r="N33" t="b">
        <f t="shared" si="30"/>
        <v>1</v>
      </c>
      <c r="O33" t="b">
        <f t="shared" si="31"/>
        <v>1</v>
      </c>
      <c r="P33" t="b">
        <f t="shared" si="32"/>
        <v>1</v>
      </c>
      <c r="Q33" t="b">
        <f t="shared" si="33"/>
        <v>1</v>
      </c>
      <c r="R33" t="b">
        <f t="shared" si="34"/>
        <v>1</v>
      </c>
      <c r="S33" t="b">
        <f t="shared" si="35"/>
        <v>1</v>
      </c>
      <c r="V33" t="b">
        <f t="shared" si="36"/>
        <v>1</v>
      </c>
      <c r="W33" t="b">
        <f t="shared" si="37"/>
        <v>1</v>
      </c>
      <c r="X33" t="b">
        <f t="shared" si="38"/>
        <v>1</v>
      </c>
      <c r="Y33" t="b">
        <f t="shared" si="39"/>
        <v>1</v>
      </c>
      <c r="Z33" t="b">
        <f t="shared" si="40"/>
        <v>1</v>
      </c>
      <c r="AA33" t="b">
        <f t="shared" si="41"/>
        <v>1</v>
      </c>
      <c r="AB33" t="b">
        <f t="shared" si="42"/>
        <v>1</v>
      </c>
      <c r="AC33" t="b">
        <f t="shared" si="43"/>
        <v>1</v>
      </c>
      <c r="AD33" t="b">
        <f t="shared" si="44"/>
        <v>1</v>
      </c>
      <c r="AE33" t="b">
        <f t="shared" si="45"/>
        <v>1</v>
      </c>
      <c r="AF33" t="b">
        <f t="shared" si="46"/>
        <v>1</v>
      </c>
      <c r="AG33" t="b">
        <f t="shared" si="47"/>
        <v>1</v>
      </c>
    </row>
    <row r="34" spans="1:34">
      <c r="A34" s="3" t="s">
        <v>298</v>
      </c>
      <c r="B34" s="27" t="s">
        <v>192</v>
      </c>
      <c r="F34" s="6" t="s">
        <v>193</v>
      </c>
      <c r="H34" t="b">
        <f t="shared" si="24"/>
        <v>0</v>
      </c>
      <c r="I34" t="b">
        <f t="shared" si="25"/>
        <v>1</v>
      </c>
      <c r="J34" t="b">
        <f t="shared" si="26"/>
        <v>0</v>
      </c>
      <c r="K34" t="b">
        <f t="shared" si="27"/>
        <v>1</v>
      </c>
      <c r="L34" t="b">
        <f t="shared" si="28"/>
        <v>0</v>
      </c>
      <c r="M34" t="b">
        <f t="shared" si="29"/>
        <v>1</v>
      </c>
      <c r="N34" t="b">
        <f t="shared" si="30"/>
        <v>0</v>
      </c>
      <c r="O34" t="b">
        <f t="shared" si="31"/>
        <v>0</v>
      </c>
      <c r="P34" t="b">
        <f t="shared" si="32"/>
        <v>0</v>
      </c>
      <c r="Q34" t="b">
        <f t="shared" si="33"/>
        <v>0</v>
      </c>
      <c r="R34" t="b">
        <f t="shared" si="34"/>
        <v>0</v>
      </c>
      <c r="S34" t="b">
        <f t="shared" si="35"/>
        <v>0</v>
      </c>
      <c r="V34" t="b">
        <f t="shared" si="36"/>
        <v>0</v>
      </c>
      <c r="W34" t="b">
        <f t="shared" si="37"/>
        <v>1</v>
      </c>
      <c r="X34" t="b">
        <f t="shared" si="38"/>
        <v>0</v>
      </c>
      <c r="Y34" t="b">
        <f t="shared" si="39"/>
        <v>1</v>
      </c>
      <c r="Z34" t="b">
        <f t="shared" si="40"/>
        <v>0</v>
      </c>
      <c r="AA34" t="b">
        <f t="shared" si="41"/>
        <v>1</v>
      </c>
      <c r="AB34" t="b">
        <f t="shared" si="42"/>
        <v>0</v>
      </c>
      <c r="AC34" t="b">
        <f t="shared" si="43"/>
        <v>0</v>
      </c>
      <c r="AD34" t="b">
        <f t="shared" si="44"/>
        <v>0</v>
      </c>
      <c r="AE34" t="b">
        <f t="shared" si="45"/>
        <v>0</v>
      </c>
      <c r="AF34" t="b">
        <f t="shared" si="46"/>
        <v>0</v>
      </c>
      <c r="AG34" t="b">
        <f t="shared" si="47"/>
        <v>0</v>
      </c>
    </row>
    <row r="35" spans="1:34">
      <c r="A35" s="3" t="s">
        <v>351</v>
      </c>
      <c r="B35"/>
      <c r="C35" s="27" t="s">
        <v>192</v>
      </c>
      <c r="D35"/>
      <c r="E35" s="27" t="s">
        <v>192</v>
      </c>
      <c r="F35" s="6" t="s">
        <v>193</v>
      </c>
      <c r="H35" t="b">
        <f t="shared" si="24"/>
        <v>0</v>
      </c>
      <c r="I35" t="b">
        <f t="shared" si="25"/>
        <v>1</v>
      </c>
      <c r="J35" t="b">
        <f t="shared" si="26"/>
        <v>0</v>
      </c>
      <c r="K35" t="b">
        <f t="shared" si="27"/>
        <v>0</v>
      </c>
      <c r="L35" t="b">
        <f t="shared" si="28"/>
        <v>0</v>
      </c>
      <c r="M35" t="b">
        <f t="shared" si="29"/>
        <v>1</v>
      </c>
      <c r="N35" t="b">
        <f t="shared" si="30"/>
        <v>0</v>
      </c>
      <c r="O35" t="b">
        <f t="shared" si="31"/>
        <v>1</v>
      </c>
      <c r="P35" t="b">
        <f t="shared" si="32"/>
        <v>1</v>
      </c>
      <c r="Q35" t="b">
        <f t="shared" si="33"/>
        <v>1</v>
      </c>
      <c r="R35" t="b">
        <f t="shared" si="34"/>
        <v>0</v>
      </c>
      <c r="S35" t="b">
        <f t="shared" si="35"/>
        <v>1</v>
      </c>
      <c r="V35" t="b">
        <f t="shared" si="36"/>
        <v>0</v>
      </c>
      <c r="W35" t="b">
        <f t="shared" si="37"/>
        <v>1</v>
      </c>
      <c r="X35" t="b">
        <f t="shared" si="38"/>
        <v>0</v>
      </c>
      <c r="Y35" t="b">
        <f t="shared" si="39"/>
        <v>0</v>
      </c>
      <c r="Z35" t="b">
        <f t="shared" si="40"/>
        <v>0</v>
      </c>
      <c r="AA35" t="b">
        <f t="shared" si="41"/>
        <v>1</v>
      </c>
      <c r="AB35" t="b">
        <f t="shared" si="42"/>
        <v>0</v>
      </c>
      <c r="AC35" t="b">
        <f t="shared" si="43"/>
        <v>1</v>
      </c>
      <c r="AD35" t="b">
        <f t="shared" si="44"/>
        <v>1</v>
      </c>
      <c r="AE35" t="b">
        <f t="shared" si="45"/>
        <v>1</v>
      </c>
      <c r="AF35" t="b">
        <f t="shared" si="46"/>
        <v>0</v>
      </c>
      <c r="AG35" t="b">
        <f t="shared" si="47"/>
        <v>1</v>
      </c>
    </row>
    <row r="36" spans="1:34">
      <c r="A36" s="3" t="s">
        <v>253</v>
      </c>
      <c r="B36" s="27" t="s">
        <v>220</v>
      </c>
      <c r="C36" s="27" t="s">
        <v>220</v>
      </c>
      <c r="D36" s="27" t="s">
        <v>220</v>
      </c>
      <c r="E36" s="27" t="s">
        <v>220</v>
      </c>
      <c r="F36" s="6" t="s">
        <v>193</v>
      </c>
      <c r="H36" t="b">
        <f t="shared" si="24"/>
        <v>1</v>
      </c>
      <c r="I36" t="b">
        <f t="shared" si="25"/>
        <v>1</v>
      </c>
      <c r="J36" t="b">
        <f t="shared" si="26"/>
        <v>1</v>
      </c>
      <c r="K36" t="b">
        <f t="shared" si="27"/>
        <v>1</v>
      </c>
      <c r="L36" t="b">
        <f t="shared" si="28"/>
        <v>1</v>
      </c>
      <c r="M36" t="b">
        <f t="shared" si="29"/>
        <v>1</v>
      </c>
      <c r="N36" t="b">
        <f t="shared" si="30"/>
        <v>1</v>
      </c>
      <c r="O36" t="b">
        <f t="shared" si="31"/>
        <v>1</v>
      </c>
      <c r="P36" t="b">
        <f t="shared" si="32"/>
        <v>1</v>
      </c>
      <c r="Q36" t="b">
        <f t="shared" si="33"/>
        <v>1</v>
      </c>
      <c r="R36" t="b">
        <f t="shared" si="34"/>
        <v>1</v>
      </c>
      <c r="S36" t="b">
        <f t="shared" si="35"/>
        <v>1</v>
      </c>
      <c r="V36" t="b">
        <f t="shared" si="36"/>
        <v>1</v>
      </c>
      <c r="W36" t="b">
        <f t="shared" si="37"/>
        <v>1</v>
      </c>
      <c r="X36" t="b">
        <f t="shared" si="38"/>
        <v>1</v>
      </c>
      <c r="Y36" t="b">
        <f t="shared" si="39"/>
        <v>1</v>
      </c>
      <c r="Z36" t="b">
        <f t="shared" si="40"/>
        <v>1</v>
      </c>
      <c r="AA36" t="b">
        <f t="shared" si="41"/>
        <v>1</v>
      </c>
      <c r="AB36" t="b">
        <f t="shared" si="42"/>
        <v>1</v>
      </c>
      <c r="AC36" t="b">
        <f t="shared" si="43"/>
        <v>1</v>
      </c>
      <c r="AD36" t="b">
        <f t="shared" si="44"/>
        <v>1</v>
      </c>
      <c r="AE36" t="b">
        <f t="shared" si="45"/>
        <v>1</v>
      </c>
      <c r="AF36" t="b">
        <f t="shared" si="46"/>
        <v>1</v>
      </c>
      <c r="AG36" t="b">
        <f t="shared" si="47"/>
        <v>1</v>
      </c>
    </row>
    <row r="37" spans="1:34">
      <c r="A37" s="3" t="s">
        <v>254</v>
      </c>
      <c r="B37" s="27" t="s">
        <v>192</v>
      </c>
      <c r="E37" s="27" t="s">
        <v>192</v>
      </c>
      <c r="F37" s="6" t="s">
        <v>193</v>
      </c>
      <c r="H37" t="b">
        <f t="shared" si="24"/>
        <v>0</v>
      </c>
      <c r="I37" t="b">
        <f t="shared" si="25"/>
        <v>1</v>
      </c>
      <c r="J37" t="b">
        <f t="shared" si="26"/>
        <v>0</v>
      </c>
      <c r="K37" t="b">
        <f t="shared" si="27"/>
        <v>1</v>
      </c>
      <c r="L37" t="b">
        <f t="shared" si="28"/>
        <v>1</v>
      </c>
      <c r="M37" t="b">
        <f t="shared" si="29"/>
        <v>1</v>
      </c>
      <c r="N37" t="b">
        <f t="shared" si="30"/>
        <v>0</v>
      </c>
      <c r="O37" t="b">
        <f t="shared" si="31"/>
        <v>0</v>
      </c>
      <c r="P37" t="b">
        <f t="shared" si="32"/>
        <v>0</v>
      </c>
      <c r="Q37" t="b">
        <f t="shared" si="33"/>
        <v>1</v>
      </c>
      <c r="R37" t="b">
        <f t="shared" si="34"/>
        <v>0</v>
      </c>
      <c r="S37" t="b">
        <f t="shared" si="35"/>
        <v>1</v>
      </c>
      <c r="V37" t="b">
        <f t="shared" si="36"/>
        <v>0</v>
      </c>
      <c r="W37" t="b">
        <f t="shared" si="37"/>
        <v>1</v>
      </c>
      <c r="X37" t="b">
        <f t="shared" si="38"/>
        <v>0</v>
      </c>
      <c r="Y37" t="b">
        <f t="shared" si="39"/>
        <v>1</v>
      </c>
      <c r="Z37" t="b">
        <f t="shared" si="40"/>
        <v>1</v>
      </c>
      <c r="AA37" t="b">
        <f t="shared" si="41"/>
        <v>1</v>
      </c>
      <c r="AB37" t="b">
        <f t="shared" si="42"/>
        <v>0</v>
      </c>
      <c r="AC37" t="b">
        <f t="shared" si="43"/>
        <v>0</v>
      </c>
      <c r="AD37" t="b">
        <f t="shared" si="44"/>
        <v>0</v>
      </c>
      <c r="AE37" t="b">
        <f t="shared" si="45"/>
        <v>1</v>
      </c>
      <c r="AF37" t="b">
        <f t="shared" si="46"/>
        <v>0</v>
      </c>
      <c r="AG37" t="b">
        <f t="shared" si="47"/>
        <v>1</v>
      </c>
    </row>
    <row r="38" spans="1:34">
      <c r="A38" s="3" t="s">
        <v>255</v>
      </c>
      <c r="B38" s="27" t="s">
        <v>192</v>
      </c>
      <c r="C38" s="27" t="s">
        <v>192</v>
      </c>
      <c r="D38" s="27" t="s">
        <v>192</v>
      </c>
      <c r="E38" s="27" t="s">
        <v>192</v>
      </c>
      <c r="F38" s="6" t="s">
        <v>193</v>
      </c>
      <c r="H38" t="b">
        <f t="shared" si="24"/>
        <v>1</v>
      </c>
      <c r="I38" t="b">
        <f t="shared" si="25"/>
        <v>1</v>
      </c>
      <c r="J38" t="b">
        <f t="shared" si="26"/>
        <v>1</v>
      </c>
      <c r="K38" t="b">
        <f t="shared" si="27"/>
        <v>1</v>
      </c>
      <c r="L38" t="b">
        <f t="shared" si="28"/>
        <v>1</v>
      </c>
      <c r="M38" t="b">
        <f t="shared" si="29"/>
        <v>1</v>
      </c>
      <c r="N38" t="b">
        <f t="shared" si="30"/>
        <v>1</v>
      </c>
      <c r="O38" t="b">
        <f t="shared" si="31"/>
        <v>1</v>
      </c>
      <c r="P38" t="b">
        <f t="shared" si="32"/>
        <v>1</v>
      </c>
      <c r="Q38" t="b">
        <f t="shared" si="33"/>
        <v>1</v>
      </c>
      <c r="R38" t="b">
        <f t="shared" si="34"/>
        <v>1</v>
      </c>
      <c r="S38" t="b">
        <f t="shared" si="35"/>
        <v>1</v>
      </c>
      <c r="V38" t="b">
        <f t="shared" si="36"/>
        <v>1</v>
      </c>
      <c r="W38" t="b">
        <f t="shared" si="37"/>
        <v>1</v>
      </c>
      <c r="X38" t="b">
        <f t="shared" si="38"/>
        <v>1</v>
      </c>
      <c r="Y38" t="b">
        <f t="shared" si="39"/>
        <v>1</v>
      </c>
      <c r="Z38" t="b">
        <f t="shared" si="40"/>
        <v>1</v>
      </c>
      <c r="AA38" t="b">
        <f t="shared" si="41"/>
        <v>1</v>
      </c>
      <c r="AB38" t="b">
        <f t="shared" si="42"/>
        <v>1</v>
      </c>
      <c r="AC38" t="b">
        <f t="shared" si="43"/>
        <v>1</v>
      </c>
      <c r="AD38" t="b">
        <f t="shared" si="44"/>
        <v>1</v>
      </c>
      <c r="AE38" t="b">
        <f t="shared" si="45"/>
        <v>1</v>
      </c>
      <c r="AF38" t="b">
        <f t="shared" si="46"/>
        <v>1</v>
      </c>
      <c r="AG38" t="b">
        <f t="shared" si="47"/>
        <v>1</v>
      </c>
    </row>
    <row r="39" spans="1:34">
      <c r="A39" t="s">
        <v>435</v>
      </c>
      <c r="B39" s="27" t="s">
        <v>192</v>
      </c>
      <c r="D39" s="27" t="s">
        <v>192</v>
      </c>
      <c r="E39" s="27" t="s">
        <v>192</v>
      </c>
      <c r="F39" s="6" t="s">
        <v>196</v>
      </c>
      <c r="H39" t="b">
        <f t="shared" si="24"/>
        <v>0</v>
      </c>
      <c r="I39" t="b">
        <f t="shared" si="25"/>
        <v>1</v>
      </c>
      <c r="J39" t="b">
        <f t="shared" si="26"/>
        <v>1</v>
      </c>
      <c r="K39" t="b">
        <f t="shared" si="27"/>
        <v>1</v>
      </c>
      <c r="L39" t="b">
        <f t="shared" si="28"/>
        <v>1</v>
      </c>
      <c r="M39" t="b">
        <f t="shared" si="29"/>
        <v>1</v>
      </c>
      <c r="N39" t="b">
        <f t="shared" si="30"/>
        <v>0</v>
      </c>
      <c r="O39" t="b">
        <f t="shared" si="31"/>
        <v>1</v>
      </c>
      <c r="P39" t="b">
        <f t="shared" si="32"/>
        <v>0</v>
      </c>
      <c r="Q39" t="b">
        <f t="shared" si="33"/>
        <v>1</v>
      </c>
      <c r="R39" t="b">
        <f t="shared" si="34"/>
        <v>1</v>
      </c>
      <c r="S39" t="b">
        <f t="shared" si="35"/>
        <v>1</v>
      </c>
      <c r="V39" t="b">
        <f t="shared" si="36"/>
        <v>0</v>
      </c>
      <c r="W39" t="b">
        <f t="shared" si="37"/>
        <v>0</v>
      </c>
      <c r="X39" t="b">
        <f t="shared" si="38"/>
        <v>0</v>
      </c>
      <c r="Y39" t="b">
        <f t="shared" si="39"/>
        <v>0</v>
      </c>
      <c r="Z39" t="b">
        <f t="shared" si="40"/>
        <v>0</v>
      </c>
      <c r="AA39" t="b">
        <f t="shared" si="41"/>
        <v>0</v>
      </c>
      <c r="AB39" t="b">
        <f t="shared" si="42"/>
        <v>0</v>
      </c>
      <c r="AC39" t="b">
        <f t="shared" si="43"/>
        <v>0</v>
      </c>
      <c r="AD39" t="b">
        <f t="shared" si="44"/>
        <v>0</v>
      </c>
      <c r="AE39" t="b">
        <f t="shared" si="45"/>
        <v>0</v>
      </c>
      <c r="AF39" t="b">
        <f t="shared" si="46"/>
        <v>0</v>
      </c>
      <c r="AG39" t="b">
        <f t="shared" si="47"/>
        <v>0</v>
      </c>
    </row>
    <row r="40" spans="1:34">
      <c r="A40" t="s">
        <v>436</v>
      </c>
      <c r="D40" s="27" t="s">
        <v>192</v>
      </c>
      <c r="F40" s="6" t="s">
        <v>196</v>
      </c>
      <c r="H40" t="b">
        <f t="shared" si="24"/>
        <v>0</v>
      </c>
      <c r="I40" t="b">
        <f t="shared" si="25"/>
        <v>0</v>
      </c>
      <c r="J40" t="b">
        <f t="shared" si="26"/>
        <v>0</v>
      </c>
      <c r="K40" t="b">
        <f t="shared" si="27"/>
        <v>1</v>
      </c>
      <c r="L40" t="b">
        <f t="shared" si="28"/>
        <v>0</v>
      </c>
      <c r="M40" t="b">
        <f t="shared" si="29"/>
        <v>0</v>
      </c>
      <c r="N40" t="b">
        <f t="shared" si="30"/>
        <v>0</v>
      </c>
      <c r="O40" t="b">
        <f t="shared" si="31"/>
        <v>1</v>
      </c>
      <c r="P40" t="b">
        <f t="shared" si="32"/>
        <v>0</v>
      </c>
      <c r="Q40" t="b">
        <f t="shared" si="33"/>
        <v>0</v>
      </c>
      <c r="R40" t="b">
        <f t="shared" si="34"/>
        <v>0</v>
      </c>
      <c r="S40" t="b">
        <f t="shared" si="35"/>
        <v>1</v>
      </c>
      <c r="V40" t="b">
        <f t="shared" si="36"/>
        <v>0</v>
      </c>
      <c r="W40" t="b">
        <f t="shared" si="37"/>
        <v>0</v>
      </c>
      <c r="X40" t="b">
        <f t="shared" si="38"/>
        <v>0</v>
      </c>
      <c r="Y40" t="b">
        <f t="shared" si="39"/>
        <v>0</v>
      </c>
      <c r="Z40" t="b">
        <f t="shared" si="40"/>
        <v>0</v>
      </c>
      <c r="AA40" t="b">
        <f t="shared" si="41"/>
        <v>0</v>
      </c>
      <c r="AB40" t="b">
        <f t="shared" si="42"/>
        <v>0</v>
      </c>
      <c r="AC40" t="b">
        <f t="shared" si="43"/>
        <v>0</v>
      </c>
      <c r="AD40" t="b">
        <f t="shared" si="44"/>
        <v>0</v>
      </c>
      <c r="AE40" t="b">
        <f t="shared" si="45"/>
        <v>0</v>
      </c>
      <c r="AF40" t="b">
        <f t="shared" si="46"/>
        <v>0</v>
      </c>
      <c r="AG40" t="b">
        <f t="shared" si="47"/>
        <v>0</v>
      </c>
    </row>
    <row r="41" spans="1:34" ht="15">
      <c r="A41" t="s">
        <v>437</v>
      </c>
      <c r="E41" s="27" t="s">
        <v>192</v>
      </c>
      <c r="F41" s="6" t="s">
        <v>196</v>
      </c>
      <c r="H41" t="b">
        <f t="shared" si="24"/>
        <v>0</v>
      </c>
      <c r="I41" t="b">
        <f t="shared" si="25"/>
        <v>0</v>
      </c>
      <c r="J41" t="b">
        <f t="shared" si="26"/>
        <v>0</v>
      </c>
      <c r="K41" t="b">
        <f t="shared" si="27"/>
        <v>0</v>
      </c>
      <c r="L41" t="b">
        <f t="shared" si="28"/>
        <v>0</v>
      </c>
      <c r="M41" t="b">
        <f t="shared" si="29"/>
        <v>1</v>
      </c>
      <c r="N41" t="b">
        <f t="shared" si="30"/>
        <v>0</v>
      </c>
      <c r="O41" t="b">
        <f t="shared" si="31"/>
        <v>0</v>
      </c>
      <c r="P41" t="b">
        <f t="shared" si="32"/>
        <v>0</v>
      </c>
      <c r="Q41" t="b">
        <f t="shared" si="33"/>
        <v>1</v>
      </c>
      <c r="R41" t="b">
        <f t="shared" si="34"/>
        <v>0</v>
      </c>
      <c r="S41" t="b">
        <f t="shared" si="35"/>
        <v>1</v>
      </c>
      <c r="V41" t="b">
        <f t="shared" si="36"/>
        <v>0</v>
      </c>
      <c r="W41" t="b">
        <f t="shared" si="37"/>
        <v>0</v>
      </c>
      <c r="X41" t="b">
        <f t="shared" si="38"/>
        <v>0</v>
      </c>
      <c r="Y41" t="b">
        <f t="shared" si="39"/>
        <v>0</v>
      </c>
      <c r="Z41" t="b">
        <f t="shared" si="40"/>
        <v>0</v>
      </c>
      <c r="AA41" t="b">
        <f t="shared" si="41"/>
        <v>0</v>
      </c>
      <c r="AB41" t="b">
        <f t="shared" si="42"/>
        <v>0</v>
      </c>
      <c r="AC41" t="b">
        <f t="shared" si="43"/>
        <v>0</v>
      </c>
      <c r="AD41" t="b">
        <f t="shared" si="44"/>
        <v>0</v>
      </c>
      <c r="AE41" t="b">
        <f t="shared" si="45"/>
        <v>0</v>
      </c>
      <c r="AF41" t="b">
        <f t="shared" si="46"/>
        <v>0</v>
      </c>
      <c r="AG41" t="b">
        <f t="shared" si="47"/>
        <v>0</v>
      </c>
    </row>
    <row r="42" spans="1:34" ht="15">
      <c r="F42" s="6"/>
    </row>
    <row r="43" spans="1:34">
      <c r="A43" s="47" t="s">
        <v>261</v>
      </c>
      <c r="B43" s="47"/>
      <c r="C43" s="47"/>
      <c r="D43" s="47"/>
      <c r="E43" s="47"/>
      <c r="F43" s="47"/>
      <c r="G43" s="47"/>
      <c r="H43">
        <f>COUNTIF(H2:H41,TRUE())</f>
        <v>16</v>
      </c>
      <c r="I43">
        <f>COUNTIF(I2:I41,TRUE())</f>
        <v>28</v>
      </c>
      <c r="J43">
        <f>COUNTIF(J2:J41,TRUE())</f>
        <v>18</v>
      </c>
      <c r="K43">
        <f>COUNTIF(K2:K41,TRUE())</f>
        <v>33</v>
      </c>
      <c r="L43">
        <f>COUNTIF(L2:L41,TRUE())</f>
        <v>19</v>
      </c>
      <c r="M43">
        <f>COUNTIF(M2:M41,TRUE())</f>
        <v>34</v>
      </c>
      <c r="N43">
        <f>COUNTIF(N2:N41,TRUE())</f>
        <v>15</v>
      </c>
      <c r="O43">
        <f>COUNTIF(O2:O41,TRUE())</f>
        <v>28</v>
      </c>
      <c r="P43">
        <f>COUNTIF(P2:P41,TRUE())</f>
        <v>17</v>
      </c>
      <c r="Q43">
        <f>COUNTIF(Q2:Q41,TRUE())</f>
        <v>28</v>
      </c>
      <c r="R43">
        <f>COUNTIF(R2:R41,TRUE())</f>
        <v>18</v>
      </c>
      <c r="S43">
        <f>COUNTIF(S2:S41,TRUE())</f>
        <v>34</v>
      </c>
      <c r="T43" s="16" t="s">
        <v>262</v>
      </c>
      <c r="V43">
        <f>COUNTIF(V2:V41,TRUE())</f>
        <v>16</v>
      </c>
      <c r="W43">
        <f>COUNTIF(W2:W41,TRUE())</f>
        <v>23</v>
      </c>
      <c r="X43">
        <f>COUNTIF(X2:X41,TRUE())</f>
        <v>17</v>
      </c>
      <c r="Y43">
        <f>COUNTIF(Y2:Y41,TRUE())</f>
        <v>25</v>
      </c>
      <c r="Z43">
        <f>COUNTIF(Z2:Z41,TRUE())</f>
        <v>18</v>
      </c>
      <c r="AA43">
        <f>COUNTIF(AA2:AA41,TRUE())</f>
        <v>24</v>
      </c>
      <c r="AB43">
        <f>COUNTIF(AB2:AB41,TRUE())</f>
        <v>15</v>
      </c>
      <c r="AC43">
        <f>COUNTIF(AC2:AC41,TRUE())</f>
        <v>24</v>
      </c>
      <c r="AD43">
        <f>COUNTIF(AD2:AD41,TRUE())</f>
        <v>17</v>
      </c>
      <c r="AE43">
        <f>COUNTIF(AE2:AE41,TRUE())</f>
        <v>22</v>
      </c>
      <c r="AF43">
        <f>COUNTIF(AF2:AF41,TRUE())</f>
        <v>17</v>
      </c>
      <c r="AG43">
        <f>COUNTIF(AG2:AG41,TRUE())</f>
        <v>25</v>
      </c>
      <c r="AH43" s="16" t="s">
        <v>262</v>
      </c>
    </row>
    <row r="44" spans="1:34">
      <c r="G44" s="6" t="s">
        <v>132</v>
      </c>
      <c r="H44" s="55">
        <f>H43/I43</f>
        <v>0.5714285714285714</v>
      </c>
      <c r="I44" s="55"/>
      <c r="J44" s="55">
        <f>J43/K43</f>
        <v>0.54545454545454541</v>
      </c>
      <c r="K44" s="55"/>
      <c r="L44" s="55">
        <f>L43/M43</f>
        <v>0.55882352941176472</v>
      </c>
      <c r="M44" s="55"/>
      <c r="N44" s="55">
        <f>N43/O43</f>
        <v>0.5357142857142857</v>
      </c>
      <c r="O44" s="55"/>
      <c r="P44" s="55">
        <f>P43/Q43</f>
        <v>0.6071428571428571</v>
      </c>
      <c r="Q44" s="55"/>
      <c r="R44" s="55">
        <f>R43/S43</f>
        <v>0.52941176470588236</v>
      </c>
      <c r="S44" s="55"/>
      <c r="T44" s="24">
        <f>AVERAGE(H44:S44)</f>
        <v>0.55799592564298439</v>
      </c>
      <c r="U44" s="6" t="s">
        <v>132</v>
      </c>
      <c r="V44" s="55">
        <f>V43/W43</f>
        <v>0.69565217391304346</v>
      </c>
      <c r="W44" s="55"/>
      <c r="X44" s="55">
        <f>X43/Y43</f>
        <v>0.68</v>
      </c>
      <c r="Y44" s="55"/>
      <c r="Z44" s="55">
        <f>Z43/AA43</f>
        <v>0.75</v>
      </c>
      <c r="AA44" s="55"/>
      <c r="AB44" s="55">
        <f>AB43/AC43</f>
        <v>0.625</v>
      </c>
      <c r="AC44" s="55"/>
      <c r="AD44" s="55">
        <f>AD43/AE43</f>
        <v>0.77272727272727271</v>
      </c>
      <c r="AE44" s="55"/>
      <c r="AF44" s="55">
        <f>AF43/AG43</f>
        <v>0.68</v>
      </c>
      <c r="AG44" s="55"/>
      <c r="AH44" s="24">
        <f>AVERAGE(V44:AG44)</f>
        <v>0.7005632411067193</v>
      </c>
    </row>
    <row r="45" spans="1:34">
      <c r="T45" s="24">
        <f>GEOMEAN(H44:S44)</f>
        <v>0.55740237868526332</v>
      </c>
      <c r="AH45" s="24">
        <f>GEOMEAN(V44:AG44)</f>
        <v>0.69886975979654109</v>
      </c>
    </row>
    <row r="1048551" ht="15"/>
  </sheetData>
  <autoFilter ref="A1:F41" xr:uid="{00000000-0001-0000-0700-000000000000}"/>
  <mergeCells count="13">
    <mergeCell ref="A43:G43"/>
    <mergeCell ref="H44:I44"/>
    <mergeCell ref="J44:K44"/>
    <mergeCell ref="L44:M44"/>
    <mergeCell ref="N44:O44"/>
    <mergeCell ref="AB44:AC44"/>
    <mergeCell ref="AD44:AE44"/>
    <mergeCell ref="AF44:AG44"/>
    <mergeCell ref="P44:Q44"/>
    <mergeCell ref="R44:S44"/>
    <mergeCell ref="V44:W44"/>
    <mergeCell ref="X44:Y44"/>
    <mergeCell ref="Z44:AA44"/>
  </mergeCells>
  <conditionalFormatting sqref="F2:F42">
    <cfRule type="containsText" dxfId="260" priority="2" operator="containsText" text="No">
      <formula>NOT(ISERROR(SEARCH("No",F2)))</formula>
    </cfRule>
    <cfRule type="containsText" dxfId="259" priority="3" operator="containsText" text="Yes">
      <formula>NOT(ISERROR(SEARCH("Yes",F2)))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F2CA-8A96-4DC4-9847-12EDB80F16AB}">
  <dimension ref="A1:AY271"/>
  <sheetViews>
    <sheetView tabSelected="1" zoomScale="85" zoomScaleNormal="85" workbookViewId="0">
      <pane ySplit="1" topLeftCell="A142" activePane="bottomLeft" state="frozen"/>
      <selection pane="bottomLeft" activeCell="X2" sqref="X2:X155"/>
    </sheetView>
  </sheetViews>
  <sheetFormatPr defaultColWidth="8.7109375" defaultRowHeight="15"/>
  <cols>
    <col min="1" max="1" width="24.42578125" style="3" customWidth="1"/>
    <col min="2" max="2" width="5.5703125" customWidth="1"/>
    <col min="3" max="3" width="22.28515625" customWidth="1"/>
    <col min="4" max="4" width="7.28515625" style="33" customWidth="1"/>
    <col min="5" max="8" width="9.140625" style="27" customWidth="1"/>
    <col min="9" max="9" width="9.140625" style="36" customWidth="1"/>
    <col min="10" max="13" width="9.140625" style="27" customWidth="1"/>
    <col min="14" max="14" width="9.140625" style="36" customWidth="1"/>
    <col min="15" max="18" width="9.140625" style="27" customWidth="1"/>
    <col min="19" max="19" width="9.140625" style="36" customWidth="1"/>
    <col min="20" max="23" width="9.140625" style="27" customWidth="1"/>
    <col min="24" max="24" width="9.140625" style="36" customWidth="1"/>
    <col min="25" max="25" width="11.7109375" customWidth="1"/>
    <col min="26" max="51" width="12.7109375" customWidth="1"/>
  </cols>
  <sheetData>
    <row r="1" spans="1:50">
      <c r="A1" s="3" t="s">
        <v>173</v>
      </c>
      <c r="B1" t="s">
        <v>178</v>
      </c>
      <c r="C1" t="s">
        <v>438</v>
      </c>
      <c r="E1" s="27" t="s">
        <v>48</v>
      </c>
      <c r="F1" s="27" t="s">
        <v>264</v>
      </c>
      <c r="G1" s="27" t="s">
        <v>265</v>
      </c>
      <c r="H1" s="27" t="s">
        <v>266</v>
      </c>
      <c r="I1" s="36" t="s">
        <v>439</v>
      </c>
      <c r="J1" s="27" t="s">
        <v>54</v>
      </c>
      <c r="K1" s="27" t="s">
        <v>306</v>
      </c>
      <c r="L1" s="27" t="s">
        <v>307</v>
      </c>
      <c r="M1" s="27" t="s">
        <v>308</v>
      </c>
      <c r="N1" s="36" t="s">
        <v>440</v>
      </c>
      <c r="O1" s="27" t="s">
        <v>57</v>
      </c>
      <c r="P1" s="27" t="s">
        <v>361</v>
      </c>
      <c r="Q1" s="27" t="s">
        <v>362</v>
      </c>
      <c r="R1" s="27" t="s">
        <v>363</v>
      </c>
      <c r="S1" s="36" t="s">
        <v>441</v>
      </c>
      <c r="T1" s="27" t="s">
        <v>60</v>
      </c>
      <c r="U1" s="27" t="s">
        <v>408</v>
      </c>
      <c r="V1" s="27" t="s">
        <v>409</v>
      </c>
      <c r="W1" s="27" t="s">
        <v>410</v>
      </c>
      <c r="X1" s="36" t="s">
        <v>442</v>
      </c>
      <c r="Z1" t="s">
        <v>443</v>
      </c>
      <c r="AA1" t="s">
        <v>444</v>
      </c>
      <c r="AB1" t="s">
        <v>445</v>
      </c>
      <c r="AC1" t="s">
        <v>446</v>
      </c>
      <c r="AD1" t="s">
        <v>447</v>
      </c>
      <c r="AE1" t="s">
        <v>448</v>
      </c>
      <c r="AF1" t="s">
        <v>449</v>
      </c>
      <c r="AG1" t="s">
        <v>450</v>
      </c>
      <c r="AH1" t="s">
        <v>451</v>
      </c>
      <c r="AI1" t="s">
        <v>452</v>
      </c>
      <c r="AJ1" t="s">
        <v>453</v>
      </c>
      <c r="AK1" t="s">
        <v>454</v>
      </c>
      <c r="AM1" t="s">
        <v>443</v>
      </c>
      <c r="AN1" t="s">
        <v>444</v>
      </c>
      <c r="AO1" t="s">
        <v>445</v>
      </c>
      <c r="AP1" t="s">
        <v>446</v>
      </c>
      <c r="AQ1" t="s">
        <v>447</v>
      </c>
      <c r="AR1" t="s">
        <v>448</v>
      </c>
      <c r="AS1" t="s">
        <v>449</v>
      </c>
      <c r="AT1" t="s">
        <v>450</v>
      </c>
      <c r="AU1" t="s">
        <v>451</v>
      </c>
      <c r="AV1" t="s">
        <v>452</v>
      </c>
      <c r="AW1" t="s">
        <v>453</v>
      </c>
      <c r="AX1" t="s">
        <v>454</v>
      </c>
    </row>
    <row r="2" spans="1:50" ht="14.45">
      <c r="A2" s="3" t="s">
        <v>455</v>
      </c>
      <c r="B2" s="6" t="s">
        <v>193</v>
      </c>
      <c r="C2" s="6"/>
      <c r="D2" s="34" t="s">
        <v>191</v>
      </c>
      <c r="E2" s="35" t="s">
        <v>192</v>
      </c>
      <c r="F2" s="35" t="s">
        <v>192</v>
      </c>
      <c r="G2" s="35" t="s">
        <v>192</v>
      </c>
      <c r="H2" s="35" t="s">
        <v>192</v>
      </c>
      <c r="I2" s="37" t="str">
        <f>IF(COUNTA(E2:H2)&gt;0,"X","")</f>
        <v>X</v>
      </c>
      <c r="J2" s="27" t="s">
        <v>192</v>
      </c>
      <c r="K2" s="27" t="s">
        <v>192</v>
      </c>
      <c r="L2" s="27" t="s">
        <v>192</v>
      </c>
      <c r="M2" s="27" t="s">
        <v>192</v>
      </c>
      <c r="N2" s="37" t="str">
        <f>IF(COUNTA(J2:M2)&gt;0,"X","")</f>
        <v>X</v>
      </c>
      <c r="O2" s="27" t="s">
        <v>192</v>
      </c>
      <c r="P2" s="27" t="s">
        <v>192</v>
      </c>
      <c r="Q2" s="27" t="s">
        <v>192</v>
      </c>
      <c r="R2" s="27" t="s">
        <v>192</v>
      </c>
      <c r="S2" s="37" t="str">
        <f>IF(COUNTA(O2:R2)&gt;0,"X","")</f>
        <v>X</v>
      </c>
      <c r="T2" s="27" t="s">
        <v>220</v>
      </c>
      <c r="U2" s="27" t="s">
        <v>192</v>
      </c>
      <c r="V2" s="27" t="s">
        <v>192</v>
      </c>
      <c r="W2" s="27" t="s">
        <v>192</v>
      </c>
      <c r="X2" s="37" t="str">
        <f>IF(COUNTA(T2:W2)&gt;0,"X","")</f>
        <v>X</v>
      </c>
      <c r="Z2" t="b">
        <f>AND(I2&lt;&gt;"",N2&lt;&gt;"")</f>
        <v>1</v>
      </c>
      <c r="AA2" t="b">
        <f>OR(I2&lt;&gt;"",N2&lt;&gt;"")</f>
        <v>1</v>
      </c>
      <c r="AB2" t="b">
        <f>AND(I2&lt;&gt;"",S2&lt;&gt;"")</f>
        <v>1</v>
      </c>
      <c r="AC2" t="b">
        <f>OR(I2&lt;&gt;"",S2&lt;&gt;"")</f>
        <v>1</v>
      </c>
      <c r="AD2" t="b">
        <f>AND(I2&lt;&gt;"",X2&lt;&gt;"")</f>
        <v>1</v>
      </c>
      <c r="AE2" t="b">
        <f>OR(I2&lt;&gt;"",X2&lt;&gt;"")</f>
        <v>1</v>
      </c>
      <c r="AF2" t="b">
        <f>AND(N2&lt;&gt;"",S2&lt;&gt;"")</f>
        <v>1</v>
      </c>
      <c r="AG2" t="b">
        <f>OR(N2&lt;&gt;"",S2&lt;&gt;"")</f>
        <v>1</v>
      </c>
      <c r="AH2" t="b">
        <f>AND(N2&lt;&gt;"",X2&lt;&gt;"")</f>
        <v>1</v>
      </c>
      <c r="AI2" t="b">
        <f>OR(N2&lt;&gt;"",X2&lt;&gt;"")</f>
        <v>1</v>
      </c>
      <c r="AJ2" t="b">
        <f>AND(S2&lt;&gt;"",X2&lt;&gt;"")</f>
        <v>1</v>
      </c>
      <c r="AK2" t="b">
        <f>OR(S2&lt;&gt;"",X2&lt;&gt;"")</f>
        <v>1</v>
      </c>
      <c r="AM2" t="b">
        <f>AND(I2&lt;&gt;"",N2&lt;&gt;"",B2="No")</f>
        <v>1</v>
      </c>
      <c r="AN2" t="b">
        <f>AND(OR(I2&lt;&gt;"",N2&lt;&gt;""),B2="No")</f>
        <v>1</v>
      </c>
      <c r="AO2" t="b">
        <f>AND(I2&lt;&gt;"",S2&lt;&gt;"",B2="No")</f>
        <v>1</v>
      </c>
      <c r="AP2" t="b">
        <f>AND(OR(I2&lt;&gt;"",S2&lt;&gt;""),B2="No")</f>
        <v>1</v>
      </c>
      <c r="AQ2" t="b">
        <f>AND(I2&lt;&gt;"",X2&lt;&gt;"",B2="No")</f>
        <v>1</v>
      </c>
      <c r="AR2" t="b">
        <f>AND(OR(I2&lt;&gt;"",X2&lt;&gt;""),B2="No")</f>
        <v>1</v>
      </c>
      <c r="AS2" t="b">
        <f>AND(N2&lt;&gt;"",S2&lt;&gt;"",B2="No")</f>
        <v>1</v>
      </c>
      <c r="AT2" t="b">
        <f>AND(OR(N2&lt;&gt;"",S2&lt;&gt;""),B2="No")</f>
        <v>1</v>
      </c>
      <c r="AU2" t="b">
        <f>AND(N2&lt;&gt;"",X2&lt;&gt;"",B2="No")</f>
        <v>1</v>
      </c>
      <c r="AV2" t="b">
        <f>AND(OR(N2&lt;&gt;"",X2&lt;&gt;""),B2="No")</f>
        <v>1</v>
      </c>
      <c r="AW2" t="b">
        <f>AND(S2&lt;&gt;"",X2&lt;&gt;"",B2="No")</f>
        <v>1</v>
      </c>
      <c r="AX2" t="b">
        <f>AND(OR(S2&lt;&gt;"",X2&lt;&gt;""),B2="No")</f>
        <v>1</v>
      </c>
    </row>
    <row r="3" spans="1:50">
      <c r="A3" s="3" t="s">
        <v>456</v>
      </c>
      <c r="B3" s="6" t="s">
        <v>193</v>
      </c>
      <c r="C3" s="6"/>
      <c r="D3" s="34" t="s">
        <v>321</v>
      </c>
      <c r="E3" s="35"/>
      <c r="F3" s="35"/>
      <c r="G3" s="35"/>
      <c r="H3" s="35"/>
      <c r="I3" s="37" t="str">
        <f t="shared" ref="I3:I66" si="0">IF(COUNTA(E3:H3)&gt;0,"X","")</f>
        <v/>
      </c>
      <c r="M3" s="27" t="s">
        <v>220</v>
      </c>
      <c r="N3" s="37" t="str">
        <f t="shared" ref="N3:N66" si="1">IF(COUNTA(J3:M3)&gt;0,"X","")</f>
        <v>X</v>
      </c>
      <c r="O3" s="35"/>
      <c r="P3" s="35"/>
      <c r="Q3" s="35"/>
      <c r="R3" s="35"/>
      <c r="S3" s="37" t="str">
        <f t="shared" ref="S3:S66" si="2">IF(COUNTA(O3:R3)&gt;0,"X","")</f>
        <v/>
      </c>
      <c r="T3" s="35"/>
      <c r="U3" s="35"/>
      <c r="V3" s="35"/>
      <c r="W3" s="35"/>
      <c r="X3" s="37" t="str">
        <f t="shared" ref="X3:X66" si="3">IF(COUNTA(T3:W3)&gt;0,"X","")</f>
        <v/>
      </c>
      <c r="Z3" t="b">
        <f t="shared" ref="Z3:Z66" si="4">AND(I3&lt;&gt;"",N3&lt;&gt;"")</f>
        <v>0</v>
      </c>
      <c r="AA3" t="b">
        <f t="shared" ref="AA3:AA66" si="5">OR(I3&lt;&gt;"",N3&lt;&gt;"")</f>
        <v>1</v>
      </c>
      <c r="AB3" t="b">
        <f t="shared" ref="AB3:AB66" si="6">AND(I3&lt;&gt;"",S3&lt;&gt;"")</f>
        <v>0</v>
      </c>
      <c r="AC3" t="b">
        <f t="shared" ref="AC3:AC66" si="7">OR(I3&lt;&gt;"",S3&lt;&gt;"")</f>
        <v>0</v>
      </c>
      <c r="AD3" t="b">
        <f t="shared" ref="AD3:AD66" si="8">AND(I3&lt;&gt;"",X3&lt;&gt;"")</f>
        <v>0</v>
      </c>
      <c r="AE3" t="b">
        <f t="shared" ref="AE3:AE66" si="9">OR(I3&lt;&gt;"",X3&lt;&gt;"")</f>
        <v>0</v>
      </c>
      <c r="AF3" t="b">
        <f t="shared" ref="AF3:AF66" si="10">AND(N3&lt;&gt;"",S3&lt;&gt;"")</f>
        <v>0</v>
      </c>
      <c r="AG3" t="b">
        <f t="shared" ref="AG3:AG66" si="11">OR(N3&lt;&gt;"",S3&lt;&gt;"")</f>
        <v>1</v>
      </c>
      <c r="AH3" t="b">
        <f t="shared" ref="AH3:AH66" si="12">AND(N3&lt;&gt;"",X3&lt;&gt;"")</f>
        <v>0</v>
      </c>
      <c r="AI3" t="b">
        <f t="shared" ref="AI3:AI66" si="13">OR(N3&lt;&gt;"",X3&lt;&gt;"")</f>
        <v>1</v>
      </c>
      <c r="AJ3" t="b">
        <f t="shared" ref="AJ3:AJ66" si="14">AND(S3&lt;&gt;"",X3&lt;&gt;"")</f>
        <v>0</v>
      </c>
      <c r="AK3" t="b">
        <f t="shared" ref="AK3:AK66" si="15">OR(S3&lt;&gt;"",X3&lt;&gt;"")</f>
        <v>0</v>
      </c>
      <c r="AM3" t="b">
        <f t="shared" ref="AM3:AM66" si="16">AND(I3&lt;&gt;"",N3&lt;&gt;"",B3="No")</f>
        <v>0</v>
      </c>
      <c r="AN3" t="b">
        <f t="shared" ref="AN3:AN66" si="17">AND(OR(I3&lt;&gt;"",N3&lt;&gt;""),B3="No")</f>
        <v>1</v>
      </c>
      <c r="AO3" t="b">
        <f t="shared" ref="AO3:AO66" si="18">AND(I3&lt;&gt;"",S3&lt;&gt;"",B3="No")</f>
        <v>0</v>
      </c>
      <c r="AP3" t="b">
        <f t="shared" ref="AP3:AP66" si="19">AND(OR(I3&lt;&gt;"",S3&lt;&gt;""),B3="No")</f>
        <v>0</v>
      </c>
      <c r="AQ3" t="b">
        <f t="shared" ref="AQ3:AQ66" si="20">AND(I3&lt;&gt;"",X3&lt;&gt;"",B3="No")</f>
        <v>0</v>
      </c>
      <c r="AR3" t="b">
        <f t="shared" ref="AR3:AR66" si="21">AND(OR(I3&lt;&gt;"",X3&lt;&gt;""),B3="No")</f>
        <v>0</v>
      </c>
      <c r="AS3" t="b">
        <f t="shared" ref="AS3:AS66" si="22">AND(N3&lt;&gt;"",S3&lt;&gt;"",B3="No")</f>
        <v>0</v>
      </c>
      <c r="AT3" t="b">
        <f t="shared" ref="AT3:AT66" si="23">AND(OR(N3&lt;&gt;"",S3&lt;&gt;""),B3="No")</f>
        <v>1</v>
      </c>
      <c r="AU3" t="b">
        <f t="shared" ref="AU3:AU66" si="24">AND(N3&lt;&gt;"",X3&lt;&gt;"",B3="No")</f>
        <v>0</v>
      </c>
      <c r="AV3" t="b">
        <f t="shared" ref="AV3:AV66" si="25">AND(OR(N3&lt;&gt;"",X3&lt;&gt;""),B3="No")</f>
        <v>1</v>
      </c>
      <c r="AW3" t="b">
        <f t="shared" ref="AW3:AW66" si="26">AND(S3&lt;&gt;"",X3&lt;&gt;"",B3="No")</f>
        <v>0</v>
      </c>
      <c r="AX3" t="b">
        <f t="shared" ref="AX3:AX66" si="27">AND(OR(S3&lt;&gt;"",X3&lt;&gt;""),B3="No")</f>
        <v>0</v>
      </c>
    </row>
    <row r="4" spans="1:50">
      <c r="A4" s="3" t="s">
        <v>194</v>
      </c>
      <c r="B4" s="6" t="s">
        <v>193</v>
      </c>
      <c r="C4" s="6"/>
      <c r="D4" s="34"/>
      <c r="E4" s="35"/>
      <c r="F4" s="35"/>
      <c r="G4" s="35"/>
      <c r="H4" s="35"/>
      <c r="I4" s="37" t="str">
        <f t="shared" si="0"/>
        <v/>
      </c>
      <c r="J4" s="35"/>
      <c r="K4" s="35"/>
      <c r="L4" s="35"/>
      <c r="M4" s="35"/>
      <c r="N4" s="37" t="str">
        <f t="shared" si="1"/>
        <v/>
      </c>
      <c r="O4" s="35"/>
      <c r="P4" s="35"/>
      <c r="Q4" s="35"/>
      <c r="R4" s="35"/>
      <c r="S4" s="37" t="str">
        <f t="shared" si="2"/>
        <v/>
      </c>
      <c r="T4" s="35"/>
      <c r="U4" s="35"/>
      <c r="V4" s="35"/>
      <c r="W4" s="35"/>
      <c r="X4" s="37" t="str">
        <f t="shared" si="3"/>
        <v/>
      </c>
      <c r="Z4" t="b">
        <f t="shared" si="4"/>
        <v>0</v>
      </c>
      <c r="AA4" t="b">
        <f t="shared" si="5"/>
        <v>0</v>
      </c>
      <c r="AB4" t="b">
        <f t="shared" si="6"/>
        <v>0</v>
      </c>
      <c r="AC4" t="b">
        <f t="shared" si="7"/>
        <v>0</v>
      </c>
      <c r="AD4" t="b">
        <f t="shared" si="8"/>
        <v>0</v>
      </c>
      <c r="AE4" t="b">
        <f t="shared" si="9"/>
        <v>0</v>
      </c>
      <c r="AF4" t="b">
        <f t="shared" si="10"/>
        <v>0</v>
      </c>
      <c r="AG4" t="b">
        <f t="shared" si="11"/>
        <v>0</v>
      </c>
      <c r="AH4" t="b">
        <f t="shared" si="12"/>
        <v>0</v>
      </c>
      <c r="AI4" t="b">
        <f t="shared" si="13"/>
        <v>0</v>
      </c>
      <c r="AJ4" t="b">
        <f t="shared" si="14"/>
        <v>0</v>
      </c>
      <c r="AK4" t="b">
        <f t="shared" si="15"/>
        <v>0</v>
      </c>
      <c r="AM4" t="b">
        <f t="shared" si="16"/>
        <v>0</v>
      </c>
      <c r="AN4" t="b">
        <f t="shared" si="17"/>
        <v>0</v>
      </c>
      <c r="AO4" t="b">
        <f t="shared" si="18"/>
        <v>0</v>
      </c>
      <c r="AP4" t="b">
        <f t="shared" si="19"/>
        <v>0</v>
      </c>
      <c r="AQ4" t="b">
        <f t="shared" si="20"/>
        <v>0</v>
      </c>
      <c r="AR4" t="b">
        <f t="shared" si="21"/>
        <v>0</v>
      </c>
      <c r="AS4" t="b">
        <f t="shared" si="22"/>
        <v>0</v>
      </c>
      <c r="AT4" t="b">
        <f t="shared" si="23"/>
        <v>0</v>
      </c>
      <c r="AU4" t="b">
        <f t="shared" si="24"/>
        <v>0</v>
      </c>
      <c r="AV4" t="b">
        <f t="shared" si="25"/>
        <v>0</v>
      </c>
      <c r="AW4" t="b">
        <f t="shared" si="26"/>
        <v>0</v>
      </c>
      <c r="AX4" t="b">
        <f t="shared" si="27"/>
        <v>0</v>
      </c>
    </row>
    <row r="5" spans="1:50">
      <c r="A5" s="3" t="s">
        <v>457</v>
      </c>
      <c r="B5" s="6" t="s">
        <v>193</v>
      </c>
      <c r="C5" s="6"/>
      <c r="D5" s="34" t="s">
        <v>199</v>
      </c>
      <c r="E5" s="35" t="s">
        <v>192</v>
      </c>
      <c r="F5" s="35" t="s">
        <v>192</v>
      </c>
      <c r="G5" s="35" t="s">
        <v>192</v>
      </c>
      <c r="H5" s="35" t="s">
        <v>192</v>
      </c>
      <c r="I5" s="37" t="str">
        <f t="shared" si="0"/>
        <v>X</v>
      </c>
      <c r="J5" s="27" t="s">
        <v>220</v>
      </c>
      <c r="K5" s="27" t="s">
        <v>192</v>
      </c>
      <c r="L5" s="27" t="s">
        <v>192</v>
      </c>
      <c r="M5" s="27" t="s">
        <v>220</v>
      </c>
      <c r="N5" s="37" t="str">
        <f t="shared" si="1"/>
        <v>X</v>
      </c>
      <c r="O5" s="35"/>
      <c r="P5" s="35"/>
      <c r="Q5" s="35"/>
      <c r="R5" s="35" t="s">
        <v>192</v>
      </c>
      <c r="S5" s="37" t="str">
        <f t="shared" si="2"/>
        <v>X</v>
      </c>
      <c r="T5" s="27" t="s">
        <v>220</v>
      </c>
      <c r="U5" s="27" t="s">
        <v>192</v>
      </c>
      <c r="V5" s="27" t="s">
        <v>192</v>
      </c>
      <c r="W5" s="27" t="s">
        <v>220</v>
      </c>
      <c r="X5" s="37" t="str">
        <f t="shared" si="3"/>
        <v>X</v>
      </c>
      <c r="Z5" t="b">
        <f t="shared" si="4"/>
        <v>1</v>
      </c>
      <c r="AA5" t="b">
        <f t="shared" si="5"/>
        <v>1</v>
      </c>
      <c r="AB5" t="b">
        <f t="shared" si="6"/>
        <v>1</v>
      </c>
      <c r="AC5" t="b">
        <f t="shared" si="7"/>
        <v>1</v>
      </c>
      <c r="AD5" t="b">
        <f t="shared" si="8"/>
        <v>1</v>
      </c>
      <c r="AE5" t="b">
        <f t="shared" si="9"/>
        <v>1</v>
      </c>
      <c r="AF5" t="b">
        <f t="shared" si="10"/>
        <v>1</v>
      </c>
      <c r="AG5" t="b">
        <f t="shared" si="11"/>
        <v>1</v>
      </c>
      <c r="AH5" t="b">
        <f t="shared" si="12"/>
        <v>1</v>
      </c>
      <c r="AI5" t="b">
        <f t="shared" si="13"/>
        <v>1</v>
      </c>
      <c r="AJ5" t="b">
        <f t="shared" si="14"/>
        <v>1</v>
      </c>
      <c r="AK5" t="b">
        <f t="shared" si="15"/>
        <v>1</v>
      </c>
      <c r="AM5" t="b">
        <f t="shared" si="16"/>
        <v>1</v>
      </c>
      <c r="AN5" t="b">
        <f t="shared" si="17"/>
        <v>1</v>
      </c>
      <c r="AO5" t="b">
        <f t="shared" si="18"/>
        <v>1</v>
      </c>
      <c r="AP5" t="b">
        <f t="shared" si="19"/>
        <v>1</v>
      </c>
      <c r="AQ5" t="b">
        <f t="shared" si="20"/>
        <v>1</v>
      </c>
      <c r="AR5" t="b">
        <f t="shared" si="21"/>
        <v>1</v>
      </c>
      <c r="AS5" t="b">
        <f t="shared" si="22"/>
        <v>1</v>
      </c>
      <c r="AT5" t="b">
        <f t="shared" si="23"/>
        <v>1</v>
      </c>
      <c r="AU5" t="b">
        <f t="shared" si="24"/>
        <v>1</v>
      </c>
      <c r="AV5" t="b">
        <f t="shared" si="25"/>
        <v>1</v>
      </c>
      <c r="AW5" t="b">
        <f t="shared" si="26"/>
        <v>1</v>
      </c>
      <c r="AX5" t="b">
        <f t="shared" si="27"/>
        <v>1</v>
      </c>
    </row>
    <row r="6" spans="1:50">
      <c r="A6" s="3" t="s">
        <v>458</v>
      </c>
      <c r="B6" s="6" t="s">
        <v>193</v>
      </c>
      <c r="C6" s="6"/>
      <c r="D6" s="34" t="s">
        <v>279</v>
      </c>
      <c r="E6" s="35"/>
      <c r="F6" s="35"/>
      <c r="G6" s="35" t="s">
        <v>192</v>
      </c>
      <c r="H6" s="35"/>
      <c r="I6" s="37" t="str">
        <f t="shared" si="0"/>
        <v>X</v>
      </c>
      <c r="J6" s="35"/>
      <c r="K6" s="35"/>
      <c r="L6" s="35"/>
      <c r="M6" s="35"/>
      <c r="N6" s="37" t="str">
        <f t="shared" si="1"/>
        <v/>
      </c>
      <c r="O6" s="35"/>
      <c r="P6" s="35"/>
      <c r="Q6" s="35"/>
      <c r="R6" s="35"/>
      <c r="S6" s="37" t="str">
        <f t="shared" si="2"/>
        <v/>
      </c>
      <c r="T6" s="35"/>
      <c r="U6" s="35"/>
      <c r="V6" s="35"/>
      <c r="W6" s="35"/>
      <c r="X6" s="37" t="str">
        <f t="shared" si="3"/>
        <v/>
      </c>
      <c r="Z6" t="b">
        <f t="shared" si="4"/>
        <v>0</v>
      </c>
      <c r="AA6" t="b">
        <f t="shared" si="5"/>
        <v>1</v>
      </c>
      <c r="AB6" t="b">
        <f t="shared" si="6"/>
        <v>0</v>
      </c>
      <c r="AC6" t="b">
        <f t="shared" si="7"/>
        <v>1</v>
      </c>
      <c r="AD6" t="b">
        <f t="shared" si="8"/>
        <v>0</v>
      </c>
      <c r="AE6" t="b">
        <f t="shared" si="9"/>
        <v>1</v>
      </c>
      <c r="AF6" t="b">
        <f t="shared" si="10"/>
        <v>0</v>
      </c>
      <c r="AG6" t="b">
        <f t="shared" si="11"/>
        <v>0</v>
      </c>
      <c r="AH6" t="b">
        <f t="shared" si="12"/>
        <v>0</v>
      </c>
      <c r="AI6" t="b">
        <f t="shared" si="13"/>
        <v>0</v>
      </c>
      <c r="AJ6" t="b">
        <f t="shared" si="14"/>
        <v>0</v>
      </c>
      <c r="AK6" t="b">
        <f t="shared" si="15"/>
        <v>0</v>
      </c>
      <c r="AM6" t="b">
        <f t="shared" si="16"/>
        <v>0</v>
      </c>
      <c r="AN6" t="b">
        <f t="shared" si="17"/>
        <v>1</v>
      </c>
      <c r="AO6" t="b">
        <f t="shared" si="18"/>
        <v>0</v>
      </c>
      <c r="AP6" t="b">
        <f t="shared" si="19"/>
        <v>1</v>
      </c>
      <c r="AQ6" t="b">
        <f t="shared" si="20"/>
        <v>0</v>
      </c>
      <c r="AR6" t="b">
        <f t="shared" si="21"/>
        <v>1</v>
      </c>
      <c r="AS6" t="b">
        <f t="shared" si="22"/>
        <v>0</v>
      </c>
      <c r="AT6" t="b">
        <f t="shared" si="23"/>
        <v>0</v>
      </c>
      <c r="AU6" t="b">
        <f t="shared" si="24"/>
        <v>0</v>
      </c>
      <c r="AV6" t="b">
        <f t="shared" si="25"/>
        <v>0</v>
      </c>
      <c r="AW6" t="b">
        <f t="shared" si="26"/>
        <v>0</v>
      </c>
      <c r="AX6" t="b">
        <f t="shared" si="27"/>
        <v>0</v>
      </c>
    </row>
    <row r="7" spans="1:50">
      <c r="A7" s="3" t="s">
        <v>280</v>
      </c>
      <c r="B7" s="6" t="s">
        <v>193</v>
      </c>
      <c r="C7" s="6"/>
      <c r="D7" s="34"/>
      <c r="E7" s="35" t="s">
        <v>192</v>
      </c>
      <c r="F7" s="35"/>
      <c r="G7" s="35"/>
      <c r="H7" s="35"/>
      <c r="I7" s="37" t="str">
        <f t="shared" si="0"/>
        <v>X</v>
      </c>
      <c r="J7" s="35"/>
      <c r="K7" s="35"/>
      <c r="L7" s="35"/>
      <c r="M7" s="35"/>
      <c r="N7" s="37" t="str">
        <f t="shared" si="1"/>
        <v/>
      </c>
      <c r="O7" s="35"/>
      <c r="P7" s="35"/>
      <c r="Q7" s="35"/>
      <c r="R7" s="35" t="s">
        <v>192</v>
      </c>
      <c r="S7" s="37" t="str">
        <f t="shared" si="2"/>
        <v>X</v>
      </c>
      <c r="T7" s="35"/>
      <c r="U7" s="35"/>
      <c r="V7" s="35"/>
      <c r="W7" s="35"/>
      <c r="X7" s="37" t="str">
        <f t="shared" si="3"/>
        <v/>
      </c>
      <c r="Z7" t="b">
        <f t="shared" si="4"/>
        <v>0</v>
      </c>
      <c r="AA7" t="b">
        <f t="shared" si="5"/>
        <v>1</v>
      </c>
      <c r="AB7" t="b">
        <f t="shared" si="6"/>
        <v>1</v>
      </c>
      <c r="AC7" t="b">
        <f t="shared" si="7"/>
        <v>1</v>
      </c>
      <c r="AD7" t="b">
        <f t="shared" si="8"/>
        <v>0</v>
      </c>
      <c r="AE7" t="b">
        <f t="shared" si="9"/>
        <v>1</v>
      </c>
      <c r="AF7" t="b">
        <f t="shared" si="10"/>
        <v>0</v>
      </c>
      <c r="AG7" t="b">
        <f t="shared" si="11"/>
        <v>1</v>
      </c>
      <c r="AH7" t="b">
        <f t="shared" si="12"/>
        <v>0</v>
      </c>
      <c r="AI7" t="b">
        <f t="shared" si="13"/>
        <v>0</v>
      </c>
      <c r="AJ7" t="b">
        <f t="shared" si="14"/>
        <v>0</v>
      </c>
      <c r="AK7" t="b">
        <f t="shared" si="15"/>
        <v>1</v>
      </c>
      <c r="AM7" t="b">
        <f t="shared" si="16"/>
        <v>0</v>
      </c>
      <c r="AN7" t="b">
        <f t="shared" si="17"/>
        <v>1</v>
      </c>
      <c r="AO7" t="b">
        <f t="shared" si="18"/>
        <v>1</v>
      </c>
      <c r="AP7" t="b">
        <f t="shared" si="19"/>
        <v>1</v>
      </c>
      <c r="AQ7" t="b">
        <f t="shared" si="20"/>
        <v>0</v>
      </c>
      <c r="AR7" t="b">
        <f t="shared" si="21"/>
        <v>1</v>
      </c>
      <c r="AS7" t="b">
        <f t="shared" si="22"/>
        <v>0</v>
      </c>
      <c r="AT7" t="b">
        <f t="shared" si="23"/>
        <v>1</v>
      </c>
      <c r="AU7" t="b">
        <f t="shared" si="24"/>
        <v>0</v>
      </c>
      <c r="AV7" t="b">
        <f t="shared" si="25"/>
        <v>0</v>
      </c>
      <c r="AW7" t="b">
        <f t="shared" si="26"/>
        <v>0</v>
      </c>
      <c r="AX7" t="b">
        <f t="shared" si="27"/>
        <v>1</v>
      </c>
    </row>
    <row r="8" spans="1:50">
      <c r="A8" s="3" t="s">
        <v>281</v>
      </c>
      <c r="B8" s="6" t="s">
        <v>196</v>
      </c>
      <c r="C8" t="s">
        <v>112</v>
      </c>
      <c r="D8" s="34"/>
      <c r="E8" s="35"/>
      <c r="F8" s="35" t="s">
        <v>192</v>
      </c>
      <c r="G8" s="35" t="s">
        <v>192</v>
      </c>
      <c r="H8" s="35"/>
      <c r="I8" s="37" t="str">
        <f t="shared" si="0"/>
        <v>X</v>
      </c>
      <c r="J8" s="35"/>
      <c r="K8" s="35"/>
      <c r="L8" s="35"/>
      <c r="M8" s="35"/>
      <c r="N8" s="37" t="str">
        <f t="shared" si="1"/>
        <v/>
      </c>
      <c r="O8" s="35"/>
      <c r="P8" s="35"/>
      <c r="Q8" s="35"/>
      <c r="R8" s="35"/>
      <c r="S8" s="37" t="str">
        <f t="shared" si="2"/>
        <v/>
      </c>
      <c r="T8" s="35"/>
      <c r="U8" s="35"/>
      <c r="V8" s="35"/>
      <c r="W8" s="35"/>
      <c r="X8" s="37" t="str">
        <f t="shared" si="3"/>
        <v/>
      </c>
      <c r="Z8" t="b">
        <f t="shared" si="4"/>
        <v>0</v>
      </c>
      <c r="AA8" t="b">
        <f t="shared" si="5"/>
        <v>1</v>
      </c>
      <c r="AB8" t="b">
        <f t="shared" si="6"/>
        <v>0</v>
      </c>
      <c r="AC8" t="b">
        <f t="shared" si="7"/>
        <v>1</v>
      </c>
      <c r="AD8" t="b">
        <f t="shared" si="8"/>
        <v>0</v>
      </c>
      <c r="AE8" t="b">
        <f t="shared" si="9"/>
        <v>1</v>
      </c>
      <c r="AF8" t="b">
        <f t="shared" si="10"/>
        <v>0</v>
      </c>
      <c r="AG8" t="b">
        <f t="shared" si="11"/>
        <v>0</v>
      </c>
      <c r="AH8" t="b">
        <f t="shared" si="12"/>
        <v>0</v>
      </c>
      <c r="AI8" t="b">
        <f t="shared" si="13"/>
        <v>0</v>
      </c>
      <c r="AJ8" t="b">
        <f t="shared" si="14"/>
        <v>0</v>
      </c>
      <c r="AK8" t="b">
        <f t="shared" si="15"/>
        <v>0</v>
      </c>
      <c r="AM8" t="b">
        <f t="shared" si="16"/>
        <v>0</v>
      </c>
      <c r="AN8" t="b">
        <f t="shared" si="17"/>
        <v>0</v>
      </c>
      <c r="AO8" t="b">
        <f t="shared" si="18"/>
        <v>0</v>
      </c>
      <c r="AP8" t="b">
        <f t="shared" si="19"/>
        <v>0</v>
      </c>
      <c r="AQ8" t="b">
        <f t="shared" si="20"/>
        <v>0</v>
      </c>
      <c r="AR8" t="b">
        <f t="shared" si="21"/>
        <v>0</v>
      </c>
      <c r="AS8" t="b">
        <f t="shared" si="22"/>
        <v>0</v>
      </c>
      <c r="AT8" t="b">
        <f t="shared" si="23"/>
        <v>0</v>
      </c>
      <c r="AU8" t="b">
        <f t="shared" si="24"/>
        <v>0</v>
      </c>
      <c r="AV8" t="b">
        <f t="shared" si="25"/>
        <v>0</v>
      </c>
      <c r="AW8" t="b">
        <f t="shared" si="26"/>
        <v>0</v>
      </c>
      <c r="AX8" t="b">
        <f t="shared" si="27"/>
        <v>0</v>
      </c>
    </row>
    <row r="9" spans="1:50">
      <c r="A9" s="3" t="s">
        <v>282</v>
      </c>
      <c r="B9" s="6" t="s">
        <v>196</v>
      </c>
      <c r="C9" t="s">
        <v>112</v>
      </c>
      <c r="D9" s="34"/>
      <c r="E9" s="35"/>
      <c r="F9" s="35" t="s">
        <v>192</v>
      </c>
      <c r="G9" s="35"/>
      <c r="H9" s="35"/>
      <c r="I9" s="37" t="str">
        <f t="shared" si="0"/>
        <v>X</v>
      </c>
      <c r="J9" s="35"/>
      <c r="K9" s="35"/>
      <c r="L9" s="35"/>
      <c r="M9" s="35"/>
      <c r="N9" s="37" t="str">
        <f t="shared" si="1"/>
        <v/>
      </c>
      <c r="O9" s="35"/>
      <c r="P9" s="35"/>
      <c r="Q9" s="35"/>
      <c r="R9" s="35"/>
      <c r="S9" s="37" t="str">
        <f t="shared" si="2"/>
        <v/>
      </c>
      <c r="T9" s="35"/>
      <c r="U9" s="35"/>
      <c r="V9" s="35"/>
      <c r="W9" s="35"/>
      <c r="X9" s="37" t="str">
        <f t="shared" si="3"/>
        <v/>
      </c>
      <c r="Z9" t="b">
        <f t="shared" si="4"/>
        <v>0</v>
      </c>
      <c r="AA9" t="b">
        <f t="shared" si="5"/>
        <v>1</v>
      </c>
      <c r="AB9" t="b">
        <f t="shared" si="6"/>
        <v>0</v>
      </c>
      <c r="AC9" t="b">
        <f t="shared" si="7"/>
        <v>1</v>
      </c>
      <c r="AD9" t="b">
        <f t="shared" si="8"/>
        <v>0</v>
      </c>
      <c r="AE9" t="b">
        <f t="shared" si="9"/>
        <v>1</v>
      </c>
      <c r="AF9" t="b">
        <f t="shared" si="10"/>
        <v>0</v>
      </c>
      <c r="AG9" t="b">
        <f t="shared" si="11"/>
        <v>0</v>
      </c>
      <c r="AH9" t="b">
        <f t="shared" si="12"/>
        <v>0</v>
      </c>
      <c r="AI9" t="b">
        <f t="shared" si="13"/>
        <v>0</v>
      </c>
      <c r="AJ9" t="b">
        <f t="shared" si="14"/>
        <v>0</v>
      </c>
      <c r="AK9" t="b">
        <f t="shared" si="15"/>
        <v>0</v>
      </c>
      <c r="AM9" t="b">
        <f t="shared" si="16"/>
        <v>0</v>
      </c>
      <c r="AN9" t="b">
        <f t="shared" si="17"/>
        <v>0</v>
      </c>
      <c r="AO9" t="b">
        <f t="shared" si="18"/>
        <v>0</v>
      </c>
      <c r="AP9" t="b">
        <f t="shared" si="19"/>
        <v>0</v>
      </c>
      <c r="AQ9" t="b">
        <f t="shared" si="20"/>
        <v>0</v>
      </c>
      <c r="AR9" t="b">
        <f t="shared" si="21"/>
        <v>0</v>
      </c>
      <c r="AS9" t="b">
        <f t="shared" si="22"/>
        <v>0</v>
      </c>
      <c r="AT9" t="b">
        <f t="shared" si="23"/>
        <v>0</v>
      </c>
      <c r="AU9" t="b">
        <f t="shared" si="24"/>
        <v>0</v>
      </c>
      <c r="AV9" t="b">
        <f t="shared" si="25"/>
        <v>0</v>
      </c>
      <c r="AW9" t="b">
        <f t="shared" si="26"/>
        <v>0</v>
      </c>
      <c r="AX9" t="b">
        <f t="shared" si="27"/>
        <v>0</v>
      </c>
    </row>
    <row r="10" spans="1:50" ht="29.25">
      <c r="A10" s="3" t="s">
        <v>459</v>
      </c>
      <c r="B10" s="6" t="s">
        <v>196</v>
      </c>
      <c r="C10" t="s">
        <v>112</v>
      </c>
      <c r="D10" s="34"/>
      <c r="E10" s="35"/>
      <c r="F10" s="35"/>
      <c r="G10" s="35" t="s">
        <v>192</v>
      </c>
      <c r="H10" s="35"/>
      <c r="I10" s="37" t="str">
        <f t="shared" si="0"/>
        <v>X</v>
      </c>
      <c r="J10" s="35"/>
      <c r="K10" s="35"/>
      <c r="L10" s="35"/>
      <c r="M10" s="35"/>
      <c r="N10" s="37" t="str">
        <f t="shared" si="1"/>
        <v/>
      </c>
      <c r="O10" s="35"/>
      <c r="P10" s="35" t="s">
        <v>192</v>
      </c>
      <c r="Q10" s="35" t="s">
        <v>192</v>
      </c>
      <c r="R10" s="35"/>
      <c r="S10" s="37" t="str">
        <f t="shared" si="2"/>
        <v>X</v>
      </c>
      <c r="T10" s="35"/>
      <c r="U10" s="35"/>
      <c r="V10" s="35"/>
      <c r="W10" s="35"/>
      <c r="X10" s="37" t="str">
        <f t="shared" si="3"/>
        <v/>
      </c>
      <c r="Z10" t="b">
        <f t="shared" si="4"/>
        <v>0</v>
      </c>
      <c r="AA10" t="b">
        <f t="shared" si="5"/>
        <v>1</v>
      </c>
      <c r="AB10" t="b">
        <f t="shared" si="6"/>
        <v>1</v>
      </c>
      <c r="AC10" t="b">
        <f t="shared" si="7"/>
        <v>1</v>
      </c>
      <c r="AD10" t="b">
        <f t="shared" si="8"/>
        <v>0</v>
      </c>
      <c r="AE10" t="b">
        <f t="shared" si="9"/>
        <v>1</v>
      </c>
      <c r="AF10" t="b">
        <f t="shared" si="10"/>
        <v>0</v>
      </c>
      <c r="AG10" t="b">
        <f t="shared" si="11"/>
        <v>1</v>
      </c>
      <c r="AH10" t="b">
        <f t="shared" si="12"/>
        <v>0</v>
      </c>
      <c r="AI10" t="b">
        <f t="shared" si="13"/>
        <v>0</v>
      </c>
      <c r="AJ10" t="b">
        <f t="shared" si="14"/>
        <v>0</v>
      </c>
      <c r="AK10" t="b">
        <f t="shared" si="15"/>
        <v>1</v>
      </c>
      <c r="AM10" t="b">
        <f t="shared" si="16"/>
        <v>0</v>
      </c>
      <c r="AN10" t="b">
        <f t="shared" si="17"/>
        <v>0</v>
      </c>
      <c r="AO10" t="b">
        <f t="shared" si="18"/>
        <v>0</v>
      </c>
      <c r="AP10" t="b">
        <f t="shared" si="19"/>
        <v>0</v>
      </c>
      <c r="AQ10" t="b">
        <f t="shared" si="20"/>
        <v>0</v>
      </c>
      <c r="AR10" t="b">
        <f t="shared" si="21"/>
        <v>0</v>
      </c>
      <c r="AS10" t="b">
        <f t="shared" si="22"/>
        <v>0</v>
      </c>
      <c r="AT10" t="b">
        <f t="shared" si="23"/>
        <v>0</v>
      </c>
      <c r="AU10" t="b">
        <f t="shared" si="24"/>
        <v>0</v>
      </c>
      <c r="AV10" t="b">
        <f t="shared" si="25"/>
        <v>0</v>
      </c>
      <c r="AW10" t="b">
        <f t="shared" si="26"/>
        <v>0</v>
      </c>
      <c r="AX10" t="b">
        <f t="shared" si="27"/>
        <v>0</v>
      </c>
    </row>
    <row r="11" spans="1:50" ht="29.25">
      <c r="A11" s="3" t="s">
        <v>376</v>
      </c>
      <c r="B11" s="6" t="s">
        <v>196</v>
      </c>
      <c r="C11" t="s">
        <v>112</v>
      </c>
      <c r="D11" s="34"/>
      <c r="E11" s="35"/>
      <c r="F11" s="35"/>
      <c r="G11" s="35"/>
      <c r="H11" s="35"/>
      <c r="I11" s="37" t="str">
        <f t="shared" si="0"/>
        <v/>
      </c>
      <c r="J11" s="35"/>
      <c r="K11" s="35"/>
      <c r="L11" s="35"/>
      <c r="M11" s="35"/>
      <c r="N11" s="37" t="str">
        <f t="shared" si="1"/>
        <v/>
      </c>
      <c r="O11" s="35" t="s">
        <v>192</v>
      </c>
      <c r="P11" s="35" t="s">
        <v>192</v>
      </c>
      <c r="Q11" s="35" t="s">
        <v>192</v>
      </c>
      <c r="R11" s="35"/>
      <c r="S11" s="37" t="str">
        <f t="shared" si="2"/>
        <v>X</v>
      </c>
      <c r="T11" s="35"/>
      <c r="U11" s="35"/>
      <c r="V11" s="35"/>
      <c r="W11" s="35"/>
      <c r="X11" s="37" t="str">
        <f t="shared" si="3"/>
        <v/>
      </c>
      <c r="Z11" t="b">
        <f t="shared" si="4"/>
        <v>0</v>
      </c>
      <c r="AA11" t="b">
        <f t="shared" si="5"/>
        <v>0</v>
      </c>
      <c r="AB11" t="b">
        <f t="shared" si="6"/>
        <v>0</v>
      </c>
      <c r="AC11" t="b">
        <f t="shared" si="7"/>
        <v>1</v>
      </c>
      <c r="AD11" t="b">
        <f t="shared" si="8"/>
        <v>0</v>
      </c>
      <c r="AE11" t="b">
        <f t="shared" si="9"/>
        <v>0</v>
      </c>
      <c r="AF11" t="b">
        <f t="shared" si="10"/>
        <v>0</v>
      </c>
      <c r="AG11" t="b">
        <f t="shared" si="11"/>
        <v>1</v>
      </c>
      <c r="AH11" t="b">
        <f t="shared" si="12"/>
        <v>0</v>
      </c>
      <c r="AI11" t="b">
        <f t="shared" si="13"/>
        <v>0</v>
      </c>
      <c r="AJ11" t="b">
        <f t="shared" si="14"/>
        <v>0</v>
      </c>
      <c r="AK11" t="b">
        <f t="shared" si="15"/>
        <v>1</v>
      </c>
      <c r="AM11" t="b">
        <f t="shared" si="16"/>
        <v>0</v>
      </c>
      <c r="AN11" t="b">
        <f t="shared" si="17"/>
        <v>0</v>
      </c>
      <c r="AO11" t="b">
        <f t="shared" si="18"/>
        <v>0</v>
      </c>
      <c r="AP11" t="b">
        <f t="shared" si="19"/>
        <v>0</v>
      </c>
      <c r="AQ11" t="b">
        <f t="shared" si="20"/>
        <v>0</v>
      </c>
      <c r="AR11" t="b">
        <f t="shared" si="21"/>
        <v>0</v>
      </c>
      <c r="AS11" t="b">
        <f t="shared" si="22"/>
        <v>0</v>
      </c>
      <c r="AT11" t="b">
        <f t="shared" si="23"/>
        <v>0</v>
      </c>
      <c r="AU11" t="b">
        <f t="shared" si="24"/>
        <v>0</v>
      </c>
      <c r="AV11" t="b">
        <f t="shared" si="25"/>
        <v>0</v>
      </c>
      <c r="AW11" t="b">
        <f t="shared" si="26"/>
        <v>0</v>
      </c>
      <c r="AX11" t="b">
        <f t="shared" si="27"/>
        <v>0</v>
      </c>
    </row>
    <row r="12" spans="1:50">
      <c r="A12" s="3" t="s">
        <v>460</v>
      </c>
      <c r="B12" s="6" t="s">
        <v>196</v>
      </c>
      <c r="C12" t="s">
        <v>112</v>
      </c>
      <c r="D12" s="34"/>
      <c r="E12" s="35"/>
      <c r="F12" s="35"/>
      <c r="G12" s="35"/>
      <c r="H12" s="35"/>
      <c r="I12" s="37" t="str">
        <f t="shared" si="0"/>
        <v/>
      </c>
      <c r="J12" s="35"/>
      <c r="K12" s="35"/>
      <c r="L12" s="27" t="s">
        <v>192</v>
      </c>
      <c r="M12" s="35"/>
      <c r="N12" s="37" t="str">
        <f t="shared" si="1"/>
        <v>X</v>
      </c>
      <c r="O12" s="35"/>
      <c r="P12" s="35" t="s">
        <v>192</v>
      </c>
      <c r="Q12" s="35"/>
      <c r="R12" s="35"/>
      <c r="S12" s="37" t="str">
        <f t="shared" si="2"/>
        <v>X</v>
      </c>
      <c r="T12" s="35"/>
      <c r="U12" s="35"/>
      <c r="V12" s="35"/>
      <c r="W12" s="35"/>
      <c r="X12" s="37" t="str">
        <f t="shared" si="3"/>
        <v/>
      </c>
      <c r="Z12" t="b">
        <f t="shared" si="4"/>
        <v>0</v>
      </c>
      <c r="AA12" t="b">
        <f t="shared" si="5"/>
        <v>1</v>
      </c>
      <c r="AB12" t="b">
        <f t="shared" si="6"/>
        <v>0</v>
      </c>
      <c r="AC12" t="b">
        <f t="shared" si="7"/>
        <v>1</v>
      </c>
      <c r="AD12" t="b">
        <f t="shared" si="8"/>
        <v>0</v>
      </c>
      <c r="AE12" t="b">
        <f t="shared" si="9"/>
        <v>0</v>
      </c>
      <c r="AF12" t="b">
        <f t="shared" si="10"/>
        <v>1</v>
      </c>
      <c r="AG12" t="b">
        <f t="shared" si="11"/>
        <v>1</v>
      </c>
      <c r="AH12" t="b">
        <f t="shared" si="12"/>
        <v>0</v>
      </c>
      <c r="AI12" t="b">
        <f t="shared" si="13"/>
        <v>1</v>
      </c>
      <c r="AJ12" t="b">
        <f t="shared" si="14"/>
        <v>0</v>
      </c>
      <c r="AK12" t="b">
        <f t="shared" si="15"/>
        <v>1</v>
      </c>
      <c r="AM12" t="b">
        <f t="shared" si="16"/>
        <v>0</v>
      </c>
      <c r="AN12" t="b">
        <f t="shared" si="17"/>
        <v>0</v>
      </c>
      <c r="AO12" t="b">
        <f t="shared" si="18"/>
        <v>0</v>
      </c>
      <c r="AP12" t="b">
        <f t="shared" si="19"/>
        <v>0</v>
      </c>
      <c r="AQ12" t="b">
        <f t="shared" si="20"/>
        <v>0</v>
      </c>
      <c r="AR12" t="b">
        <f t="shared" si="21"/>
        <v>0</v>
      </c>
      <c r="AS12" t="b">
        <f t="shared" si="22"/>
        <v>0</v>
      </c>
      <c r="AT12" t="b">
        <f t="shared" si="23"/>
        <v>0</v>
      </c>
      <c r="AU12" t="b">
        <f t="shared" si="24"/>
        <v>0</v>
      </c>
      <c r="AV12" t="b">
        <f t="shared" si="25"/>
        <v>0</v>
      </c>
      <c r="AW12" t="b">
        <f t="shared" si="26"/>
        <v>0</v>
      </c>
      <c r="AX12" t="b">
        <f t="shared" si="27"/>
        <v>0</v>
      </c>
    </row>
    <row r="13" spans="1:50">
      <c r="A13" s="3" t="s">
        <v>377</v>
      </c>
      <c r="B13" s="6" t="s">
        <v>196</v>
      </c>
      <c r="C13" t="s">
        <v>114</v>
      </c>
      <c r="D13" s="34"/>
      <c r="E13" s="35"/>
      <c r="F13" s="35"/>
      <c r="G13" s="35"/>
      <c r="H13" s="35"/>
      <c r="I13" s="37" t="str">
        <f t="shared" si="0"/>
        <v/>
      </c>
      <c r="J13" s="35"/>
      <c r="K13" s="35"/>
      <c r="L13" s="35"/>
      <c r="M13" s="35"/>
      <c r="N13" s="37" t="str">
        <f t="shared" si="1"/>
        <v/>
      </c>
      <c r="O13" s="35" t="s">
        <v>192</v>
      </c>
      <c r="P13" s="35" t="s">
        <v>192</v>
      </c>
      <c r="Q13" s="35"/>
      <c r="R13" s="35"/>
      <c r="S13" s="37" t="str">
        <f t="shared" si="2"/>
        <v>X</v>
      </c>
      <c r="T13" s="35"/>
      <c r="U13" s="35"/>
      <c r="V13" s="35"/>
      <c r="W13" s="35"/>
      <c r="X13" s="37" t="str">
        <f t="shared" si="3"/>
        <v/>
      </c>
      <c r="Z13" t="b">
        <f t="shared" si="4"/>
        <v>0</v>
      </c>
      <c r="AA13" t="b">
        <f t="shared" si="5"/>
        <v>0</v>
      </c>
      <c r="AB13" t="b">
        <f t="shared" si="6"/>
        <v>0</v>
      </c>
      <c r="AC13" t="b">
        <f t="shared" si="7"/>
        <v>1</v>
      </c>
      <c r="AD13" t="b">
        <f t="shared" si="8"/>
        <v>0</v>
      </c>
      <c r="AE13" t="b">
        <f t="shared" si="9"/>
        <v>0</v>
      </c>
      <c r="AF13" t="b">
        <f t="shared" si="10"/>
        <v>0</v>
      </c>
      <c r="AG13" t="b">
        <f t="shared" si="11"/>
        <v>1</v>
      </c>
      <c r="AH13" t="b">
        <f t="shared" si="12"/>
        <v>0</v>
      </c>
      <c r="AI13" t="b">
        <f t="shared" si="13"/>
        <v>0</v>
      </c>
      <c r="AJ13" t="b">
        <f t="shared" si="14"/>
        <v>0</v>
      </c>
      <c r="AK13" t="b">
        <f t="shared" si="15"/>
        <v>1</v>
      </c>
      <c r="AM13" t="b">
        <f t="shared" si="16"/>
        <v>0</v>
      </c>
      <c r="AN13" t="b">
        <f t="shared" si="17"/>
        <v>0</v>
      </c>
      <c r="AO13" t="b">
        <f t="shared" si="18"/>
        <v>0</v>
      </c>
      <c r="AP13" t="b">
        <f t="shared" si="19"/>
        <v>0</v>
      </c>
      <c r="AQ13" t="b">
        <f t="shared" si="20"/>
        <v>0</v>
      </c>
      <c r="AR13" t="b">
        <f t="shared" si="21"/>
        <v>0</v>
      </c>
      <c r="AS13" t="b">
        <f t="shared" si="22"/>
        <v>0</v>
      </c>
      <c r="AT13" t="b">
        <f t="shared" si="23"/>
        <v>0</v>
      </c>
      <c r="AU13" t="b">
        <f t="shared" si="24"/>
        <v>0</v>
      </c>
      <c r="AV13" t="b">
        <f t="shared" si="25"/>
        <v>0</v>
      </c>
      <c r="AW13" t="b">
        <f t="shared" si="26"/>
        <v>0</v>
      </c>
      <c r="AX13" t="b">
        <f t="shared" si="27"/>
        <v>0</v>
      </c>
    </row>
    <row r="14" spans="1:50">
      <c r="A14" s="3" t="s">
        <v>378</v>
      </c>
      <c r="B14" s="6" t="s">
        <v>196</v>
      </c>
      <c r="C14" t="s">
        <v>114</v>
      </c>
      <c r="D14" s="34"/>
      <c r="E14" s="35"/>
      <c r="F14" s="35"/>
      <c r="G14" s="35"/>
      <c r="H14" s="35"/>
      <c r="I14" s="37" t="str">
        <f t="shared" si="0"/>
        <v/>
      </c>
      <c r="J14" s="35"/>
      <c r="K14" s="35"/>
      <c r="L14" s="35"/>
      <c r="M14" s="35"/>
      <c r="N14" s="37" t="str">
        <f t="shared" si="1"/>
        <v/>
      </c>
      <c r="O14" s="35" t="s">
        <v>192</v>
      </c>
      <c r="P14" s="35"/>
      <c r="Q14" s="35"/>
      <c r="R14" s="35"/>
      <c r="S14" s="37" t="str">
        <f t="shared" si="2"/>
        <v>X</v>
      </c>
      <c r="T14" s="35"/>
      <c r="U14" s="35"/>
      <c r="V14" s="35"/>
      <c r="W14" s="35"/>
      <c r="X14" s="37" t="str">
        <f t="shared" si="3"/>
        <v/>
      </c>
      <c r="Z14" t="b">
        <f t="shared" si="4"/>
        <v>0</v>
      </c>
      <c r="AA14" t="b">
        <f t="shared" si="5"/>
        <v>0</v>
      </c>
      <c r="AB14" t="b">
        <f t="shared" si="6"/>
        <v>0</v>
      </c>
      <c r="AC14" t="b">
        <f t="shared" si="7"/>
        <v>1</v>
      </c>
      <c r="AD14" t="b">
        <f t="shared" si="8"/>
        <v>0</v>
      </c>
      <c r="AE14" t="b">
        <f t="shared" si="9"/>
        <v>0</v>
      </c>
      <c r="AF14" t="b">
        <f t="shared" si="10"/>
        <v>0</v>
      </c>
      <c r="AG14" t="b">
        <f t="shared" si="11"/>
        <v>1</v>
      </c>
      <c r="AH14" t="b">
        <f t="shared" si="12"/>
        <v>0</v>
      </c>
      <c r="AI14" t="b">
        <f t="shared" si="13"/>
        <v>0</v>
      </c>
      <c r="AJ14" t="b">
        <f t="shared" si="14"/>
        <v>0</v>
      </c>
      <c r="AK14" t="b">
        <f t="shared" si="15"/>
        <v>1</v>
      </c>
      <c r="AM14" t="b">
        <f t="shared" si="16"/>
        <v>0</v>
      </c>
      <c r="AN14" t="b">
        <f t="shared" si="17"/>
        <v>0</v>
      </c>
      <c r="AO14" t="b">
        <f t="shared" si="18"/>
        <v>0</v>
      </c>
      <c r="AP14" t="b">
        <f t="shared" si="19"/>
        <v>0</v>
      </c>
      <c r="AQ14" t="b">
        <f t="shared" si="20"/>
        <v>0</v>
      </c>
      <c r="AR14" t="b">
        <f t="shared" si="21"/>
        <v>0</v>
      </c>
      <c r="AS14" t="b">
        <f t="shared" si="22"/>
        <v>0</v>
      </c>
      <c r="AT14" t="b">
        <f t="shared" si="23"/>
        <v>0</v>
      </c>
      <c r="AU14" t="b">
        <f t="shared" si="24"/>
        <v>0</v>
      </c>
      <c r="AV14" t="b">
        <f t="shared" si="25"/>
        <v>0</v>
      </c>
      <c r="AW14" t="b">
        <f t="shared" si="26"/>
        <v>0</v>
      </c>
      <c r="AX14" t="b">
        <f t="shared" si="27"/>
        <v>0</v>
      </c>
    </row>
    <row r="15" spans="1:50">
      <c r="A15" s="3" t="s">
        <v>379</v>
      </c>
      <c r="B15" s="6" t="s">
        <v>196</v>
      </c>
      <c r="C15" t="s">
        <v>114</v>
      </c>
      <c r="D15" s="34"/>
      <c r="E15" s="35"/>
      <c r="F15" s="35"/>
      <c r="G15" s="35"/>
      <c r="H15" s="35"/>
      <c r="I15" s="37" t="str">
        <f t="shared" si="0"/>
        <v/>
      </c>
      <c r="J15" s="35"/>
      <c r="K15" s="35"/>
      <c r="L15" s="35"/>
      <c r="M15" s="35"/>
      <c r="N15" s="37" t="str">
        <f t="shared" si="1"/>
        <v/>
      </c>
      <c r="O15" s="35" t="s">
        <v>192</v>
      </c>
      <c r="P15" s="35"/>
      <c r="Q15" s="35" t="s">
        <v>192</v>
      </c>
      <c r="R15" s="35"/>
      <c r="S15" s="37" t="str">
        <f t="shared" si="2"/>
        <v>X</v>
      </c>
      <c r="T15" s="35"/>
      <c r="U15" s="35"/>
      <c r="V15" s="35"/>
      <c r="W15" s="35"/>
      <c r="X15" s="37" t="str">
        <f t="shared" si="3"/>
        <v/>
      </c>
      <c r="Z15" t="b">
        <f t="shared" si="4"/>
        <v>0</v>
      </c>
      <c r="AA15" t="b">
        <f t="shared" si="5"/>
        <v>0</v>
      </c>
      <c r="AB15" t="b">
        <f t="shared" si="6"/>
        <v>0</v>
      </c>
      <c r="AC15" t="b">
        <f t="shared" si="7"/>
        <v>1</v>
      </c>
      <c r="AD15" t="b">
        <f t="shared" si="8"/>
        <v>0</v>
      </c>
      <c r="AE15" t="b">
        <f t="shared" si="9"/>
        <v>0</v>
      </c>
      <c r="AF15" t="b">
        <f t="shared" si="10"/>
        <v>0</v>
      </c>
      <c r="AG15" t="b">
        <f t="shared" si="11"/>
        <v>1</v>
      </c>
      <c r="AH15" t="b">
        <f t="shared" si="12"/>
        <v>0</v>
      </c>
      <c r="AI15" t="b">
        <f t="shared" si="13"/>
        <v>0</v>
      </c>
      <c r="AJ15" t="b">
        <f t="shared" si="14"/>
        <v>0</v>
      </c>
      <c r="AK15" t="b">
        <f t="shared" si="15"/>
        <v>1</v>
      </c>
      <c r="AM15" t="b">
        <f t="shared" si="16"/>
        <v>0</v>
      </c>
      <c r="AN15" t="b">
        <f t="shared" si="17"/>
        <v>0</v>
      </c>
      <c r="AO15" t="b">
        <f t="shared" si="18"/>
        <v>0</v>
      </c>
      <c r="AP15" t="b">
        <f t="shared" si="19"/>
        <v>0</v>
      </c>
      <c r="AQ15" t="b">
        <f t="shared" si="20"/>
        <v>0</v>
      </c>
      <c r="AR15" t="b">
        <f t="shared" si="21"/>
        <v>0</v>
      </c>
      <c r="AS15" t="b">
        <f t="shared" si="22"/>
        <v>0</v>
      </c>
      <c r="AT15" t="b">
        <f t="shared" si="23"/>
        <v>0</v>
      </c>
      <c r="AU15" t="b">
        <f t="shared" si="24"/>
        <v>0</v>
      </c>
      <c r="AV15" t="b">
        <f t="shared" si="25"/>
        <v>0</v>
      </c>
      <c r="AW15" t="b">
        <f t="shared" si="26"/>
        <v>0</v>
      </c>
      <c r="AX15" t="b">
        <f t="shared" si="27"/>
        <v>0</v>
      </c>
    </row>
    <row r="16" spans="1:50">
      <c r="A16" s="3" t="s">
        <v>382</v>
      </c>
      <c r="B16" s="6" t="s">
        <v>196</v>
      </c>
      <c r="C16" t="s">
        <v>112</v>
      </c>
      <c r="D16" s="34"/>
      <c r="E16" s="35"/>
      <c r="F16" s="35"/>
      <c r="G16" s="35"/>
      <c r="H16" s="35"/>
      <c r="I16" s="37" t="str">
        <f t="shared" si="0"/>
        <v/>
      </c>
      <c r="J16" s="35"/>
      <c r="K16" s="35"/>
      <c r="L16" s="35"/>
      <c r="M16" s="35"/>
      <c r="N16" s="37" t="str">
        <f t="shared" si="1"/>
        <v/>
      </c>
      <c r="O16" s="35"/>
      <c r="P16" s="35" t="s">
        <v>192</v>
      </c>
      <c r="Q16" s="35"/>
      <c r="R16" s="35"/>
      <c r="S16" s="37" t="str">
        <f t="shared" si="2"/>
        <v>X</v>
      </c>
      <c r="T16" s="35"/>
      <c r="U16" s="35"/>
      <c r="V16" s="35"/>
      <c r="W16" s="35"/>
      <c r="X16" s="37" t="str">
        <f t="shared" si="3"/>
        <v/>
      </c>
      <c r="Z16" t="b">
        <f t="shared" si="4"/>
        <v>0</v>
      </c>
      <c r="AA16" t="b">
        <f t="shared" si="5"/>
        <v>0</v>
      </c>
      <c r="AB16" t="b">
        <f t="shared" si="6"/>
        <v>0</v>
      </c>
      <c r="AC16" t="b">
        <f t="shared" si="7"/>
        <v>1</v>
      </c>
      <c r="AD16" t="b">
        <f t="shared" si="8"/>
        <v>0</v>
      </c>
      <c r="AE16" t="b">
        <f t="shared" si="9"/>
        <v>0</v>
      </c>
      <c r="AF16" t="b">
        <f t="shared" si="10"/>
        <v>0</v>
      </c>
      <c r="AG16" t="b">
        <f t="shared" si="11"/>
        <v>1</v>
      </c>
      <c r="AH16" t="b">
        <f t="shared" si="12"/>
        <v>0</v>
      </c>
      <c r="AI16" t="b">
        <f t="shared" si="13"/>
        <v>0</v>
      </c>
      <c r="AJ16" t="b">
        <f t="shared" si="14"/>
        <v>0</v>
      </c>
      <c r="AK16" t="b">
        <f t="shared" si="15"/>
        <v>1</v>
      </c>
      <c r="AM16" t="b">
        <f t="shared" si="16"/>
        <v>0</v>
      </c>
      <c r="AN16" t="b">
        <f t="shared" si="17"/>
        <v>0</v>
      </c>
      <c r="AO16" t="b">
        <f t="shared" si="18"/>
        <v>0</v>
      </c>
      <c r="AP16" t="b">
        <f t="shared" si="19"/>
        <v>0</v>
      </c>
      <c r="AQ16" t="b">
        <f t="shared" si="20"/>
        <v>0</v>
      </c>
      <c r="AR16" t="b">
        <f t="shared" si="21"/>
        <v>0</v>
      </c>
      <c r="AS16" t="b">
        <f t="shared" si="22"/>
        <v>0</v>
      </c>
      <c r="AT16" t="b">
        <f t="shared" si="23"/>
        <v>0</v>
      </c>
      <c r="AU16" t="b">
        <f t="shared" si="24"/>
        <v>0</v>
      </c>
      <c r="AV16" t="b">
        <f t="shared" si="25"/>
        <v>0</v>
      </c>
      <c r="AW16" t="b">
        <f t="shared" si="26"/>
        <v>0</v>
      </c>
      <c r="AX16" t="b">
        <f t="shared" si="27"/>
        <v>0</v>
      </c>
    </row>
    <row r="17" spans="1:50">
      <c r="A17" s="3" t="s">
        <v>383</v>
      </c>
      <c r="B17" s="6" t="s">
        <v>196</v>
      </c>
      <c r="C17" t="s">
        <v>112</v>
      </c>
      <c r="D17" s="34"/>
      <c r="E17" s="35"/>
      <c r="F17" s="35"/>
      <c r="G17" s="35"/>
      <c r="H17" s="35"/>
      <c r="I17" s="37" t="str">
        <f t="shared" si="0"/>
        <v/>
      </c>
      <c r="J17" s="35"/>
      <c r="K17" s="35"/>
      <c r="L17" s="35"/>
      <c r="M17" s="35"/>
      <c r="N17" s="37" t="str">
        <f t="shared" si="1"/>
        <v/>
      </c>
      <c r="O17" s="35"/>
      <c r="P17" s="35"/>
      <c r="Q17" s="35" t="s">
        <v>192</v>
      </c>
      <c r="R17" s="35"/>
      <c r="S17" s="37" t="str">
        <f t="shared" si="2"/>
        <v>X</v>
      </c>
      <c r="T17" s="35"/>
      <c r="U17" s="35"/>
      <c r="V17" s="35"/>
      <c r="W17" s="35"/>
      <c r="X17" s="37" t="str">
        <f t="shared" si="3"/>
        <v/>
      </c>
      <c r="Z17" t="b">
        <f t="shared" si="4"/>
        <v>0</v>
      </c>
      <c r="AA17" t="b">
        <f t="shared" si="5"/>
        <v>0</v>
      </c>
      <c r="AB17" t="b">
        <f t="shared" si="6"/>
        <v>0</v>
      </c>
      <c r="AC17" t="b">
        <f t="shared" si="7"/>
        <v>1</v>
      </c>
      <c r="AD17" t="b">
        <f t="shared" si="8"/>
        <v>0</v>
      </c>
      <c r="AE17" t="b">
        <f t="shared" si="9"/>
        <v>0</v>
      </c>
      <c r="AF17" t="b">
        <f t="shared" si="10"/>
        <v>0</v>
      </c>
      <c r="AG17" t="b">
        <f t="shared" si="11"/>
        <v>1</v>
      </c>
      <c r="AH17" t="b">
        <f t="shared" si="12"/>
        <v>0</v>
      </c>
      <c r="AI17" t="b">
        <f t="shared" si="13"/>
        <v>0</v>
      </c>
      <c r="AJ17" t="b">
        <f t="shared" si="14"/>
        <v>0</v>
      </c>
      <c r="AK17" t="b">
        <f t="shared" si="15"/>
        <v>1</v>
      </c>
      <c r="AM17" t="b">
        <f t="shared" si="16"/>
        <v>0</v>
      </c>
      <c r="AN17" t="b">
        <f t="shared" si="17"/>
        <v>0</v>
      </c>
      <c r="AO17" t="b">
        <f t="shared" si="18"/>
        <v>0</v>
      </c>
      <c r="AP17" t="b">
        <f t="shared" si="19"/>
        <v>0</v>
      </c>
      <c r="AQ17" t="b">
        <f t="shared" si="20"/>
        <v>0</v>
      </c>
      <c r="AR17" t="b">
        <f t="shared" si="21"/>
        <v>0</v>
      </c>
      <c r="AS17" t="b">
        <f t="shared" si="22"/>
        <v>0</v>
      </c>
      <c r="AT17" t="b">
        <f t="shared" si="23"/>
        <v>0</v>
      </c>
      <c r="AU17" t="b">
        <f t="shared" si="24"/>
        <v>0</v>
      </c>
      <c r="AV17" t="b">
        <f t="shared" si="25"/>
        <v>0</v>
      </c>
      <c r="AW17" t="b">
        <f t="shared" si="26"/>
        <v>0</v>
      </c>
      <c r="AX17" t="b">
        <f t="shared" si="27"/>
        <v>0</v>
      </c>
    </row>
    <row r="18" spans="1:50">
      <c r="A18" s="3" t="s">
        <v>385</v>
      </c>
      <c r="B18" s="6" t="s">
        <v>196</v>
      </c>
      <c r="C18" t="s">
        <v>112</v>
      </c>
      <c r="D18" s="34"/>
      <c r="E18" s="35"/>
      <c r="F18" s="35"/>
      <c r="G18" s="35"/>
      <c r="H18" s="35"/>
      <c r="I18" s="37" t="str">
        <f t="shared" si="0"/>
        <v/>
      </c>
      <c r="J18" s="35"/>
      <c r="K18" s="35"/>
      <c r="L18" s="35"/>
      <c r="M18" s="35"/>
      <c r="N18" s="37" t="str">
        <f t="shared" si="1"/>
        <v/>
      </c>
      <c r="O18" s="35"/>
      <c r="P18" s="35"/>
      <c r="Q18" s="35" t="s">
        <v>192</v>
      </c>
      <c r="R18" s="35"/>
      <c r="S18" s="37" t="str">
        <f t="shared" si="2"/>
        <v>X</v>
      </c>
      <c r="T18" s="35"/>
      <c r="U18" s="35"/>
      <c r="V18" s="35"/>
      <c r="W18" s="35"/>
      <c r="X18" s="37" t="str">
        <f t="shared" si="3"/>
        <v/>
      </c>
      <c r="Z18" t="b">
        <f t="shared" si="4"/>
        <v>0</v>
      </c>
      <c r="AA18" t="b">
        <f t="shared" si="5"/>
        <v>0</v>
      </c>
      <c r="AB18" t="b">
        <f t="shared" si="6"/>
        <v>0</v>
      </c>
      <c r="AC18" t="b">
        <f t="shared" si="7"/>
        <v>1</v>
      </c>
      <c r="AD18" t="b">
        <f t="shared" si="8"/>
        <v>0</v>
      </c>
      <c r="AE18" t="b">
        <f t="shared" si="9"/>
        <v>0</v>
      </c>
      <c r="AF18" t="b">
        <f t="shared" si="10"/>
        <v>0</v>
      </c>
      <c r="AG18" t="b">
        <f t="shared" si="11"/>
        <v>1</v>
      </c>
      <c r="AH18" t="b">
        <f t="shared" si="12"/>
        <v>0</v>
      </c>
      <c r="AI18" t="b">
        <f t="shared" si="13"/>
        <v>0</v>
      </c>
      <c r="AJ18" t="b">
        <f t="shared" si="14"/>
        <v>0</v>
      </c>
      <c r="AK18" t="b">
        <f t="shared" si="15"/>
        <v>1</v>
      </c>
      <c r="AM18" t="b">
        <f t="shared" si="16"/>
        <v>0</v>
      </c>
      <c r="AN18" t="b">
        <f t="shared" si="17"/>
        <v>0</v>
      </c>
      <c r="AO18" t="b">
        <f t="shared" si="18"/>
        <v>0</v>
      </c>
      <c r="AP18" t="b">
        <f t="shared" si="19"/>
        <v>0</v>
      </c>
      <c r="AQ18" t="b">
        <f t="shared" si="20"/>
        <v>0</v>
      </c>
      <c r="AR18" t="b">
        <f t="shared" si="21"/>
        <v>0</v>
      </c>
      <c r="AS18" t="b">
        <f t="shared" si="22"/>
        <v>0</v>
      </c>
      <c r="AT18" t="b">
        <f t="shared" si="23"/>
        <v>0</v>
      </c>
      <c r="AU18" t="b">
        <f t="shared" si="24"/>
        <v>0</v>
      </c>
      <c r="AV18" t="b">
        <f t="shared" si="25"/>
        <v>0</v>
      </c>
      <c r="AW18" t="b">
        <f t="shared" si="26"/>
        <v>0</v>
      </c>
      <c r="AX18" t="b">
        <f t="shared" si="27"/>
        <v>0</v>
      </c>
    </row>
    <row r="19" spans="1:50">
      <c r="A19" s="3" t="s">
        <v>423</v>
      </c>
      <c r="B19" s="6" t="s">
        <v>196</v>
      </c>
      <c r="C19" t="s">
        <v>110</v>
      </c>
      <c r="D19" s="34"/>
      <c r="E19" s="35"/>
      <c r="F19" s="35"/>
      <c r="G19" s="35"/>
      <c r="H19" s="35"/>
      <c r="I19" s="37" t="str">
        <f t="shared" si="0"/>
        <v/>
      </c>
      <c r="J19" s="35"/>
      <c r="K19" s="35"/>
      <c r="L19" s="35"/>
      <c r="M19" s="35"/>
      <c r="N19" s="37" t="str">
        <f t="shared" si="1"/>
        <v/>
      </c>
      <c r="O19" s="35"/>
      <c r="P19" s="35"/>
      <c r="Q19" s="35"/>
      <c r="R19" s="35"/>
      <c r="S19" s="37" t="str">
        <f t="shared" si="2"/>
        <v/>
      </c>
      <c r="T19" s="35" t="s">
        <v>192</v>
      </c>
      <c r="U19" s="35"/>
      <c r="V19" s="35"/>
      <c r="W19" s="35"/>
      <c r="X19" s="37" t="str">
        <f t="shared" si="3"/>
        <v>X</v>
      </c>
      <c r="Z19" t="b">
        <f t="shared" si="4"/>
        <v>0</v>
      </c>
      <c r="AA19" t="b">
        <f t="shared" si="5"/>
        <v>0</v>
      </c>
      <c r="AB19" t="b">
        <f t="shared" si="6"/>
        <v>0</v>
      </c>
      <c r="AC19" t="b">
        <f t="shared" si="7"/>
        <v>0</v>
      </c>
      <c r="AD19" t="b">
        <f t="shared" si="8"/>
        <v>0</v>
      </c>
      <c r="AE19" t="b">
        <f t="shared" si="9"/>
        <v>1</v>
      </c>
      <c r="AF19" t="b">
        <f t="shared" si="10"/>
        <v>0</v>
      </c>
      <c r="AG19" t="b">
        <f t="shared" si="11"/>
        <v>0</v>
      </c>
      <c r="AH19" t="b">
        <f t="shared" si="12"/>
        <v>0</v>
      </c>
      <c r="AI19" t="b">
        <f t="shared" si="13"/>
        <v>1</v>
      </c>
      <c r="AJ19" t="b">
        <f t="shared" si="14"/>
        <v>0</v>
      </c>
      <c r="AK19" t="b">
        <f t="shared" si="15"/>
        <v>1</v>
      </c>
      <c r="AM19" t="b">
        <f t="shared" si="16"/>
        <v>0</v>
      </c>
      <c r="AN19" t="b">
        <f t="shared" si="17"/>
        <v>0</v>
      </c>
      <c r="AO19" t="b">
        <f t="shared" si="18"/>
        <v>0</v>
      </c>
      <c r="AP19" t="b">
        <f t="shared" si="19"/>
        <v>0</v>
      </c>
      <c r="AQ19" t="b">
        <f t="shared" si="20"/>
        <v>0</v>
      </c>
      <c r="AR19" t="b">
        <f t="shared" si="21"/>
        <v>0</v>
      </c>
      <c r="AS19" t="b">
        <f t="shared" si="22"/>
        <v>0</v>
      </c>
      <c r="AT19" t="b">
        <f t="shared" si="23"/>
        <v>0</v>
      </c>
      <c r="AU19" t="b">
        <f t="shared" si="24"/>
        <v>0</v>
      </c>
      <c r="AV19" t="b">
        <f t="shared" si="25"/>
        <v>0</v>
      </c>
      <c r="AW19" t="b">
        <f t="shared" si="26"/>
        <v>0</v>
      </c>
      <c r="AX19" t="b">
        <f t="shared" si="27"/>
        <v>0</v>
      </c>
    </row>
    <row r="20" spans="1:50">
      <c r="A20" s="3" t="s">
        <v>424</v>
      </c>
      <c r="B20" s="6" t="s">
        <v>196</v>
      </c>
      <c r="C20" t="s">
        <v>114</v>
      </c>
      <c r="D20" s="34"/>
      <c r="E20" s="35"/>
      <c r="F20" s="35"/>
      <c r="G20" s="35"/>
      <c r="H20" s="35"/>
      <c r="I20" s="37" t="str">
        <f t="shared" si="0"/>
        <v/>
      </c>
      <c r="J20" s="35"/>
      <c r="K20" s="35"/>
      <c r="L20" s="35"/>
      <c r="M20" s="35"/>
      <c r="N20" s="37" t="str">
        <f t="shared" si="1"/>
        <v/>
      </c>
      <c r="O20" s="35"/>
      <c r="P20" s="35"/>
      <c r="Q20" s="35"/>
      <c r="R20" s="35"/>
      <c r="S20" s="37" t="str">
        <f t="shared" si="2"/>
        <v/>
      </c>
      <c r="T20" s="35"/>
      <c r="U20" s="35"/>
      <c r="V20" s="35" t="s">
        <v>192</v>
      </c>
      <c r="W20" s="35"/>
      <c r="X20" s="37" t="str">
        <f t="shared" si="3"/>
        <v>X</v>
      </c>
      <c r="Z20" t="b">
        <f t="shared" si="4"/>
        <v>0</v>
      </c>
      <c r="AA20" t="b">
        <f t="shared" si="5"/>
        <v>0</v>
      </c>
      <c r="AB20" t="b">
        <f t="shared" si="6"/>
        <v>0</v>
      </c>
      <c r="AC20" t="b">
        <f t="shared" si="7"/>
        <v>0</v>
      </c>
      <c r="AD20" t="b">
        <f t="shared" si="8"/>
        <v>0</v>
      </c>
      <c r="AE20" t="b">
        <f t="shared" si="9"/>
        <v>1</v>
      </c>
      <c r="AF20" t="b">
        <f t="shared" si="10"/>
        <v>0</v>
      </c>
      <c r="AG20" t="b">
        <f t="shared" si="11"/>
        <v>0</v>
      </c>
      <c r="AH20" t="b">
        <f t="shared" si="12"/>
        <v>0</v>
      </c>
      <c r="AI20" t="b">
        <f t="shared" si="13"/>
        <v>1</v>
      </c>
      <c r="AJ20" t="b">
        <f t="shared" si="14"/>
        <v>0</v>
      </c>
      <c r="AK20" t="b">
        <f t="shared" si="15"/>
        <v>1</v>
      </c>
      <c r="AM20" t="b">
        <f t="shared" si="16"/>
        <v>0</v>
      </c>
      <c r="AN20" t="b">
        <f t="shared" si="17"/>
        <v>0</v>
      </c>
      <c r="AO20" t="b">
        <f t="shared" si="18"/>
        <v>0</v>
      </c>
      <c r="AP20" t="b">
        <f t="shared" si="19"/>
        <v>0</v>
      </c>
      <c r="AQ20" t="b">
        <f t="shared" si="20"/>
        <v>0</v>
      </c>
      <c r="AR20" t="b">
        <f t="shared" si="21"/>
        <v>0</v>
      </c>
      <c r="AS20" t="b">
        <f t="shared" si="22"/>
        <v>0</v>
      </c>
      <c r="AT20" t="b">
        <f t="shared" si="23"/>
        <v>0</v>
      </c>
      <c r="AU20" t="b">
        <f t="shared" si="24"/>
        <v>0</v>
      </c>
      <c r="AV20" t="b">
        <f t="shared" si="25"/>
        <v>0</v>
      </c>
      <c r="AW20" t="b">
        <f t="shared" si="26"/>
        <v>0</v>
      </c>
      <c r="AX20" t="b">
        <f t="shared" si="27"/>
        <v>0</v>
      </c>
    </row>
    <row r="21" spans="1:50">
      <c r="A21" s="3" t="s">
        <v>461</v>
      </c>
      <c r="B21" s="6" t="s">
        <v>193</v>
      </c>
      <c r="C21" s="6"/>
      <c r="D21" s="34" t="s">
        <v>202</v>
      </c>
      <c r="E21" s="27" t="s">
        <v>220</v>
      </c>
      <c r="F21" s="27" t="s">
        <v>220</v>
      </c>
      <c r="G21" s="27" t="s">
        <v>220</v>
      </c>
      <c r="H21" s="27" t="s">
        <v>220</v>
      </c>
      <c r="I21" s="37" t="str">
        <f t="shared" si="0"/>
        <v>X</v>
      </c>
      <c r="J21" s="27" t="s">
        <v>220</v>
      </c>
      <c r="K21" s="27" t="s">
        <v>192</v>
      </c>
      <c r="L21" s="27" t="s">
        <v>192</v>
      </c>
      <c r="M21" s="27" t="s">
        <v>220</v>
      </c>
      <c r="N21" s="37" t="str">
        <f t="shared" si="1"/>
        <v>X</v>
      </c>
      <c r="O21" s="27" t="s">
        <v>220</v>
      </c>
      <c r="Q21" s="27" t="s">
        <v>220</v>
      </c>
      <c r="R21" s="27" t="s">
        <v>220</v>
      </c>
      <c r="S21" s="37" t="str">
        <f t="shared" si="2"/>
        <v>X</v>
      </c>
      <c r="T21" s="27" t="s">
        <v>192</v>
      </c>
      <c r="U21" s="27" t="s">
        <v>192</v>
      </c>
      <c r="V21" s="27" t="s">
        <v>192</v>
      </c>
      <c r="W21" s="27" t="s">
        <v>192</v>
      </c>
      <c r="X21" s="37" t="str">
        <f t="shared" si="3"/>
        <v>X</v>
      </c>
      <c r="Z21" t="b">
        <f t="shared" si="4"/>
        <v>1</v>
      </c>
      <c r="AA21" t="b">
        <f t="shared" si="5"/>
        <v>1</v>
      </c>
      <c r="AB21" t="b">
        <f t="shared" si="6"/>
        <v>1</v>
      </c>
      <c r="AC21" t="b">
        <f t="shared" si="7"/>
        <v>1</v>
      </c>
      <c r="AD21" t="b">
        <f t="shared" si="8"/>
        <v>1</v>
      </c>
      <c r="AE21" t="b">
        <f t="shared" si="9"/>
        <v>1</v>
      </c>
      <c r="AF21" t="b">
        <f t="shared" si="10"/>
        <v>1</v>
      </c>
      <c r="AG21" t="b">
        <f t="shared" si="11"/>
        <v>1</v>
      </c>
      <c r="AH21" t="b">
        <f t="shared" si="12"/>
        <v>1</v>
      </c>
      <c r="AI21" t="b">
        <f t="shared" si="13"/>
        <v>1</v>
      </c>
      <c r="AJ21" t="b">
        <f t="shared" si="14"/>
        <v>1</v>
      </c>
      <c r="AK21" t="b">
        <f t="shared" si="15"/>
        <v>1</v>
      </c>
      <c r="AM21" t="b">
        <f t="shared" si="16"/>
        <v>1</v>
      </c>
      <c r="AN21" t="b">
        <f t="shared" si="17"/>
        <v>1</v>
      </c>
      <c r="AO21" t="b">
        <f t="shared" si="18"/>
        <v>1</v>
      </c>
      <c r="AP21" t="b">
        <f t="shared" si="19"/>
        <v>1</v>
      </c>
      <c r="AQ21" t="b">
        <f t="shared" si="20"/>
        <v>1</v>
      </c>
      <c r="AR21" t="b">
        <f t="shared" si="21"/>
        <v>1</v>
      </c>
      <c r="AS21" t="b">
        <f t="shared" si="22"/>
        <v>1</v>
      </c>
      <c r="AT21" t="b">
        <f t="shared" si="23"/>
        <v>1</v>
      </c>
      <c r="AU21" t="b">
        <f t="shared" si="24"/>
        <v>1</v>
      </c>
      <c r="AV21" t="b">
        <f t="shared" si="25"/>
        <v>1</v>
      </c>
      <c r="AW21" t="b">
        <f t="shared" si="26"/>
        <v>1</v>
      </c>
      <c r="AX21" t="b">
        <f t="shared" si="27"/>
        <v>1</v>
      </c>
    </row>
    <row r="22" spans="1:50">
      <c r="A22" s="3" t="s">
        <v>462</v>
      </c>
      <c r="B22" s="6" t="s">
        <v>193</v>
      </c>
      <c r="C22" s="6"/>
      <c r="D22" s="34" t="s">
        <v>203</v>
      </c>
      <c r="E22" s="27" t="s">
        <v>192</v>
      </c>
      <c r="F22" s="27" t="s">
        <v>192</v>
      </c>
      <c r="G22" s="27" t="s">
        <v>220</v>
      </c>
      <c r="H22" s="27" t="s">
        <v>220</v>
      </c>
      <c r="I22" s="37" t="str">
        <f t="shared" si="0"/>
        <v>X</v>
      </c>
      <c r="J22" s="35"/>
      <c r="K22" s="35"/>
      <c r="L22" s="35"/>
      <c r="M22" s="35"/>
      <c r="N22" s="37" t="str">
        <f t="shared" si="1"/>
        <v/>
      </c>
      <c r="O22" s="35"/>
      <c r="P22" s="35"/>
      <c r="Q22" s="35"/>
      <c r="R22" s="35"/>
      <c r="S22" s="37" t="str">
        <f t="shared" si="2"/>
        <v/>
      </c>
      <c r="W22" s="27" t="s">
        <v>192</v>
      </c>
      <c r="X22" s="37" t="str">
        <f t="shared" si="3"/>
        <v>X</v>
      </c>
      <c r="Z22" t="b">
        <f t="shared" si="4"/>
        <v>0</v>
      </c>
      <c r="AA22" t="b">
        <f t="shared" si="5"/>
        <v>1</v>
      </c>
      <c r="AB22" t="b">
        <f t="shared" si="6"/>
        <v>0</v>
      </c>
      <c r="AC22" t="b">
        <f t="shared" si="7"/>
        <v>1</v>
      </c>
      <c r="AD22" t="b">
        <f t="shared" si="8"/>
        <v>1</v>
      </c>
      <c r="AE22" t="b">
        <f t="shared" si="9"/>
        <v>1</v>
      </c>
      <c r="AF22" t="b">
        <f t="shared" si="10"/>
        <v>0</v>
      </c>
      <c r="AG22" t="b">
        <f t="shared" si="11"/>
        <v>0</v>
      </c>
      <c r="AH22" t="b">
        <f t="shared" si="12"/>
        <v>0</v>
      </c>
      <c r="AI22" t="b">
        <f t="shared" si="13"/>
        <v>1</v>
      </c>
      <c r="AJ22" t="b">
        <f t="shared" si="14"/>
        <v>0</v>
      </c>
      <c r="AK22" t="b">
        <f t="shared" si="15"/>
        <v>1</v>
      </c>
      <c r="AM22" t="b">
        <f t="shared" si="16"/>
        <v>0</v>
      </c>
      <c r="AN22" t="b">
        <f t="shared" si="17"/>
        <v>1</v>
      </c>
      <c r="AO22" t="b">
        <f t="shared" si="18"/>
        <v>0</v>
      </c>
      <c r="AP22" t="b">
        <f t="shared" si="19"/>
        <v>1</v>
      </c>
      <c r="AQ22" t="b">
        <f t="shared" si="20"/>
        <v>1</v>
      </c>
      <c r="AR22" t="b">
        <f t="shared" si="21"/>
        <v>1</v>
      </c>
      <c r="AS22" t="b">
        <f t="shared" si="22"/>
        <v>0</v>
      </c>
      <c r="AT22" t="b">
        <f t="shared" si="23"/>
        <v>0</v>
      </c>
      <c r="AU22" t="b">
        <f t="shared" si="24"/>
        <v>0</v>
      </c>
      <c r="AV22" t="b">
        <f t="shared" si="25"/>
        <v>1</v>
      </c>
      <c r="AW22" t="b">
        <f t="shared" si="26"/>
        <v>0</v>
      </c>
      <c r="AX22" t="b">
        <f t="shared" si="27"/>
        <v>1</v>
      </c>
    </row>
    <row r="23" spans="1:50">
      <c r="A23" s="3" t="s">
        <v>463</v>
      </c>
      <c r="B23" s="6" t="s">
        <v>193</v>
      </c>
      <c r="C23" s="6"/>
      <c r="D23" s="34" t="s">
        <v>464</v>
      </c>
      <c r="E23" s="35"/>
      <c r="F23" s="35"/>
      <c r="G23" s="35"/>
      <c r="H23" s="35"/>
      <c r="I23" s="37" t="str">
        <f t="shared" si="0"/>
        <v/>
      </c>
      <c r="J23" s="35"/>
      <c r="K23" s="35"/>
      <c r="L23" s="35"/>
      <c r="M23" s="35"/>
      <c r="N23" s="37" t="str">
        <f t="shared" si="1"/>
        <v/>
      </c>
      <c r="O23" s="35"/>
      <c r="P23" s="35"/>
      <c r="Q23" s="35"/>
      <c r="R23" s="35"/>
      <c r="S23" s="37" t="str">
        <f t="shared" si="2"/>
        <v/>
      </c>
      <c r="T23" s="35"/>
      <c r="U23" s="35"/>
      <c r="V23" s="35"/>
      <c r="W23" s="35"/>
      <c r="X23" s="37" t="str">
        <f t="shared" si="3"/>
        <v/>
      </c>
      <c r="Z23" t="b">
        <f t="shared" si="4"/>
        <v>0</v>
      </c>
      <c r="AA23" t="b">
        <f t="shared" si="5"/>
        <v>0</v>
      </c>
      <c r="AB23" t="b">
        <f t="shared" si="6"/>
        <v>0</v>
      </c>
      <c r="AC23" t="b">
        <f t="shared" si="7"/>
        <v>0</v>
      </c>
      <c r="AD23" t="b">
        <f t="shared" si="8"/>
        <v>0</v>
      </c>
      <c r="AE23" t="b">
        <f t="shared" si="9"/>
        <v>0</v>
      </c>
      <c r="AF23" t="b">
        <f t="shared" si="10"/>
        <v>0</v>
      </c>
      <c r="AG23" t="b">
        <f t="shared" si="11"/>
        <v>0</v>
      </c>
      <c r="AH23" t="b">
        <f t="shared" si="12"/>
        <v>0</v>
      </c>
      <c r="AI23" t="b">
        <f t="shared" si="13"/>
        <v>0</v>
      </c>
      <c r="AJ23" t="b">
        <f t="shared" si="14"/>
        <v>0</v>
      </c>
      <c r="AK23" t="b">
        <f t="shared" si="15"/>
        <v>0</v>
      </c>
      <c r="AM23" t="b">
        <f t="shared" si="16"/>
        <v>0</v>
      </c>
      <c r="AN23" t="b">
        <f t="shared" si="17"/>
        <v>0</v>
      </c>
      <c r="AO23" t="b">
        <f t="shared" si="18"/>
        <v>0</v>
      </c>
      <c r="AP23" t="b">
        <f t="shared" si="19"/>
        <v>0</v>
      </c>
      <c r="AQ23" t="b">
        <f t="shared" si="20"/>
        <v>0</v>
      </c>
      <c r="AR23" t="b">
        <f t="shared" si="21"/>
        <v>0</v>
      </c>
      <c r="AS23" t="b">
        <f t="shared" si="22"/>
        <v>0</v>
      </c>
      <c r="AT23" t="b">
        <f t="shared" si="23"/>
        <v>0</v>
      </c>
      <c r="AU23" t="b">
        <f t="shared" si="24"/>
        <v>0</v>
      </c>
      <c r="AV23" t="b">
        <f t="shared" si="25"/>
        <v>0</v>
      </c>
      <c r="AW23" t="b">
        <f t="shared" si="26"/>
        <v>0</v>
      </c>
      <c r="AX23" t="b">
        <f t="shared" si="27"/>
        <v>0</v>
      </c>
    </row>
    <row r="24" spans="1:50">
      <c r="A24" s="3" t="s">
        <v>465</v>
      </c>
      <c r="B24" s="6" t="s">
        <v>193</v>
      </c>
      <c r="C24" s="6"/>
      <c r="D24" s="34" t="s">
        <v>204</v>
      </c>
      <c r="F24" s="27" t="s">
        <v>192</v>
      </c>
      <c r="I24" s="37" t="str">
        <f t="shared" si="0"/>
        <v>X</v>
      </c>
      <c r="J24" s="27" t="s">
        <v>192</v>
      </c>
      <c r="K24" s="27" t="s">
        <v>192</v>
      </c>
      <c r="L24" s="27" t="s">
        <v>192</v>
      </c>
      <c r="M24" s="27" t="s">
        <v>220</v>
      </c>
      <c r="N24" s="37" t="str">
        <f t="shared" si="1"/>
        <v>X</v>
      </c>
      <c r="O24" s="35"/>
      <c r="P24" s="35"/>
      <c r="Q24" s="35"/>
      <c r="R24" s="35"/>
      <c r="S24" s="37" t="str">
        <f t="shared" si="2"/>
        <v/>
      </c>
      <c r="T24" s="27" t="s">
        <v>192</v>
      </c>
      <c r="U24" s="27" t="s">
        <v>192</v>
      </c>
      <c r="W24" s="27" t="s">
        <v>220</v>
      </c>
      <c r="X24" s="37" t="str">
        <f t="shared" si="3"/>
        <v>X</v>
      </c>
      <c r="Z24" t="b">
        <f t="shared" si="4"/>
        <v>1</v>
      </c>
      <c r="AA24" t="b">
        <f t="shared" si="5"/>
        <v>1</v>
      </c>
      <c r="AB24" t="b">
        <f t="shared" si="6"/>
        <v>0</v>
      </c>
      <c r="AC24" t="b">
        <f t="shared" si="7"/>
        <v>1</v>
      </c>
      <c r="AD24" t="b">
        <f t="shared" si="8"/>
        <v>1</v>
      </c>
      <c r="AE24" t="b">
        <f t="shared" si="9"/>
        <v>1</v>
      </c>
      <c r="AF24" t="b">
        <f t="shared" si="10"/>
        <v>0</v>
      </c>
      <c r="AG24" t="b">
        <f t="shared" si="11"/>
        <v>1</v>
      </c>
      <c r="AH24" t="b">
        <f t="shared" si="12"/>
        <v>1</v>
      </c>
      <c r="AI24" t="b">
        <f t="shared" si="13"/>
        <v>1</v>
      </c>
      <c r="AJ24" t="b">
        <f t="shared" si="14"/>
        <v>0</v>
      </c>
      <c r="AK24" t="b">
        <f t="shared" si="15"/>
        <v>1</v>
      </c>
      <c r="AM24" t="b">
        <f t="shared" si="16"/>
        <v>1</v>
      </c>
      <c r="AN24" t="b">
        <f t="shared" si="17"/>
        <v>1</v>
      </c>
      <c r="AO24" t="b">
        <f t="shared" si="18"/>
        <v>0</v>
      </c>
      <c r="AP24" t="b">
        <f t="shared" si="19"/>
        <v>1</v>
      </c>
      <c r="AQ24" t="b">
        <f t="shared" si="20"/>
        <v>1</v>
      </c>
      <c r="AR24" t="b">
        <f t="shared" si="21"/>
        <v>1</v>
      </c>
      <c r="AS24" t="b">
        <f t="shared" si="22"/>
        <v>0</v>
      </c>
      <c r="AT24" t="b">
        <f t="shared" si="23"/>
        <v>1</v>
      </c>
      <c r="AU24" t="b">
        <f t="shared" si="24"/>
        <v>1</v>
      </c>
      <c r="AV24" t="b">
        <f t="shared" si="25"/>
        <v>1</v>
      </c>
      <c r="AW24" t="b">
        <f t="shared" si="26"/>
        <v>0</v>
      </c>
      <c r="AX24" t="b">
        <f t="shared" si="27"/>
        <v>1</v>
      </c>
    </row>
    <row r="25" spans="1:50">
      <c r="A25" s="3" t="s">
        <v>466</v>
      </c>
      <c r="B25" s="6" t="s">
        <v>193</v>
      </c>
      <c r="C25" s="6"/>
      <c r="D25" s="34" t="s">
        <v>205</v>
      </c>
      <c r="E25" s="27" t="s">
        <v>192</v>
      </c>
      <c r="F25" s="27" t="s">
        <v>192</v>
      </c>
      <c r="G25" s="27" t="s">
        <v>192</v>
      </c>
      <c r="H25" s="27" t="s">
        <v>192</v>
      </c>
      <c r="I25" s="37" t="str">
        <f t="shared" si="0"/>
        <v>X</v>
      </c>
      <c r="J25" s="35"/>
      <c r="K25" s="35"/>
      <c r="L25" s="35"/>
      <c r="M25" s="35"/>
      <c r="N25" s="37" t="str">
        <f t="shared" si="1"/>
        <v/>
      </c>
      <c r="O25" s="35"/>
      <c r="P25" s="35"/>
      <c r="Q25" s="35"/>
      <c r="R25" s="35"/>
      <c r="S25" s="37" t="str">
        <f t="shared" si="2"/>
        <v/>
      </c>
      <c r="T25" s="35"/>
      <c r="U25" s="35"/>
      <c r="V25" s="35"/>
      <c r="W25" s="35"/>
      <c r="X25" s="37" t="str">
        <f t="shared" si="3"/>
        <v/>
      </c>
      <c r="Z25" t="b">
        <f t="shared" si="4"/>
        <v>0</v>
      </c>
      <c r="AA25" t="b">
        <f t="shared" si="5"/>
        <v>1</v>
      </c>
      <c r="AB25" t="b">
        <f t="shared" si="6"/>
        <v>0</v>
      </c>
      <c r="AC25" t="b">
        <f t="shared" si="7"/>
        <v>1</v>
      </c>
      <c r="AD25" t="b">
        <f t="shared" si="8"/>
        <v>0</v>
      </c>
      <c r="AE25" t="b">
        <f t="shared" si="9"/>
        <v>1</v>
      </c>
      <c r="AF25" t="b">
        <f t="shared" si="10"/>
        <v>0</v>
      </c>
      <c r="AG25" t="b">
        <f t="shared" si="11"/>
        <v>0</v>
      </c>
      <c r="AH25" t="b">
        <f t="shared" si="12"/>
        <v>0</v>
      </c>
      <c r="AI25" t="b">
        <f t="shared" si="13"/>
        <v>0</v>
      </c>
      <c r="AJ25" t="b">
        <f t="shared" si="14"/>
        <v>0</v>
      </c>
      <c r="AK25" t="b">
        <f t="shared" si="15"/>
        <v>0</v>
      </c>
      <c r="AM25" t="b">
        <f t="shared" si="16"/>
        <v>0</v>
      </c>
      <c r="AN25" t="b">
        <f t="shared" si="17"/>
        <v>1</v>
      </c>
      <c r="AO25" t="b">
        <f t="shared" si="18"/>
        <v>0</v>
      </c>
      <c r="AP25" t="b">
        <f t="shared" si="19"/>
        <v>1</v>
      </c>
      <c r="AQ25" t="b">
        <f t="shared" si="20"/>
        <v>0</v>
      </c>
      <c r="AR25" t="b">
        <f t="shared" si="21"/>
        <v>1</v>
      </c>
      <c r="AS25" t="b">
        <f t="shared" si="22"/>
        <v>0</v>
      </c>
      <c r="AT25" t="b">
        <f t="shared" si="23"/>
        <v>0</v>
      </c>
      <c r="AU25" t="b">
        <f t="shared" si="24"/>
        <v>0</v>
      </c>
      <c r="AV25" t="b">
        <f t="shared" si="25"/>
        <v>0</v>
      </c>
      <c r="AW25" t="b">
        <f t="shared" si="26"/>
        <v>0</v>
      </c>
      <c r="AX25" t="b">
        <f t="shared" si="27"/>
        <v>0</v>
      </c>
    </row>
    <row r="26" spans="1:50">
      <c r="A26" s="3" t="s">
        <v>323</v>
      </c>
      <c r="B26" s="6" t="s">
        <v>193</v>
      </c>
      <c r="C26" s="6"/>
      <c r="D26" s="34"/>
      <c r="E26" s="35"/>
      <c r="F26" s="35"/>
      <c r="G26" s="35"/>
      <c r="H26" s="35"/>
      <c r="I26" s="37" t="str">
        <f t="shared" si="0"/>
        <v/>
      </c>
      <c r="J26" s="35" t="s">
        <v>192</v>
      </c>
      <c r="K26" s="35"/>
      <c r="L26" s="35"/>
      <c r="M26" s="35"/>
      <c r="N26" s="37" t="str">
        <f t="shared" si="1"/>
        <v>X</v>
      </c>
      <c r="O26" s="35"/>
      <c r="P26" s="35"/>
      <c r="Q26" s="35"/>
      <c r="R26" s="35"/>
      <c r="S26" s="37" t="str">
        <f t="shared" si="2"/>
        <v/>
      </c>
      <c r="T26" s="35"/>
      <c r="U26" s="35"/>
      <c r="V26" s="35" t="s">
        <v>192</v>
      </c>
      <c r="W26" s="35"/>
      <c r="X26" s="37" t="str">
        <f t="shared" si="3"/>
        <v>X</v>
      </c>
      <c r="Z26" t="b">
        <f t="shared" si="4"/>
        <v>0</v>
      </c>
      <c r="AA26" t="b">
        <f t="shared" si="5"/>
        <v>1</v>
      </c>
      <c r="AB26" t="b">
        <f t="shared" si="6"/>
        <v>0</v>
      </c>
      <c r="AC26" t="b">
        <f t="shared" si="7"/>
        <v>0</v>
      </c>
      <c r="AD26" t="b">
        <f t="shared" si="8"/>
        <v>0</v>
      </c>
      <c r="AE26" t="b">
        <f t="shared" si="9"/>
        <v>1</v>
      </c>
      <c r="AF26" t="b">
        <f t="shared" si="10"/>
        <v>0</v>
      </c>
      <c r="AG26" t="b">
        <f t="shared" si="11"/>
        <v>1</v>
      </c>
      <c r="AH26" t="b">
        <f t="shared" si="12"/>
        <v>1</v>
      </c>
      <c r="AI26" t="b">
        <f t="shared" si="13"/>
        <v>1</v>
      </c>
      <c r="AJ26" t="b">
        <f t="shared" si="14"/>
        <v>0</v>
      </c>
      <c r="AK26" t="b">
        <f t="shared" si="15"/>
        <v>1</v>
      </c>
      <c r="AM26" t="b">
        <f t="shared" si="16"/>
        <v>0</v>
      </c>
      <c r="AN26" t="b">
        <f t="shared" si="17"/>
        <v>1</v>
      </c>
      <c r="AO26" t="b">
        <f t="shared" si="18"/>
        <v>0</v>
      </c>
      <c r="AP26" t="b">
        <f t="shared" si="19"/>
        <v>0</v>
      </c>
      <c r="AQ26" t="b">
        <f t="shared" si="20"/>
        <v>0</v>
      </c>
      <c r="AR26" t="b">
        <f t="shared" si="21"/>
        <v>1</v>
      </c>
      <c r="AS26" t="b">
        <f t="shared" si="22"/>
        <v>0</v>
      </c>
      <c r="AT26" t="b">
        <f t="shared" si="23"/>
        <v>1</v>
      </c>
      <c r="AU26" t="b">
        <f t="shared" si="24"/>
        <v>1</v>
      </c>
      <c r="AV26" t="b">
        <f t="shared" si="25"/>
        <v>1</v>
      </c>
      <c r="AW26" t="b">
        <f t="shared" si="26"/>
        <v>0</v>
      </c>
      <c r="AX26" t="b">
        <f t="shared" si="27"/>
        <v>1</v>
      </c>
    </row>
    <row r="27" spans="1:50">
      <c r="A27" s="3" t="s">
        <v>467</v>
      </c>
      <c r="B27" s="6" t="s">
        <v>193</v>
      </c>
      <c r="C27" s="6"/>
      <c r="D27" s="34"/>
      <c r="E27" s="35"/>
      <c r="F27" s="35"/>
      <c r="G27" s="35"/>
      <c r="H27" s="35"/>
      <c r="I27" s="37" t="str">
        <f t="shared" si="0"/>
        <v/>
      </c>
      <c r="J27" s="35"/>
      <c r="K27" s="35"/>
      <c r="L27" s="35"/>
      <c r="M27" s="35"/>
      <c r="N27" s="37" t="str">
        <f t="shared" si="1"/>
        <v/>
      </c>
      <c r="O27" s="35"/>
      <c r="P27" s="35"/>
      <c r="Q27" s="35"/>
      <c r="R27" s="35"/>
      <c r="S27" s="37" t="str">
        <f t="shared" si="2"/>
        <v/>
      </c>
      <c r="T27" s="35"/>
      <c r="U27" s="35"/>
      <c r="V27" s="35"/>
      <c r="W27" s="35"/>
      <c r="X27" s="37" t="str">
        <f t="shared" si="3"/>
        <v/>
      </c>
      <c r="Z27" t="b">
        <f t="shared" si="4"/>
        <v>0</v>
      </c>
      <c r="AA27" t="b">
        <f t="shared" si="5"/>
        <v>0</v>
      </c>
      <c r="AB27" t="b">
        <f t="shared" si="6"/>
        <v>0</v>
      </c>
      <c r="AC27" t="b">
        <f t="shared" si="7"/>
        <v>0</v>
      </c>
      <c r="AD27" t="b">
        <f t="shared" si="8"/>
        <v>0</v>
      </c>
      <c r="AE27" t="b">
        <f t="shared" si="9"/>
        <v>0</v>
      </c>
      <c r="AF27" t="b">
        <f t="shared" si="10"/>
        <v>0</v>
      </c>
      <c r="AG27" t="b">
        <f t="shared" si="11"/>
        <v>0</v>
      </c>
      <c r="AH27" t="b">
        <f t="shared" si="12"/>
        <v>0</v>
      </c>
      <c r="AI27" t="b">
        <f t="shared" si="13"/>
        <v>0</v>
      </c>
      <c r="AJ27" t="b">
        <f t="shared" si="14"/>
        <v>0</v>
      </c>
      <c r="AK27" t="b">
        <f t="shared" si="15"/>
        <v>0</v>
      </c>
      <c r="AM27" t="b">
        <f t="shared" si="16"/>
        <v>0</v>
      </c>
      <c r="AN27" t="b">
        <f t="shared" si="17"/>
        <v>0</v>
      </c>
      <c r="AO27" t="b">
        <f t="shared" si="18"/>
        <v>0</v>
      </c>
      <c r="AP27" t="b">
        <f t="shared" si="19"/>
        <v>0</v>
      </c>
      <c r="AQ27" t="b">
        <f t="shared" si="20"/>
        <v>0</v>
      </c>
      <c r="AR27" t="b">
        <f t="shared" si="21"/>
        <v>0</v>
      </c>
      <c r="AS27" t="b">
        <f t="shared" si="22"/>
        <v>0</v>
      </c>
      <c r="AT27" t="b">
        <f t="shared" si="23"/>
        <v>0</v>
      </c>
      <c r="AU27" t="b">
        <f t="shared" si="24"/>
        <v>0</v>
      </c>
      <c r="AV27" t="b">
        <f t="shared" si="25"/>
        <v>0</v>
      </c>
      <c r="AW27" t="b">
        <f t="shared" si="26"/>
        <v>0</v>
      </c>
      <c r="AX27" t="b">
        <f t="shared" si="27"/>
        <v>0</v>
      </c>
    </row>
    <row r="28" spans="1:50" ht="43.5">
      <c r="A28" s="3" t="s">
        <v>468</v>
      </c>
      <c r="B28" s="6" t="s">
        <v>196</v>
      </c>
      <c r="C28" t="s">
        <v>112</v>
      </c>
      <c r="D28" s="34"/>
      <c r="E28" s="35" t="s">
        <v>192</v>
      </c>
      <c r="F28" s="35" t="s">
        <v>192</v>
      </c>
      <c r="G28" s="35"/>
      <c r="H28" s="35"/>
      <c r="I28" s="37" t="str">
        <f t="shared" si="0"/>
        <v>X</v>
      </c>
      <c r="J28" s="35"/>
      <c r="K28" s="35" t="s">
        <v>192</v>
      </c>
      <c r="L28" s="35" t="s">
        <v>192</v>
      </c>
      <c r="M28" s="35" t="s">
        <v>192</v>
      </c>
      <c r="N28" s="37" t="str">
        <f t="shared" si="1"/>
        <v>X</v>
      </c>
      <c r="O28" s="35"/>
      <c r="P28" s="35" t="s">
        <v>192</v>
      </c>
      <c r="Q28" s="35" t="s">
        <v>192</v>
      </c>
      <c r="R28" s="35"/>
      <c r="S28" s="37" t="str">
        <f t="shared" si="2"/>
        <v>X</v>
      </c>
      <c r="T28" s="35"/>
      <c r="U28" s="35"/>
      <c r="V28" s="35"/>
      <c r="W28" s="35"/>
      <c r="X28" s="37" t="str">
        <f t="shared" si="3"/>
        <v/>
      </c>
      <c r="Z28" t="b">
        <f t="shared" si="4"/>
        <v>1</v>
      </c>
      <c r="AA28" t="b">
        <f t="shared" si="5"/>
        <v>1</v>
      </c>
      <c r="AB28" t="b">
        <f t="shared" si="6"/>
        <v>1</v>
      </c>
      <c r="AC28" t="b">
        <f t="shared" si="7"/>
        <v>1</v>
      </c>
      <c r="AD28" t="b">
        <f t="shared" si="8"/>
        <v>0</v>
      </c>
      <c r="AE28" t="b">
        <f t="shared" si="9"/>
        <v>1</v>
      </c>
      <c r="AF28" t="b">
        <f t="shared" si="10"/>
        <v>1</v>
      </c>
      <c r="AG28" t="b">
        <f t="shared" si="11"/>
        <v>1</v>
      </c>
      <c r="AH28" t="b">
        <f t="shared" si="12"/>
        <v>0</v>
      </c>
      <c r="AI28" t="b">
        <f t="shared" si="13"/>
        <v>1</v>
      </c>
      <c r="AJ28" t="b">
        <f t="shared" si="14"/>
        <v>0</v>
      </c>
      <c r="AK28" t="b">
        <f t="shared" si="15"/>
        <v>1</v>
      </c>
      <c r="AM28" t="b">
        <f t="shared" si="16"/>
        <v>0</v>
      </c>
      <c r="AN28" t="b">
        <f t="shared" si="17"/>
        <v>0</v>
      </c>
      <c r="AO28" t="b">
        <f t="shared" si="18"/>
        <v>0</v>
      </c>
      <c r="AP28" t="b">
        <f t="shared" si="19"/>
        <v>0</v>
      </c>
      <c r="AQ28" t="b">
        <f t="shared" si="20"/>
        <v>0</v>
      </c>
      <c r="AR28" t="b">
        <f t="shared" si="21"/>
        <v>0</v>
      </c>
      <c r="AS28" t="b">
        <f t="shared" si="22"/>
        <v>0</v>
      </c>
      <c r="AT28" t="b">
        <f t="shared" si="23"/>
        <v>0</v>
      </c>
      <c r="AU28" t="b">
        <f t="shared" si="24"/>
        <v>0</v>
      </c>
      <c r="AV28" t="b">
        <f t="shared" si="25"/>
        <v>0</v>
      </c>
      <c r="AW28" t="b">
        <f t="shared" si="26"/>
        <v>0</v>
      </c>
      <c r="AX28" t="b">
        <f t="shared" si="27"/>
        <v>0</v>
      </c>
    </row>
    <row r="29" spans="1:50">
      <c r="A29" s="3" t="s">
        <v>324</v>
      </c>
      <c r="B29" s="6" t="s">
        <v>196</v>
      </c>
      <c r="C29" t="s">
        <v>111</v>
      </c>
      <c r="D29" s="34"/>
      <c r="E29" s="35"/>
      <c r="F29" s="35"/>
      <c r="G29" s="35"/>
      <c r="H29" s="35"/>
      <c r="I29" s="37" t="str">
        <f t="shared" si="0"/>
        <v/>
      </c>
      <c r="J29" s="35" t="s">
        <v>192</v>
      </c>
      <c r="K29" s="35"/>
      <c r="L29" s="35"/>
      <c r="M29" s="35"/>
      <c r="N29" s="37" t="str">
        <f t="shared" si="1"/>
        <v>X</v>
      </c>
      <c r="O29" s="35"/>
      <c r="P29" s="35"/>
      <c r="Q29" s="35"/>
      <c r="R29" s="35"/>
      <c r="S29" s="37" t="str">
        <f t="shared" si="2"/>
        <v/>
      </c>
      <c r="T29" s="35"/>
      <c r="U29" s="35"/>
      <c r="V29" s="35"/>
      <c r="W29" s="35"/>
      <c r="X29" s="37" t="str">
        <f t="shared" si="3"/>
        <v/>
      </c>
      <c r="Z29" t="b">
        <f t="shared" si="4"/>
        <v>0</v>
      </c>
      <c r="AA29" t="b">
        <f t="shared" si="5"/>
        <v>1</v>
      </c>
      <c r="AB29" t="b">
        <f t="shared" si="6"/>
        <v>0</v>
      </c>
      <c r="AC29" t="b">
        <f t="shared" si="7"/>
        <v>0</v>
      </c>
      <c r="AD29" t="b">
        <f t="shared" si="8"/>
        <v>0</v>
      </c>
      <c r="AE29" t="b">
        <f t="shared" si="9"/>
        <v>0</v>
      </c>
      <c r="AF29" t="b">
        <f t="shared" si="10"/>
        <v>0</v>
      </c>
      <c r="AG29" t="b">
        <f t="shared" si="11"/>
        <v>1</v>
      </c>
      <c r="AH29" t="b">
        <f t="shared" si="12"/>
        <v>0</v>
      </c>
      <c r="AI29" t="b">
        <f t="shared" si="13"/>
        <v>1</v>
      </c>
      <c r="AJ29" t="b">
        <f t="shared" si="14"/>
        <v>0</v>
      </c>
      <c r="AK29" t="b">
        <f t="shared" si="15"/>
        <v>0</v>
      </c>
      <c r="AM29" t="b">
        <f t="shared" si="16"/>
        <v>0</v>
      </c>
      <c r="AN29" t="b">
        <f t="shared" si="17"/>
        <v>0</v>
      </c>
      <c r="AO29" t="b">
        <f t="shared" si="18"/>
        <v>0</v>
      </c>
      <c r="AP29" t="b">
        <f t="shared" si="19"/>
        <v>0</v>
      </c>
      <c r="AQ29" t="b">
        <f t="shared" si="20"/>
        <v>0</v>
      </c>
      <c r="AR29" t="b">
        <f t="shared" si="21"/>
        <v>0</v>
      </c>
      <c r="AS29" t="b">
        <f t="shared" si="22"/>
        <v>0</v>
      </c>
      <c r="AT29" t="b">
        <f t="shared" si="23"/>
        <v>0</v>
      </c>
      <c r="AU29" t="b">
        <f t="shared" si="24"/>
        <v>0</v>
      </c>
      <c r="AV29" t="b">
        <f t="shared" si="25"/>
        <v>0</v>
      </c>
      <c r="AW29" t="b">
        <f t="shared" si="26"/>
        <v>0</v>
      </c>
      <c r="AX29" t="b">
        <f t="shared" si="27"/>
        <v>0</v>
      </c>
    </row>
    <row r="30" spans="1:50">
      <c r="A30" s="3" t="s">
        <v>325</v>
      </c>
      <c r="B30" s="6" t="s">
        <v>196</v>
      </c>
      <c r="C30" t="s">
        <v>111</v>
      </c>
      <c r="D30" s="34"/>
      <c r="E30" s="35"/>
      <c r="F30" s="35"/>
      <c r="G30" s="35"/>
      <c r="H30" s="35"/>
      <c r="I30" s="37" t="str">
        <f t="shared" si="0"/>
        <v/>
      </c>
      <c r="J30" s="35" t="s">
        <v>192</v>
      </c>
      <c r="K30" s="35"/>
      <c r="L30" s="35"/>
      <c r="M30" s="35"/>
      <c r="N30" s="37" t="str">
        <f t="shared" si="1"/>
        <v>X</v>
      </c>
      <c r="O30" s="35"/>
      <c r="P30" s="35"/>
      <c r="Q30" s="35"/>
      <c r="R30" s="35"/>
      <c r="S30" s="37" t="str">
        <f t="shared" si="2"/>
        <v/>
      </c>
      <c r="T30" s="35"/>
      <c r="U30" s="35"/>
      <c r="V30" s="35"/>
      <c r="W30" s="35"/>
      <c r="X30" s="37" t="str">
        <f t="shared" si="3"/>
        <v/>
      </c>
      <c r="Z30" t="b">
        <f t="shared" si="4"/>
        <v>0</v>
      </c>
      <c r="AA30" t="b">
        <f t="shared" si="5"/>
        <v>1</v>
      </c>
      <c r="AB30" t="b">
        <f t="shared" si="6"/>
        <v>0</v>
      </c>
      <c r="AC30" t="b">
        <f t="shared" si="7"/>
        <v>0</v>
      </c>
      <c r="AD30" t="b">
        <f t="shared" si="8"/>
        <v>0</v>
      </c>
      <c r="AE30" t="b">
        <f t="shared" si="9"/>
        <v>0</v>
      </c>
      <c r="AF30" t="b">
        <f t="shared" si="10"/>
        <v>0</v>
      </c>
      <c r="AG30" t="b">
        <f t="shared" si="11"/>
        <v>1</v>
      </c>
      <c r="AH30" t="b">
        <f t="shared" si="12"/>
        <v>0</v>
      </c>
      <c r="AI30" t="b">
        <f t="shared" si="13"/>
        <v>1</v>
      </c>
      <c r="AJ30" t="b">
        <f t="shared" si="14"/>
        <v>0</v>
      </c>
      <c r="AK30" t="b">
        <f t="shared" si="15"/>
        <v>0</v>
      </c>
      <c r="AM30" t="b">
        <f t="shared" si="16"/>
        <v>0</v>
      </c>
      <c r="AN30" t="b">
        <f t="shared" si="17"/>
        <v>0</v>
      </c>
      <c r="AO30" t="b">
        <f t="shared" si="18"/>
        <v>0</v>
      </c>
      <c r="AP30" t="b">
        <f t="shared" si="19"/>
        <v>0</v>
      </c>
      <c r="AQ30" t="b">
        <f t="shared" si="20"/>
        <v>0</v>
      </c>
      <c r="AR30" t="b">
        <f t="shared" si="21"/>
        <v>0</v>
      </c>
      <c r="AS30" t="b">
        <f t="shared" si="22"/>
        <v>0</v>
      </c>
      <c r="AT30" t="b">
        <f t="shared" si="23"/>
        <v>0</v>
      </c>
      <c r="AU30" t="b">
        <f t="shared" si="24"/>
        <v>0</v>
      </c>
      <c r="AV30" t="b">
        <f t="shared" si="25"/>
        <v>0</v>
      </c>
      <c r="AW30" t="b">
        <f t="shared" si="26"/>
        <v>0</v>
      </c>
      <c r="AX30" t="b">
        <f t="shared" si="27"/>
        <v>0</v>
      </c>
    </row>
    <row r="31" spans="1:50">
      <c r="A31" s="3" t="s">
        <v>326</v>
      </c>
      <c r="B31" s="6" t="s">
        <v>196</v>
      </c>
      <c r="C31" t="s">
        <v>110</v>
      </c>
      <c r="D31" s="34"/>
      <c r="E31" s="35"/>
      <c r="F31" s="35"/>
      <c r="G31" s="35"/>
      <c r="H31" s="35"/>
      <c r="I31" s="37" t="str">
        <f t="shared" si="0"/>
        <v/>
      </c>
      <c r="J31" s="35" t="s">
        <v>192</v>
      </c>
      <c r="K31" s="35"/>
      <c r="L31" s="35"/>
      <c r="M31" s="35"/>
      <c r="N31" s="37" t="str">
        <f t="shared" si="1"/>
        <v>X</v>
      </c>
      <c r="O31" s="35"/>
      <c r="P31" s="35"/>
      <c r="Q31" s="35"/>
      <c r="R31" s="35"/>
      <c r="S31" s="37" t="str">
        <f t="shared" si="2"/>
        <v/>
      </c>
      <c r="T31" s="35"/>
      <c r="U31" s="35"/>
      <c r="V31" s="35"/>
      <c r="W31" s="35"/>
      <c r="X31" s="37" t="str">
        <f t="shared" si="3"/>
        <v/>
      </c>
      <c r="Z31" t="b">
        <f t="shared" si="4"/>
        <v>0</v>
      </c>
      <c r="AA31" t="b">
        <f t="shared" si="5"/>
        <v>1</v>
      </c>
      <c r="AB31" t="b">
        <f t="shared" si="6"/>
        <v>0</v>
      </c>
      <c r="AC31" t="b">
        <f t="shared" si="7"/>
        <v>0</v>
      </c>
      <c r="AD31" t="b">
        <f t="shared" si="8"/>
        <v>0</v>
      </c>
      <c r="AE31" t="b">
        <f t="shared" si="9"/>
        <v>0</v>
      </c>
      <c r="AF31" t="b">
        <f t="shared" si="10"/>
        <v>0</v>
      </c>
      <c r="AG31" t="b">
        <f t="shared" si="11"/>
        <v>1</v>
      </c>
      <c r="AH31" t="b">
        <f t="shared" si="12"/>
        <v>0</v>
      </c>
      <c r="AI31" t="b">
        <f t="shared" si="13"/>
        <v>1</v>
      </c>
      <c r="AJ31" t="b">
        <f t="shared" si="14"/>
        <v>0</v>
      </c>
      <c r="AK31" t="b">
        <f t="shared" si="15"/>
        <v>0</v>
      </c>
      <c r="AM31" t="b">
        <f t="shared" si="16"/>
        <v>0</v>
      </c>
      <c r="AN31" t="b">
        <f t="shared" si="17"/>
        <v>0</v>
      </c>
      <c r="AO31" t="b">
        <f t="shared" si="18"/>
        <v>0</v>
      </c>
      <c r="AP31" t="b">
        <f t="shared" si="19"/>
        <v>0</v>
      </c>
      <c r="AQ31" t="b">
        <f t="shared" si="20"/>
        <v>0</v>
      </c>
      <c r="AR31" t="b">
        <f t="shared" si="21"/>
        <v>0</v>
      </c>
      <c r="AS31" t="b">
        <f t="shared" si="22"/>
        <v>0</v>
      </c>
      <c r="AT31" t="b">
        <f t="shared" si="23"/>
        <v>0</v>
      </c>
      <c r="AU31" t="b">
        <f t="shared" si="24"/>
        <v>0</v>
      </c>
      <c r="AV31" t="b">
        <f t="shared" si="25"/>
        <v>0</v>
      </c>
      <c r="AW31" t="b">
        <f t="shared" si="26"/>
        <v>0</v>
      </c>
      <c r="AX31" t="b">
        <f t="shared" si="27"/>
        <v>0</v>
      </c>
    </row>
    <row r="32" spans="1:50">
      <c r="A32" s="3" t="s">
        <v>327</v>
      </c>
      <c r="B32" s="6" t="s">
        <v>196</v>
      </c>
      <c r="C32" t="s">
        <v>110</v>
      </c>
      <c r="D32" s="34"/>
      <c r="E32" s="35"/>
      <c r="F32" s="35"/>
      <c r="G32" s="35"/>
      <c r="H32" s="35"/>
      <c r="I32" s="37" t="str">
        <f t="shared" si="0"/>
        <v/>
      </c>
      <c r="J32" s="35" t="s">
        <v>192</v>
      </c>
      <c r="K32" s="35"/>
      <c r="L32" s="35"/>
      <c r="M32" s="35"/>
      <c r="N32" s="37" t="str">
        <f t="shared" si="1"/>
        <v>X</v>
      </c>
      <c r="O32" s="35"/>
      <c r="P32" s="35"/>
      <c r="Q32" s="35"/>
      <c r="R32" s="35"/>
      <c r="S32" s="37" t="str">
        <f t="shared" si="2"/>
        <v/>
      </c>
      <c r="T32" s="35"/>
      <c r="U32" s="35"/>
      <c r="V32" s="35"/>
      <c r="W32" s="35"/>
      <c r="X32" s="37" t="str">
        <f t="shared" si="3"/>
        <v/>
      </c>
      <c r="Z32" t="b">
        <f t="shared" si="4"/>
        <v>0</v>
      </c>
      <c r="AA32" t="b">
        <f t="shared" si="5"/>
        <v>1</v>
      </c>
      <c r="AB32" t="b">
        <f t="shared" si="6"/>
        <v>0</v>
      </c>
      <c r="AC32" t="b">
        <f t="shared" si="7"/>
        <v>0</v>
      </c>
      <c r="AD32" t="b">
        <f t="shared" si="8"/>
        <v>0</v>
      </c>
      <c r="AE32" t="b">
        <f t="shared" si="9"/>
        <v>0</v>
      </c>
      <c r="AF32" t="b">
        <f t="shared" si="10"/>
        <v>0</v>
      </c>
      <c r="AG32" t="b">
        <f t="shared" si="11"/>
        <v>1</v>
      </c>
      <c r="AH32" t="b">
        <f t="shared" si="12"/>
        <v>0</v>
      </c>
      <c r="AI32" t="b">
        <f t="shared" si="13"/>
        <v>1</v>
      </c>
      <c r="AJ32" t="b">
        <f t="shared" si="14"/>
        <v>0</v>
      </c>
      <c r="AK32" t="b">
        <f t="shared" si="15"/>
        <v>0</v>
      </c>
      <c r="AM32" t="b">
        <f t="shared" si="16"/>
        <v>0</v>
      </c>
      <c r="AN32" t="b">
        <f t="shared" si="17"/>
        <v>0</v>
      </c>
      <c r="AO32" t="b">
        <f t="shared" si="18"/>
        <v>0</v>
      </c>
      <c r="AP32" t="b">
        <f t="shared" si="19"/>
        <v>0</v>
      </c>
      <c r="AQ32" t="b">
        <f t="shared" si="20"/>
        <v>0</v>
      </c>
      <c r="AR32" t="b">
        <f t="shared" si="21"/>
        <v>0</v>
      </c>
      <c r="AS32" t="b">
        <f t="shared" si="22"/>
        <v>0</v>
      </c>
      <c r="AT32" t="b">
        <f t="shared" si="23"/>
        <v>0</v>
      </c>
      <c r="AU32" t="b">
        <f t="shared" si="24"/>
        <v>0</v>
      </c>
      <c r="AV32" t="b">
        <f t="shared" si="25"/>
        <v>0</v>
      </c>
      <c r="AW32" t="b">
        <f t="shared" si="26"/>
        <v>0</v>
      </c>
      <c r="AX32" t="b">
        <f t="shared" si="27"/>
        <v>0</v>
      </c>
    </row>
    <row r="33" spans="1:50">
      <c r="A33" s="3" t="s">
        <v>329</v>
      </c>
      <c r="B33" s="6" t="s">
        <v>196</v>
      </c>
      <c r="C33" t="s">
        <v>111</v>
      </c>
      <c r="D33" s="34"/>
      <c r="E33" s="35"/>
      <c r="F33" s="35"/>
      <c r="G33" s="35"/>
      <c r="H33" s="35"/>
      <c r="I33" s="37" t="str">
        <f t="shared" si="0"/>
        <v/>
      </c>
      <c r="J33" s="35"/>
      <c r="K33" s="35" t="s">
        <v>192</v>
      </c>
      <c r="L33" s="35"/>
      <c r="M33" s="35"/>
      <c r="N33" s="37" t="str">
        <f t="shared" si="1"/>
        <v>X</v>
      </c>
      <c r="O33" s="35"/>
      <c r="P33" s="35"/>
      <c r="Q33" s="35"/>
      <c r="R33" s="35"/>
      <c r="S33" s="37" t="str">
        <f t="shared" si="2"/>
        <v/>
      </c>
      <c r="T33" s="35"/>
      <c r="U33" s="35"/>
      <c r="V33" s="35"/>
      <c r="W33" s="35"/>
      <c r="X33" s="37" t="str">
        <f t="shared" si="3"/>
        <v/>
      </c>
      <c r="Z33" t="b">
        <f t="shared" si="4"/>
        <v>0</v>
      </c>
      <c r="AA33" t="b">
        <f t="shared" si="5"/>
        <v>1</v>
      </c>
      <c r="AB33" t="b">
        <f t="shared" si="6"/>
        <v>0</v>
      </c>
      <c r="AC33" t="b">
        <f t="shared" si="7"/>
        <v>0</v>
      </c>
      <c r="AD33" t="b">
        <f t="shared" si="8"/>
        <v>0</v>
      </c>
      <c r="AE33" t="b">
        <f t="shared" si="9"/>
        <v>0</v>
      </c>
      <c r="AF33" t="b">
        <f t="shared" si="10"/>
        <v>0</v>
      </c>
      <c r="AG33" t="b">
        <f t="shared" si="11"/>
        <v>1</v>
      </c>
      <c r="AH33" t="b">
        <f t="shared" si="12"/>
        <v>0</v>
      </c>
      <c r="AI33" t="b">
        <f t="shared" si="13"/>
        <v>1</v>
      </c>
      <c r="AJ33" t="b">
        <f t="shared" si="14"/>
        <v>0</v>
      </c>
      <c r="AK33" t="b">
        <f t="shared" si="15"/>
        <v>0</v>
      </c>
      <c r="AM33" t="b">
        <f t="shared" si="16"/>
        <v>0</v>
      </c>
      <c r="AN33" t="b">
        <f t="shared" si="17"/>
        <v>0</v>
      </c>
      <c r="AO33" t="b">
        <f t="shared" si="18"/>
        <v>0</v>
      </c>
      <c r="AP33" t="b">
        <f t="shared" si="19"/>
        <v>0</v>
      </c>
      <c r="AQ33" t="b">
        <f t="shared" si="20"/>
        <v>0</v>
      </c>
      <c r="AR33" t="b">
        <f t="shared" si="21"/>
        <v>0</v>
      </c>
      <c r="AS33" t="b">
        <f t="shared" si="22"/>
        <v>0</v>
      </c>
      <c r="AT33" t="b">
        <f t="shared" si="23"/>
        <v>0</v>
      </c>
      <c r="AU33" t="b">
        <f t="shared" si="24"/>
        <v>0</v>
      </c>
      <c r="AV33" t="b">
        <f t="shared" si="25"/>
        <v>0</v>
      </c>
      <c r="AW33" t="b">
        <f t="shared" si="26"/>
        <v>0</v>
      </c>
      <c r="AX33" t="b">
        <f t="shared" si="27"/>
        <v>0</v>
      </c>
    </row>
    <row r="34" spans="1:50">
      <c r="A34" s="3" t="s">
        <v>330</v>
      </c>
      <c r="B34" s="6" t="s">
        <v>196</v>
      </c>
      <c r="C34" t="s">
        <v>110</v>
      </c>
      <c r="D34" s="34"/>
      <c r="E34" s="35"/>
      <c r="F34" s="35"/>
      <c r="G34" s="35"/>
      <c r="H34" s="35"/>
      <c r="I34" s="37" t="str">
        <f t="shared" si="0"/>
        <v/>
      </c>
      <c r="J34" s="35"/>
      <c r="L34" s="35" t="s">
        <v>192</v>
      </c>
      <c r="M34" s="35"/>
      <c r="N34" s="37" t="str">
        <f t="shared" si="1"/>
        <v>X</v>
      </c>
      <c r="O34" s="35"/>
      <c r="P34" s="35"/>
      <c r="Q34" s="35"/>
      <c r="R34" s="35"/>
      <c r="S34" s="37" t="str">
        <f t="shared" si="2"/>
        <v/>
      </c>
      <c r="T34" s="35"/>
      <c r="U34" s="35"/>
      <c r="V34" s="35"/>
      <c r="W34" s="35"/>
      <c r="X34" s="37" t="str">
        <f t="shared" si="3"/>
        <v/>
      </c>
      <c r="Z34" t="b">
        <f t="shared" si="4"/>
        <v>0</v>
      </c>
      <c r="AA34" t="b">
        <f t="shared" si="5"/>
        <v>1</v>
      </c>
      <c r="AB34" t="b">
        <f t="shared" si="6"/>
        <v>0</v>
      </c>
      <c r="AC34" t="b">
        <f t="shared" si="7"/>
        <v>0</v>
      </c>
      <c r="AD34" t="b">
        <f t="shared" si="8"/>
        <v>0</v>
      </c>
      <c r="AE34" t="b">
        <f t="shared" si="9"/>
        <v>0</v>
      </c>
      <c r="AF34" t="b">
        <f t="shared" si="10"/>
        <v>0</v>
      </c>
      <c r="AG34" t="b">
        <f t="shared" si="11"/>
        <v>1</v>
      </c>
      <c r="AH34" t="b">
        <f t="shared" si="12"/>
        <v>0</v>
      </c>
      <c r="AI34" t="b">
        <f t="shared" si="13"/>
        <v>1</v>
      </c>
      <c r="AJ34" t="b">
        <f t="shared" si="14"/>
        <v>0</v>
      </c>
      <c r="AK34" t="b">
        <f t="shared" si="15"/>
        <v>0</v>
      </c>
      <c r="AM34" t="b">
        <f t="shared" si="16"/>
        <v>0</v>
      </c>
      <c r="AN34" t="b">
        <f t="shared" si="17"/>
        <v>0</v>
      </c>
      <c r="AO34" t="b">
        <f t="shared" si="18"/>
        <v>0</v>
      </c>
      <c r="AP34" t="b">
        <f t="shared" si="19"/>
        <v>0</v>
      </c>
      <c r="AQ34" t="b">
        <f t="shared" si="20"/>
        <v>0</v>
      </c>
      <c r="AR34" t="b">
        <f t="shared" si="21"/>
        <v>0</v>
      </c>
      <c r="AS34" t="b">
        <f t="shared" si="22"/>
        <v>0</v>
      </c>
      <c r="AT34" t="b">
        <f t="shared" si="23"/>
        <v>0</v>
      </c>
      <c r="AU34" t="b">
        <f t="shared" si="24"/>
        <v>0</v>
      </c>
      <c r="AV34" t="b">
        <f t="shared" si="25"/>
        <v>0</v>
      </c>
      <c r="AW34" t="b">
        <f t="shared" si="26"/>
        <v>0</v>
      </c>
      <c r="AX34" t="b">
        <f t="shared" si="27"/>
        <v>0</v>
      </c>
    </row>
    <row r="35" spans="1:50">
      <c r="A35" s="3" t="s">
        <v>331</v>
      </c>
      <c r="B35" s="6" t="s">
        <v>196</v>
      </c>
      <c r="C35" t="s">
        <v>111</v>
      </c>
      <c r="D35" s="34"/>
      <c r="E35" s="35"/>
      <c r="F35" s="35"/>
      <c r="G35" s="35"/>
      <c r="H35" s="35"/>
      <c r="I35" s="37" t="str">
        <f t="shared" si="0"/>
        <v/>
      </c>
      <c r="J35" s="35"/>
      <c r="K35" s="35"/>
      <c r="L35" s="35" t="s">
        <v>192</v>
      </c>
      <c r="M35" s="35"/>
      <c r="N35" s="37" t="str">
        <f t="shared" si="1"/>
        <v>X</v>
      </c>
      <c r="O35" s="35"/>
      <c r="P35" s="35"/>
      <c r="Q35" s="35"/>
      <c r="R35" s="35"/>
      <c r="S35" s="37" t="str">
        <f t="shared" si="2"/>
        <v/>
      </c>
      <c r="T35" s="35"/>
      <c r="U35" s="35"/>
      <c r="V35" s="35"/>
      <c r="W35" s="35"/>
      <c r="X35" s="37" t="str">
        <f t="shared" si="3"/>
        <v/>
      </c>
      <c r="Z35" t="b">
        <f t="shared" si="4"/>
        <v>0</v>
      </c>
      <c r="AA35" t="b">
        <f t="shared" si="5"/>
        <v>1</v>
      </c>
      <c r="AB35" t="b">
        <f t="shared" si="6"/>
        <v>0</v>
      </c>
      <c r="AC35" t="b">
        <f t="shared" si="7"/>
        <v>0</v>
      </c>
      <c r="AD35" t="b">
        <f t="shared" si="8"/>
        <v>0</v>
      </c>
      <c r="AE35" t="b">
        <f t="shared" si="9"/>
        <v>0</v>
      </c>
      <c r="AF35" t="b">
        <f t="shared" si="10"/>
        <v>0</v>
      </c>
      <c r="AG35" t="b">
        <f t="shared" si="11"/>
        <v>1</v>
      </c>
      <c r="AH35" t="b">
        <f t="shared" si="12"/>
        <v>0</v>
      </c>
      <c r="AI35" t="b">
        <f t="shared" si="13"/>
        <v>1</v>
      </c>
      <c r="AJ35" t="b">
        <f t="shared" si="14"/>
        <v>0</v>
      </c>
      <c r="AK35" t="b">
        <f t="shared" si="15"/>
        <v>0</v>
      </c>
      <c r="AM35" t="b">
        <f t="shared" si="16"/>
        <v>0</v>
      </c>
      <c r="AN35" t="b">
        <f t="shared" si="17"/>
        <v>0</v>
      </c>
      <c r="AO35" t="b">
        <f t="shared" si="18"/>
        <v>0</v>
      </c>
      <c r="AP35" t="b">
        <f t="shared" si="19"/>
        <v>0</v>
      </c>
      <c r="AQ35" t="b">
        <f t="shared" si="20"/>
        <v>0</v>
      </c>
      <c r="AR35" t="b">
        <f t="shared" si="21"/>
        <v>0</v>
      </c>
      <c r="AS35" t="b">
        <f t="shared" si="22"/>
        <v>0</v>
      </c>
      <c r="AT35" t="b">
        <f t="shared" si="23"/>
        <v>0</v>
      </c>
      <c r="AU35" t="b">
        <f t="shared" si="24"/>
        <v>0</v>
      </c>
      <c r="AV35" t="b">
        <f t="shared" si="25"/>
        <v>0</v>
      </c>
      <c r="AW35" t="b">
        <f t="shared" si="26"/>
        <v>0</v>
      </c>
      <c r="AX35" t="b">
        <f t="shared" si="27"/>
        <v>0</v>
      </c>
    </row>
    <row r="36" spans="1:50">
      <c r="A36" s="3" t="s">
        <v>332</v>
      </c>
      <c r="B36" s="6" t="s">
        <v>196</v>
      </c>
      <c r="C36" t="s">
        <v>114</v>
      </c>
      <c r="D36" s="34"/>
      <c r="E36" s="35"/>
      <c r="F36" s="35"/>
      <c r="G36" s="35"/>
      <c r="H36" s="35"/>
      <c r="I36" s="37" t="str">
        <f t="shared" si="0"/>
        <v/>
      </c>
      <c r="J36" s="35"/>
      <c r="K36" s="35"/>
      <c r="L36" s="35" t="s">
        <v>192</v>
      </c>
      <c r="M36" s="35"/>
      <c r="N36" s="37" t="str">
        <f t="shared" si="1"/>
        <v>X</v>
      </c>
      <c r="O36" s="35"/>
      <c r="P36" s="35"/>
      <c r="Q36" s="35"/>
      <c r="R36" s="35"/>
      <c r="S36" s="37" t="str">
        <f t="shared" si="2"/>
        <v/>
      </c>
      <c r="T36" s="35"/>
      <c r="U36" s="35"/>
      <c r="V36" s="35"/>
      <c r="W36" s="35"/>
      <c r="X36" s="37" t="str">
        <f t="shared" si="3"/>
        <v/>
      </c>
      <c r="Z36" t="b">
        <f t="shared" si="4"/>
        <v>0</v>
      </c>
      <c r="AA36" t="b">
        <f t="shared" si="5"/>
        <v>1</v>
      </c>
      <c r="AB36" t="b">
        <f t="shared" si="6"/>
        <v>0</v>
      </c>
      <c r="AC36" t="b">
        <f t="shared" si="7"/>
        <v>0</v>
      </c>
      <c r="AD36" t="b">
        <f t="shared" si="8"/>
        <v>0</v>
      </c>
      <c r="AE36" t="b">
        <f t="shared" si="9"/>
        <v>0</v>
      </c>
      <c r="AF36" t="b">
        <f t="shared" si="10"/>
        <v>0</v>
      </c>
      <c r="AG36" t="b">
        <f t="shared" si="11"/>
        <v>1</v>
      </c>
      <c r="AH36" t="b">
        <f t="shared" si="12"/>
        <v>0</v>
      </c>
      <c r="AI36" t="b">
        <f t="shared" si="13"/>
        <v>1</v>
      </c>
      <c r="AJ36" t="b">
        <f t="shared" si="14"/>
        <v>0</v>
      </c>
      <c r="AK36" t="b">
        <f t="shared" si="15"/>
        <v>0</v>
      </c>
      <c r="AM36" t="b">
        <f t="shared" si="16"/>
        <v>0</v>
      </c>
      <c r="AN36" t="b">
        <f t="shared" si="17"/>
        <v>0</v>
      </c>
      <c r="AO36" t="b">
        <f t="shared" si="18"/>
        <v>0</v>
      </c>
      <c r="AP36" t="b">
        <f t="shared" si="19"/>
        <v>0</v>
      </c>
      <c r="AQ36" t="b">
        <f t="shared" si="20"/>
        <v>0</v>
      </c>
      <c r="AR36" t="b">
        <f t="shared" si="21"/>
        <v>0</v>
      </c>
      <c r="AS36" t="b">
        <f t="shared" si="22"/>
        <v>0</v>
      </c>
      <c r="AT36" t="b">
        <f t="shared" si="23"/>
        <v>0</v>
      </c>
      <c r="AU36" t="b">
        <f t="shared" si="24"/>
        <v>0</v>
      </c>
      <c r="AV36" t="b">
        <f t="shared" si="25"/>
        <v>0</v>
      </c>
      <c r="AW36" t="b">
        <f t="shared" si="26"/>
        <v>0</v>
      </c>
      <c r="AX36" t="b">
        <f t="shared" si="27"/>
        <v>0</v>
      </c>
    </row>
    <row r="37" spans="1:50">
      <c r="A37" s="3" t="s">
        <v>386</v>
      </c>
      <c r="B37" s="6" t="s">
        <v>196</v>
      </c>
      <c r="C37" t="s">
        <v>110</v>
      </c>
      <c r="D37" s="34"/>
      <c r="E37" s="35"/>
      <c r="F37" s="35"/>
      <c r="G37" s="35"/>
      <c r="H37" s="35"/>
      <c r="I37" s="37" t="str">
        <f t="shared" si="0"/>
        <v/>
      </c>
      <c r="J37" s="35"/>
      <c r="K37" s="35"/>
      <c r="L37" s="35"/>
      <c r="M37" s="35"/>
      <c r="N37" s="37" t="str">
        <f t="shared" si="1"/>
        <v/>
      </c>
      <c r="O37" s="35" t="s">
        <v>192</v>
      </c>
      <c r="P37" s="35"/>
      <c r="Q37" s="35"/>
      <c r="R37" s="35"/>
      <c r="S37" s="37" t="str">
        <f t="shared" si="2"/>
        <v>X</v>
      </c>
      <c r="T37" s="35"/>
      <c r="U37" s="35"/>
      <c r="V37" s="35"/>
      <c r="W37" s="35"/>
      <c r="X37" s="37" t="str">
        <f t="shared" si="3"/>
        <v/>
      </c>
      <c r="Z37" t="b">
        <f t="shared" si="4"/>
        <v>0</v>
      </c>
      <c r="AA37" t="b">
        <f t="shared" si="5"/>
        <v>0</v>
      </c>
      <c r="AB37" t="b">
        <f t="shared" si="6"/>
        <v>0</v>
      </c>
      <c r="AC37" t="b">
        <f t="shared" si="7"/>
        <v>1</v>
      </c>
      <c r="AD37" t="b">
        <f t="shared" si="8"/>
        <v>0</v>
      </c>
      <c r="AE37" t="b">
        <f t="shared" si="9"/>
        <v>0</v>
      </c>
      <c r="AF37" t="b">
        <f t="shared" si="10"/>
        <v>0</v>
      </c>
      <c r="AG37" t="b">
        <f t="shared" si="11"/>
        <v>1</v>
      </c>
      <c r="AH37" t="b">
        <f t="shared" si="12"/>
        <v>0</v>
      </c>
      <c r="AI37" t="b">
        <f t="shared" si="13"/>
        <v>0</v>
      </c>
      <c r="AJ37" t="b">
        <f t="shared" si="14"/>
        <v>0</v>
      </c>
      <c r="AK37" t="b">
        <f t="shared" si="15"/>
        <v>1</v>
      </c>
      <c r="AM37" t="b">
        <f t="shared" si="16"/>
        <v>0</v>
      </c>
      <c r="AN37" t="b">
        <f t="shared" si="17"/>
        <v>0</v>
      </c>
      <c r="AO37" t="b">
        <f t="shared" si="18"/>
        <v>0</v>
      </c>
      <c r="AP37" t="b">
        <f t="shared" si="19"/>
        <v>0</v>
      </c>
      <c r="AQ37" t="b">
        <f t="shared" si="20"/>
        <v>0</v>
      </c>
      <c r="AR37" t="b">
        <f t="shared" si="21"/>
        <v>0</v>
      </c>
      <c r="AS37" t="b">
        <f t="shared" si="22"/>
        <v>0</v>
      </c>
      <c r="AT37" t="b">
        <f t="shared" si="23"/>
        <v>0</v>
      </c>
      <c r="AU37" t="b">
        <f t="shared" si="24"/>
        <v>0</v>
      </c>
      <c r="AV37" t="b">
        <f t="shared" si="25"/>
        <v>0</v>
      </c>
      <c r="AW37" t="b">
        <f t="shared" si="26"/>
        <v>0</v>
      </c>
      <c r="AX37" t="b">
        <f t="shared" si="27"/>
        <v>0</v>
      </c>
    </row>
    <row r="38" spans="1:50">
      <c r="A38" s="3" t="s">
        <v>388</v>
      </c>
      <c r="B38" s="6" t="s">
        <v>196</v>
      </c>
      <c r="C38" t="s">
        <v>112</v>
      </c>
      <c r="D38" s="34"/>
      <c r="E38" s="35"/>
      <c r="F38" s="35"/>
      <c r="G38" s="35"/>
      <c r="H38" s="35"/>
      <c r="I38" s="37" t="str">
        <f t="shared" si="0"/>
        <v/>
      </c>
      <c r="J38" s="35"/>
      <c r="K38" s="35"/>
      <c r="L38" s="35"/>
      <c r="M38" s="35"/>
      <c r="N38" s="37" t="str">
        <f t="shared" si="1"/>
        <v/>
      </c>
      <c r="O38" s="35"/>
      <c r="P38" s="35" t="s">
        <v>192</v>
      </c>
      <c r="Q38" s="35"/>
      <c r="R38" s="35" t="s">
        <v>192</v>
      </c>
      <c r="S38" s="37" t="str">
        <f t="shared" si="2"/>
        <v>X</v>
      </c>
      <c r="T38" s="35"/>
      <c r="U38" s="35"/>
      <c r="V38" s="35"/>
      <c r="W38" s="35"/>
      <c r="X38" s="37" t="str">
        <f t="shared" si="3"/>
        <v/>
      </c>
      <c r="Z38" t="b">
        <f t="shared" si="4"/>
        <v>0</v>
      </c>
      <c r="AA38" t="b">
        <f t="shared" si="5"/>
        <v>0</v>
      </c>
      <c r="AB38" t="b">
        <f t="shared" si="6"/>
        <v>0</v>
      </c>
      <c r="AC38" t="b">
        <f t="shared" si="7"/>
        <v>1</v>
      </c>
      <c r="AD38" t="b">
        <f t="shared" si="8"/>
        <v>0</v>
      </c>
      <c r="AE38" t="b">
        <f t="shared" si="9"/>
        <v>0</v>
      </c>
      <c r="AF38" t="b">
        <f t="shared" si="10"/>
        <v>0</v>
      </c>
      <c r="AG38" t="b">
        <f t="shared" si="11"/>
        <v>1</v>
      </c>
      <c r="AH38" t="b">
        <f t="shared" si="12"/>
        <v>0</v>
      </c>
      <c r="AI38" t="b">
        <f t="shared" si="13"/>
        <v>0</v>
      </c>
      <c r="AJ38" t="b">
        <f t="shared" si="14"/>
        <v>0</v>
      </c>
      <c r="AK38" t="b">
        <f t="shared" si="15"/>
        <v>1</v>
      </c>
      <c r="AM38" t="b">
        <f t="shared" si="16"/>
        <v>0</v>
      </c>
      <c r="AN38" t="b">
        <f t="shared" si="17"/>
        <v>0</v>
      </c>
      <c r="AO38" t="b">
        <f t="shared" si="18"/>
        <v>0</v>
      </c>
      <c r="AP38" t="b">
        <f t="shared" si="19"/>
        <v>0</v>
      </c>
      <c r="AQ38" t="b">
        <f t="shared" si="20"/>
        <v>0</v>
      </c>
      <c r="AR38" t="b">
        <f t="shared" si="21"/>
        <v>0</v>
      </c>
      <c r="AS38" t="b">
        <f t="shared" si="22"/>
        <v>0</v>
      </c>
      <c r="AT38" t="b">
        <f t="shared" si="23"/>
        <v>0</v>
      </c>
      <c r="AU38" t="b">
        <f t="shared" si="24"/>
        <v>0</v>
      </c>
      <c r="AV38" t="b">
        <f t="shared" si="25"/>
        <v>0</v>
      </c>
      <c r="AW38" t="b">
        <f t="shared" si="26"/>
        <v>0</v>
      </c>
      <c r="AX38" t="b">
        <f t="shared" si="27"/>
        <v>0</v>
      </c>
    </row>
    <row r="39" spans="1:50">
      <c r="A39" s="3" t="s">
        <v>389</v>
      </c>
      <c r="B39" s="6" t="s">
        <v>196</v>
      </c>
      <c r="C39" t="s">
        <v>112</v>
      </c>
      <c r="D39" s="34"/>
      <c r="E39" s="35"/>
      <c r="F39" s="35"/>
      <c r="G39" s="35"/>
      <c r="H39" s="35"/>
      <c r="I39" s="37" t="str">
        <f t="shared" si="0"/>
        <v/>
      </c>
      <c r="J39" s="35"/>
      <c r="K39" s="35"/>
      <c r="L39" s="35"/>
      <c r="M39" s="35"/>
      <c r="N39" s="37" t="str">
        <f t="shared" si="1"/>
        <v/>
      </c>
      <c r="O39" s="35"/>
      <c r="P39" s="35" t="s">
        <v>192</v>
      </c>
      <c r="Q39" s="35"/>
      <c r="R39" s="35" t="s">
        <v>192</v>
      </c>
      <c r="S39" s="37" t="str">
        <f t="shared" si="2"/>
        <v>X</v>
      </c>
      <c r="T39" s="35"/>
      <c r="U39" s="35"/>
      <c r="V39" s="35"/>
      <c r="W39" s="35"/>
      <c r="X39" s="37" t="str">
        <f t="shared" si="3"/>
        <v/>
      </c>
      <c r="Z39" t="b">
        <f t="shared" si="4"/>
        <v>0</v>
      </c>
      <c r="AA39" t="b">
        <f t="shared" si="5"/>
        <v>0</v>
      </c>
      <c r="AB39" t="b">
        <f t="shared" si="6"/>
        <v>0</v>
      </c>
      <c r="AC39" t="b">
        <f t="shared" si="7"/>
        <v>1</v>
      </c>
      <c r="AD39" t="b">
        <f t="shared" si="8"/>
        <v>0</v>
      </c>
      <c r="AE39" t="b">
        <f t="shared" si="9"/>
        <v>0</v>
      </c>
      <c r="AF39" t="b">
        <f t="shared" si="10"/>
        <v>0</v>
      </c>
      <c r="AG39" t="b">
        <f t="shared" si="11"/>
        <v>1</v>
      </c>
      <c r="AH39" t="b">
        <f t="shared" si="12"/>
        <v>0</v>
      </c>
      <c r="AI39" t="b">
        <f t="shared" si="13"/>
        <v>0</v>
      </c>
      <c r="AJ39" t="b">
        <f t="shared" si="14"/>
        <v>0</v>
      </c>
      <c r="AK39" t="b">
        <f t="shared" si="15"/>
        <v>1</v>
      </c>
      <c r="AM39" t="b">
        <f t="shared" si="16"/>
        <v>0</v>
      </c>
      <c r="AN39" t="b">
        <f t="shared" si="17"/>
        <v>0</v>
      </c>
      <c r="AO39" t="b">
        <f t="shared" si="18"/>
        <v>0</v>
      </c>
      <c r="AP39" t="b">
        <f t="shared" si="19"/>
        <v>0</v>
      </c>
      <c r="AQ39" t="b">
        <f t="shared" si="20"/>
        <v>0</v>
      </c>
      <c r="AR39" t="b">
        <f t="shared" si="21"/>
        <v>0</v>
      </c>
      <c r="AS39" t="b">
        <f t="shared" si="22"/>
        <v>0</v>
      </c>
      <c r="AT39" t="b">
        <f t="shared" si="23"/>
        <v>0</v>
      </c>
      <c r="AU39" t="b">
        <f t="shared" si="24"/>
        <v>0</v>
      </c>
      <c r="AV39" t="b">
        <f t="shared" si="25"/>
        <v>0</v>
      </c>
      <c r="AW39" t="b">
        <f t="shared" si="26"/>
        <v>0</v>
      </c>
      <c r="AX39" t="b">
        <f t="shared" si="27"/>
        <v>0</v>
      </c>
    </row>
    <row r="40" spans="1:50">
      <c r="A40" s="3" t="s">
        <v>425</v>
      </c>
      <c r="B40" s="6" t="s">
        <v>196</v>
      </c>
      <c r="C40" t="s">
        <v>110</v>
      </c>
      <c r="D40" s="34"/>
      <c r="E40" s="35"/>
      <c r="F40" s="35"/>
      <c r="G40" s="35"/>
      <c r="H40" s="35"/>
      <c r="I40" s="37" t="str">
        <f t="shared" si="0"/>
        <v/>
      </c>
      <c r="J40" s="35"/>
      <c r="K40" s="35"/>
      <c r="L40" s="35"/>
      <c r="M40" s="35"/>
      <c r="N40" s="37" t="str">
        <f t="shared" si="1"/>
        <v/>
      </c>
      <c r="O40" s="35"/>
      <c r="P40" s="35"/>
      <c r="Q40" s="35"/>
      <c r="R40" s="35"/>
      <c r="S40" s="37" t="str">
        <f t="shared" si="2"/>
        <v/>
      </c>
      <c r="T40" s="35"/>
      <c r="U40" s="35"/>
      <c r="V40" s="35" t="s">
        <v>192</v>
      </c>
      <c r="W40" s="35"/>
      <c r="X40" s="37" t="str">
        <f t="shared" si="3"/>
        <v>X</v>
      </c>
      <c r="Z40" t="b">
        <f t="shared" si="4"/>
        <v>0</v>
      </c>
      <c r="AA40" t="b">
        <f t="shared" si="5"/>
        <v>0</v>
      </c>
      <c r="AB40" t="b">
        <f t="shared" si="6"/>
        <v>0</v>
      </c>
      <c r="AC40" t="b">
        <f t="shared" si="7"/>
        <v>0</v>
      </c>
      <c r="AD40" t="b">
        <f t="shared" si="8"/>
        <v>0</v>
      </c>
      <c r="AE40" t="b">
        <f t="shared" si="9"/>
        <v>1</v>
      </c>
      <c r="AF40" t="b">
        <f t="shared" si="10"/>
        <v>0</v>
      </c>
      <c r="AG40" t="b">
        <f t="shared" si="11"/>
        <v>0</v>
      </c>
      <c r="AH40" t="b">
        <f t="shared" si="12"/>
        <v>0</v>
      </c>
      <c r="AI40" t="b">
        <f t="shared" si="13"/>
        <v>1</v>
      </c>
      <c r="AJ40" t="b">
        <f t="shared" si="14"/>
        <v>0</v>
      </c>
      <c r="AK40" t="b">
        <f t="shared" si="15"/>
        <v>1</v>
      </c>
      <c r="AM40" t="b">
        <f t="shared" si="16"/>
        <v>0</v>
      </c>
      <c r="AN40" t="b">
        <f t="shared" si="17"/>
        <v>0</v>
      </c>
      <c r="AO40" t="b">
        <f t="shared" si="18"/>
        <v>0</v>
      </c>
      <c r="AP40" t="b">
        <f t="shared" si="19"/>
        <v>0</v>
      </c>
      <c r="AQ40" t="b">
        <f t="shared" si="20"/>
        <v>0</v>
      </c>
      <c r="AR40" t="b">
        <f t="shared" si="21"/>
        <v>0</v>
      </c>
      <c r="AS40" t="b">
        <f t="shared" si="22"/>
        <v>0</v>
      </c>
      <c r="AT40" t="b">
        <f t="shared" si="23"/>
        <v>0</v>
      </c>
      <c r="AU40" t="b">
        <f t="shared" si="24"/>
        <v>0</v>
      </c>
      <c r="AV40" t="b">
        <f t="shared" si="25"/>
        <v>0</v>
      </c>
      <c r="AW40" t="b">
        <f t="shared" si="26"/>
        <v>0</v>
      </c>
      <c r="AX40" t="b">
        <f t="shared" si="27"/>
        <v>0</v>
      </c>
    </row>
    <row r="41" spans="1:50">
      <c r="A41" s="3" t="s">
        <v>426</v>
      </c>
      <c r="B41" s="6" t="s">
        <v>196</v>
      </c>
      <c r="C41" t="s">
        <v>110</v>
      </c>
      <c r="D41" s="34"/>
      <c r="E41" s="35"/>
      <c r="F41" s="35"/>
      <c r="G41" s="35"/>
      <c r="H41" s="35"/>
      <c r="I41" s="37" t="str">
        <f t="shared" si="0"/>
        <v/>
      </c>
      <c r="J41" s="35"/>
      <c r="K41" s="35"/>
      <c r="L41" s="35"/>
      <c r="M41" s="35"/>
      <c r="N41" s="37" t="str">
        <f t="shared" si="1"/>
        <v/>
      </c>
      <c r="O41" s="35"/>
      <c r="P41" s="35"/>
      <c r="Q41" s="35"/>
      <c r="R41" s="35"/>
      <c r="S41" s="37" t="str">
        <f t="shared" si="2"/>
        <v/>
      </c>
      <c r="T41" s="35"/>
      <c r="U41" s="35"/>
      <c r="V41" s="35"/>
      <c r="W41" s="35" t="s">
        <v>192</v>
      </c>
      <c r="X41" s="37" t="str">
        <f t="shared" si="3"/>
        <v>X</v>
      </c>
      <c r="Z41" t="b">
        <f t="shared" si="4"/>
        <v>0</v>
      </c>
      <c r="AA41" t="b">
        <f t="shared" si="5"/>
        <v>0</v>
      </c>
      <c r="AB41" t="b">
        <f t="shared" si="6"/>
        <v>0</v>
      </c>
      <c r="AC41" t="b">
        <f t="shared" si="7"/>
        <v>0</v>
      </c>
      <c r="AD41" t="b">
        <f t="shared" si="8"/>
        <v>0</v>
      </c>
      <c r="AE41" t="b">
        <f t="shared" si="9"/>
        <v>1</v>
      </c>
      <c r="AF41" t="b">
        <f t="shared" si="10"/>
        <v>0</v>
      </c>
      <c r="AG41" t="b">
        <f t="shared" si="11"/>
        <v>0</v>
      </c>
      <c r="AH41" t="b">
        <f t="shared" si="12"/>
        <v>0</v>
      </c>
      <c r="AI41" t="b">
        <f t="shared" si="13"/>
        <v>1</v>
      </c>
      <c r="AJ41" t="b">
        <f t="shared" si="14"/>
        <v>0</v>
      </c>
      <c r="AK41" t="b">
        <f t="shared" si="15"/>
        <v>1</v>
      </c>
      <c r="AM41" t="b">
        <f t="shared" si="16"/>
        <v>0</v>
      </c>
      <c r="AN41" t="b">
        <f t="shared" si="17"/>
        <v>0</v>
      </c>
      <c r="AO41" t="b">
        <f t="shared" si="18"/>
        <v>0</v>
      </c>
      <c r="AP41" t="b">
        <f t="shared" si="19"/>
        <v>0</v>
      </c>
      <c r="AQ41" t="b">
        <f t="shared" si="20"/>
        <v>0</v>
      </c>
      <c r="AR41" t="b">
        <f t="shared" si="21"/>
        <v>0</v>
      </c>
      <c r="AS41" t="b">
        <f t="shared" si="22"/>
        <v>0</v>
      </c>
      <c r="AT41" t="b">
        <f t="shared" si="23"/>
        <v>0</v>
      </c>
      <c r="AU41" t="b">
        <f t="shared" si="24"/>
        <v>0</v>
      </c>
      <c r="AV41" t="b">
        <f t="shared" si="25"/>
        <v>0</v>
      </c>
      <c r="AW41" t="b">
        <f t="shared" si="26"/>
        <v>0</v>
      </c>
      <c r="AX41" t="b">
        <f t="shared" si="27"/>
        <v>0</v>
      </c>
    </row>
    <row r="42" spans="1:50">
      <c r="A42" s="3" t="s">
        <v>469</v>
      </c>
      <c r="B42" s="6" t="s">
        <v>193</v>
      </c>
      <c r="C42" s="6"/>
      <c r="D42" s="34" t="s">
        <v>214</v>
      </c>
      <c r="E42" s="27" t="s">
        <v>192</v>
      </c>
      <c r="F42" s="27" t="s">
        <v>192</v>
      </c>
      <c r="G42" s="27" t="s">
        <v>192</v>
      </c>
      <c r="H42" s="27" t="s">
        <v>220</v>
      </c>
      <c r="I42" s="37" t="str">
        <f t="shared" si="0"/>
        <v>X</v>
      </c>
      <c r="J42" s="27" t="s">
        <v>192</v>
      </c>
      <c r="K42" s="27" t="s">
        <v>220</v>
      </c>
      <c r="L42" s="27" t="s">
        <v>220</v>
      </c>
      <c r="M42" s="27" t="s">
        <v>220</v>
      </c>
      <c r="N42" s="37" t="str">
        <f t="shared" si="1"/>
        <v>X</v>
      </c>
      <c r="O42" s="35"/>
      <c r="P42" s="35"/>
      <c r="Q42" s="35"/>
      <c r="R42" s="35"/>
      <c r="S42" s="37" t="str">
        <f t="shared" si="2"/>
        <v/>
      </c>
      <c r="T42" s="35"/>
      <c r="U42" s="35"/>
      <c r="V42" s="35"/>
      <c r="W42" s="35"/>
      <c r="X42" s="37" t="str">
        <f t="shared" si="3"/>
        <v/>
      </c>
      <c r="Z42" t="b">
        <f t="shared" si="4"/>
        <v>1</v>
      </c>
      <c r="AA42" t="b">
        <f t="shared" si="5"/>
        <v>1</v>
      </c>
      <c r="AB42" t="b">
        <f t="shared" si="6"/>
        <v>0</v>
      </c>
      <c r="AC42" t="b">
        <f t="shared" si="7"/>
        <v>1</v>
      </c>
      <c r="AD42" t="b">
        <f t="shared" si="8"/>
        <v>0</v>
      </c>
      <c r="AE42" t="b">
        <f t="shared" si="9"/>
        <v>1</v>
      </c>
      <c r="AF42" t="b">
        <f t="shared" si="10"/>
        <v>0</v>
      </c>
      <c r="AG42" t="b">
        <f t="shared" si="11"/>
        <v>1</v>
      </c>
      <c r="AH42" t="b">
        <f t="shared" si="12"/>
        <v>0</v>
      </c>
      <c r="AI42" t="b">
        <f t="shared" si="13"/>
        <v>1</v>
      </c>
      <c r="AJ42" t="b">
        <f t="shared" si="14"/>
        <v>0</v>
      </c>
      <c r="AK42" t="b">
        <f t="shared" si="15"/>
        <v>0</v>
      </c>
      <c r="AM42" t="b">
        <f t="shared" si="16"/>
        <v>1</v>
      </c>
      <c r="AN42" t="b">
        <f t="shared" si="17"/>
        <v>1</v>
      </c>
      <c r="AO42" t="b">
        <f t="shared" si="18"/>
        <v>0</v>
      </c>
      <c r="AP42" t="b">
        <f t="shared" si="19"/>
        <v>1</v>
      </c>
      <c r="AQ42" t="b">
        <f t="shared" si="20"/>
        <v>0</v>
      </c>
      <c r="AR42" t="b">
        <f t="shared" si="21"/>
        <v>1</v>
      </c>
      <c r="AS42" t="b">
        <f t="shared" si="22"/>
        <v>0</v>
      </c>
      <c r="AT42" t="b">
        <f t="shared" si="23"/>
        <v>1</v>
      </c>
      <c r="AU42" t="b">
        <f t="shared" si="24"/>
        <v>0</v>
      </c>
      <c r="AV42" t="b">
        <f t="shared" si="25"/>
        <v>1</v>
      </c>
      <c r="AW42" t="b">
        <f t="shared" si="26"/>
        <v>0</v>
      </c>
      <c r="AX42" t="b">
        <f t="shared" si="27"/>
        <v>0</v>
      </c>
    </row>
    <row r="43" spans="1:50">
      <c r="A43" s="3" t="s">
        <v>470</v>
      </c>
      <c r="B43" s="6" t="s">
        <v>193</v>
      </c>
      <c r="C43" s="6"/>
      <c r="D43" s="34" t="s">
        <v>215</v>
      </c>
      <c r="E43" s="27" t="s">
        <v>192</v>
      </c>
      <c r="F43" s="27" t="s">
        <v>192</v>
      </c>
      <c r="G43" s="27" t="s">
        <v>192</v>
      </c>
      <c r="H43" s="27" t="s">
        <v>220</v>
      </c>
      <c r="I43" s="37" t="str">
        <f t="shared" si="0"/>
        <v>X</v>
      </c>
      <c r="K43" s="27" t="s">
        <v>220</v>
      </c>
      <c r="L43" s="27" t="s">
        <v>220</v>
      </c>
      <c r="M43" s="27" t="s">
        <v>220</v>
      </c>
      <c r="N43" s="37" t="str">
        <f t="shared" si="1"/>
        <v>X</v>
      </c>
      <c r="O43" s="35"/>
      <c r="P43" s="35"/>
      <c r="Q43" s="35"/>
      <c r="R43" s="35"/>
      <c r="S43" s="37" t="str">
        <f t="shared" si="2"/>
        <v/>
      </c>
      <c r="T43" s="35"/>
      <c r="U43" s="35"/>
      <c r="V43" s="35"/>
      <c r="W43" s="35"/>
      <c r="X43" s="37" t="str">
        <f t="shared" si="3"/>
        <v/>
      </c>
      <c r="Z43" t="b">
        <f t="shared" si="4"/>
        <v>1</v>
      </c>
      <c r="AA43" t="b">
        <f t="shared" si="5"/>
        <v>1</v>
      </c>
      <c r="AB43" t="b">
        <f t="shared" si="6"/>
        <v>0</v>
      </c>
      <c r="AC43" t="b">
        <f t="shared" si="7"/>
        <v>1</v>
      </c>
      <c r="AD43" t="b">
        <f t="shared" si="8"/>
        <v>0</v>
      </c>
      <c r="AE43" t="b">
        <f t="shared" si="9"/>
        <v>1</v>
      </c>
      <c r="AF43" t="b">
        <f t="shared" si="10"/>
        <v>0</v>
      </c>
      <c r="AG43" t="b">
        <f t="shared" si="11"/>
        <v>1</v>
      </c>
      <c r="AH43" t="b">
        <f t="shared" si="12"/>
        <v>0</v>
      </c>
      <c r="AI43" t="b">
        <f t="shared" si="13"/>
        <v>1</v>
      </c>
      <c r="AJ43" t="b">
        <f t="shared" si="14"/>
        <v>0</v>
      </c>
      <c r="AK43" t="b">
        <f t="shared" si="15"/>
        <v>0</v>
      </c>
      <c r="AM43" t="b">
        <f t="shared" si="16"/>
        <v>1</v>
      </c>
      <c r="AN43" t="b">
        <f t="shared" si="17"/>
        <v>1</v>
      </c>
      <c r="AO43" t="b">
        <f t="shared" si="18"/>
        <v>0</v>
      </c>
      <c r="AP43" t="b">
        <f t="shared" si="19"/>
        <v>1</v>
      </c>
      <c r="AQ43" t="b">
        <f t="shared" si="20"/>
        <v>0</v>
      </c>
      <c r="AR43" t="b">
        <f t="shared" si="21"/>
        <v>1</v>
      </c>
      <c r="AS43" t="b">
        <f t="shared" si="22"/>
        <v>0</v>
      </c>
      <c r="AT43" t="b">
        <f t="shared" si="23"/>
        <v>1</v>
      </c>
      <c r="AU43" t="b">
        <f t="shared" si="24"/>
        <v>0</v>
      </c>
      <c r="AV43" t="b">
        <f t="shared" si="25"/>
        <v>1</v>
      </c>
      <c r="AW43" t="b">
        <f t="shared" si="26"/>
        <v>0</v>
      </c>
      <c r="AX43" t="b">
        <f t="shared" si="27"/>
        <v>0</v>
      </c>
    </row>
    <row r="44" spans="1:50">
      <c r="A44" s="3" t="s">
        <v>471</v>
      </c>
      <c r="B44" s="6" t="s">
        <v>193</v>
      </c>
      <c r="C44" s="6"/>
      <c r="D44" s="34" t="s">
        <v>216</v>
      </c>
      <c r="E44" s="27" t="s">
        <v>192</v>
      </c>
      <c r="F44" s="27" t="s">
        <v>192</v>
      </c>
      <c r="G44" s="27" t="s">
        <v>192</v>
      </c>
      <c r="H44" s="27" t="s">
        <v>220</v>
      </c>
      <c r="I44" s="37" t="str">
        <f t="shared" si="0"/>
        <v>X</v>
      </c>
      <c r="J44" s="27" t="s">
        <v>220</v>
      </c>
      <c r="K44" s="27" t="s">
        <v>220</v>
      </c>
      <c r="L44" s="27" t="s">
        <v>220</v>
      </c>
      <c r="M44" s="27" t="s">
        <v>220</v>
      </c>
      <c r="N44" s="37" t="str">
        <f t="shared" si="1"/>
        <v>X</v>
      </c>
      <c r="O44" s="35"/>
      <c r="P44" s="35"/>
      <c r="Q44" s="35"/>
      <c r="R44" s="35"/>
      <c r="S44" s="37" t="str">
        <f t="shared" si="2"/>
        <v/>
      </c>
      <c r="T44" s="35"/>
      <c r="U44" s="35"/>
      <c r="V44" s="35"/>
      <c r="W44" s="35"/>
      <c r="X44" s="37" t="str">
        <f t="shared" si="3"/>
        <v/>
      </c>
      <c r="Z44" t="b">
        <f t="shared" si="4"/>
        <v>1</v>
      </c>
      <c r="AA44" t="b">
        <f t="shared" si="5"/>
        <v>1</v>
      </c>
      <c r="AB44" t="b">
        <f t="shared" si="6"/>
        <v>0</v>
      </c>
      <c r="AC44" t="b">
        <f t="shared" si="7"/>
        <v>1</v>
      </c>
      <c r="AD44" t="b">
        <f t="shared" si="8"/>
        <v>0</v>
      </c>
      <c r="AE44" t="b">
        <f t="shared" si="9"/>
        <v>1</v>
      </c>
      <c r="AF44" t="b">
        <f t="shared" si="10"/>
        <v>0</v>
      </c>
      <c r="AG44" t="b">
        <f t="shared" si="11"/>
        <v>1</v>
      </c>
      <c r="AH44" t="b">
        <f t="shared" si="12"/>
        <v>0</v>
      </c>
      <c r="AI44" t="b">
        <f t="shared" si="13"/>
        <v>1</v>
      </c>
      <c r="AJ44" t="b">
        <f t="shared" si="14"/>
        <v>0</v>
      </c>
      <c r="AK44" t="b">
        <f t="shared" si="15"/>
        <v>0</v>
      </c>
      <c r="AM44" t="b">
        <f t="shared" si="16"/>
        <v>1</v>
      </c>
      <c r="AN44" t="b">
        <f t="shared" si="17"/>
        <v>1</v>
      </c>
      <c r="AO44" t="b">
        <f t="shared" si="18"/>
        <v>0</v>
      </c>
      <c r="AP44" t="b">
        <f t="shared" si="19"/>
        <v>1</v>
      </c>
      <c r="AQ44" t="b">
        <f t="shared" si="20"/>
        <v>0</v>
      </c>
      <c r="AR44" t="b">
        <f t="shared" si="21"/>
        <v>1</v>
      </c>
      <c r="AS44" t="b">
        <f t="shared" si="22"/>
        <v>0</v>
      </c>
      <c r="AT44" t="b">
        <f t="shared" si="23"/>
        <v>1</v>
      </c>
      <c r="AU44" t="b">
        <f t="shared" si="24"/>
        <v>0</v>
      </c>
      <c r="AV44" t="b">
        <f t="shared" si="25"/>
        <v>1</v>
      </c>
      <c r="AW44" t="b">
        <f t="shared" si="26"/>
        <v>0</v>
      </c>
      <c r="AX44" t="b">
        <f t="shared" si="27"/>
        <v>0</v>
      </c>
    </row>
    <row r="45" spans="1:50">
      <c r="A45" s="3" t="s">
        <v>472</v>
      </c>
      <c r="B45" s="6" t="s">
        <v>193</v>
      </c>
      <c r="C45" s="6"/>
      <c r="D45" s="34" t="s">
        <v>217</v>
      </c>
      <c r="E45" s="27" t="s">
        <v>192</v>
      </c>
      <c r="I45" s="37" t="str">
        <f t="shared" si="0"/>
        <v>X</v>
      </c>
      <c r="J45" s="27" t="s">
        <v>192</v>
      </c>
      <c r="L45" s="27" t="s">
        <v>220</v>
      </c>
      <c r="M45" s="27" t="s">
        <v>220</v>
      </c>
      <c r="N45" s="37" t="str">
        <f t="shared" si="1"/>
        <v>X</v>
      </c>
      <c r="O45" s="35"/>
      <c r="P45" s="35"/>
      <c r="Q45" s="35"/>
      <c r="R45" s="35"/>
      <c r="S45" s="37" t="str">
        <f t="shared" si="2"/>
        <v/>
      </c>
      <c r="T45" s="35"/>
      <c r="U45" s="35"/>
      <c r="V45" s="35"/>
      <c r="W45" s="35"/>
      <c r="X45" s="37" t="str">
        <f t="shared" si="3"/>
        <v/>
      </c>
      <c r="Z45" t="b">
        <f t="shared" si="4"/>
        <v>1</v>
      </c>
      <c r="AA45" t="b">
        <f t="shared" si="5"/>
        <v>1</v>
      </c>
      <c r="AB45" t="b">
        <f t="shared" si="6"/>
        <v>0</v>
      </c>
      <c r="AC45" t="b">
        <f t="shared" si="7"/>
        <v>1</v>
      </c>
      <c r="AD45" t="b">
        <f t="shared" si="8"/>
        <v>0</v>
      </c>
      <c r="AE45" t="b">
        <f t="shared" si="9"/>
        <v>1</v>
      </c>
      <c r="AF45" t="b">
        <f t="shared" si="10"/>
        <v>0</v>
      </c>
      <c r="AG45" t="b">
        <f t="shared" si="11"/>
        <v>1</v>
      </c>
      <c r="AH45" t="b">
        <f t="shared" si="12"/>
        <v>0</v>
      </c>
      <c r="AI45" t="b">
        <f t="shared" si="13"/>
        <v>1</v>
      </c>
      <c r="AJ45" t="b">
        <f t="shared" si="14"/>
        <v>0</v>
      </c>
      <c r="AK45" t="b">
        <f t="shared" si="15"/>
        <v>0</v>
      </c>
      <c r="AM45" t="b">
        <f t="shared" si="16"/>
        <v>1</v>
      </c>
      <c r="AN45" t="b">
        <f t="shared" si="17"/>
        <v>1</v>
      </c>
      <c r="AO45" t="b">
        <f t="shared" si="18"/>
        <v>0</v>
      </c>
      <c r="AP45" t="b">
        <f t="shared" si="19"/>
        <v>1</v>
      </c>
      <c r="AQ45" t="b">
        <f t="shared" si="20"/>
        <v>0</v>
      </c>
      <c r="AR45" t="b">
        <f t="shared" si="21"/>
        <v>1</v>
      </c>
      <c r="AS45" t="b">
        <f t="shared" si="22"/>
        <v>0</v>
      </c>
      <c r="AT45" t="b">
        <f t="shared" si="23"/>
        <v>1</v>
      </c>
      <c r="AU45" t="b">
        <f t="shared" si="24"/>
        <v>0</v>
      </c>
      <c r="AV45" t="b">
        <f t="shared" si="25"/>
        <v>1</v>
      </c>
      <c r="AW45" t="b">
        <f t="shared" si="26"/>
        <v>0</v>
      </c>
      <c r="AX45" t="b">
        <f t="shared" si="27"/>
        <v>0</v>
      </c>
    </row>
    <row r="46" spans="1:50">
      <c r="A46" s="3" t="s">
        <v>473</v>
      </c>
      <c r="B46" s="6" t="s">
        <v>193</v>
      </c>
      <c r="C46" s="6"/>
      <c r="D46" s="34" t="s">
        <v>218</v>
      </c>
      <c r="E46" s="27" t="s">
        <v>192</v>
      </c>
      <c r="F46" s="27" t="s">
        <v>192</v>
      </c>
      <c r="G46" s="27" t="s">
        <v>192</v>
      </c>
      <c r="H46" s="27" t="s">
        <v>220</v>
      </c>
      <c r="I46" s="37" t="str">
        <f t="shared" si="0"/>
        <v>X</v>
      </c>
      <c r="J46" s="27" t="s">
        <v>192</v>
      </c>
      <c r="L46" s="27" t="s">
        <v>220</v>
      </c>
      <c r="M46" s="27" t="s">
        <v>220</v>
      </c>
      <c r="N46" s="37" t="str">
        <f t="shared" si="1"/>
        <v>X</v>
      </c>
      <c r="O46" s="35"/>
      <c r="P46" s="35"/>
      <c r="Q46" s="35"/>
      <c r="R46" s="35"/>
      <c r="S46" s="37" t="str">
        <f t="shared" si="2"/>
        <v/>
      </c>
      <c r="T46" s="35"/>
      <c r="U46" s="35"/>
      <c r="V46" s="35"/>
      <c r="W46" s="35"/>
      <c r="X46" s="37" t="str">
        <f t="shared" si="3"/>
        <v/>
      </c>
      <c r="Z46" t="b">
        <f t="shared" si="4"/>
        <v>1</v>
      </c>
      <c r="AA46" t="b">
        <f t="shared" si="5"/>
        <v>1</v>
      </c>
      <c r="AB46" t="b">
        <f t="shared" si="6"/>
        <v>0</v>
      </c>
      <c r="AC46" t="b">
        <f t="shared" si="7"/>
        <v>1</v>
      </c>
      <c r="AD46" t="b">
        <f t="shared" si="8"/>
        <v>0</v>
      </c>
      <c r="AE46" t="b">
        <f t="shared" si="9"/>
        <v>1</v>
      </c>
      <c r="AF46" t="b">
        <f t="shared" si="10"/>
        <v>0</v>
      </c>
      <c r="AG46" t="b">
        <f t="shared" si="11"/>
        <v>1</v>
      </c>
      <c r="AH46" t="b">
        <f t="shared" si="12"/>
        <v>0</v>
      </c>
      <c r="AI46" t="b">
        <f t="shared" si="13"/>
        <v>1</v>
      </c>
      <c r="AJ46" t="b">
        <f t="shared" si="14"/>
        <v>0</v>
      </c>
      <c r="AK46" t="b">
        <f t="shared" si="15"/>
        <v>0</v>
      </c>
      <c r="AM46" t="b">
        <f t="shared" si="16"/>
        <v>1</v>
      </c>
      <c r="AN46" t="b">
        <f t="shared" si="17"/>
        <v>1</v>
      </c>
      <c r="AO46" t="b">
        <f t="shared" si="18"/>
        <v>0</v>
      </c>
      <c r="AP46" t="b">
        <f t="shared" si="19"/>
        <v>1</v>
      </c>
      <c r="AQ46" t="b">
        <f t="shared" si="20"/>
        <v>0</v>
      </c>
      <c r="AR46" t="b">
        <f t="shared" si="21"/>
        <v>1</v>
      </c>
      <c r="AS46" t="b">
        <f t="shared" si="22"/>
        <v>0</v>
      </c>
      <c r="AT46" t="b">
        <f t="shared" si="23"/>
        <v>1</v>
      </c>
      <c r="AU46" t="b">
        <f t="shared" si="24"/>
        <v>0</v>
      </c>
      <c r="AV46" t="b">
        <f t="shared" si="25"/>
        <v>1</v>
      </c>
      <c r="AW46" t="b">
        <f t="shared" si="26"/>
        <v>0</v>
      </c>
      <c r="AX46" t="b">
        <f t="shared" si="27"/>
        <v>0</v>
      </c>
    </row>
    <row r="47" spans="1:50">
      <c r="A47" s="3" t="s">
        <v>474</v>
      </c>
      <c r="B47" s="6" t="s">
        <v>193</v>
      </c>
      <c r="C47" s="6"/>
      <c r="D47" s="34" t="s">
        <v>333</v>
      </c>
      <c r="E47" s="35"/>
      <c r="F47" s="35"/>
      <c r="G47" s="35"/>
      <c r="H47" s="35"/>
      <c r="I47" s="37" t="str">
        <f t="shared" si="0"/>
        <v/>
      </c>
      <c r="K47" s="27" t="s">
        <v>192</v>
      </c>
      <c r="M47" s="27" t="s">
        <v>192</v>
      </c>
      <c r="N47" s="37" t="str">
        <f t="shared" si="1"/>
        <v>X</v>
      </c>
      <c r="O47" s="35"/>
      <c r="P47" s="35"/>
      <c r="Q47" s="35"/>
      <c r="R47" s="35"/>
      <c r="S47" s="37" t="str">
        <f t="shared" si="2"/>
        <v/>
      </c>
      <c r="T47" s="35"/>
      <c r="U47" s="35"/>
      <c r="V47" s="35"/>
      <c r="W47" s="35"/>
      <c r="X47" s="37" t="str">
        <f t="shared" si="3"/>
        <v/>
      </c>
      <c r="Z47" t="b">
        <f t="shared" si="4"/>
        <v>0</v>
      </c>
      <c r="AA47" t="b">
        <f t="shared" si="5"/>
        <v>1</v>
      </c>
      <c r="AB47" t="b">
        <f t="shared" si="6"/>
        <v>0</v>
      </c>
      <c r="AC47" t="b">
        <f t="shared" si="7"/>
        <v>0</v>
      </c>
      <c r="AD47" t="b">
        <f t="shared" si="8"/>
        <v>0</v>
      </c>
      <c r="AE47" t="b">
        <f t="shared" si="9"/>
        <v>0</v>
      </c>
      <c r="AF47" t="b">
        <f t="shared" si="10"/>
        <v>0</v>
      </c>
      <c r="AG47" t="b">
        <f t="shared" si="11"/>
        <v>1</v>
      </c>
      <c r="AH47" t="b">
        <f t="shared" si="12"/>
        <v>0</v>
      </c>
      <c r="AI47" t="b">
        <f t="shared" si="13"/>
        <v>1</v>
      </c>
      <c r="AJ47" t="b">
        <f t="shared" si="14"/>
        <v>0</v>
      </c>
      <c r="AK47" t="b">
        <f t="shared" si="15"/>
        <v>0</v>
      </c>
      <c r="AM47" t="b">
        <f t="shared" si="16"/>
        <v>0</v>
      </c>
      <c r="AN47" t="b">
        <f t="shared" si="17"/>
        <v>1</v>
      </c>
      <c r="AO47" t="b">
        <f t="shared" si="18"/>
        <v>0</v>
      </c>
      <c r="AP47" t="b">
        <f t="shared" si="19"/>
        <v>0</v>
      </c>
      <c r="AQ47" t="b">
        <f t="shared" si="20"/>
        <v>0</v>
      </c>
      <c r="AR47" t="b">
        <f t="shared" si="21"/>
        <v>0</v>
      </c>
      <c r="AS47" t="b">
        <f t="shared" si="22"/>
        <v>0</v>
      </c>
      <c r="AT47" t="b">
        <f t="shared" si="23"/>
        <v>1</v>
      </c>
      <c r="AU47" t="b">
        <f t="shared" si="24"/>
        <v>0</v>
      </c>
      <c r="AV47" t="b">
        <f t="shared" si="25"/>
        <v>1</v>
      </c>
      <c r="AW47" t="b">
        <f t="shared" si="26"/>
        <v>0</v>
      </c>
      <c r="AX47" t="b">
        <f t="shared" si="27"/>
        <v>0</v>
      </c>
    </row>
    <row r="48" spans="1:50">
      <c r="A48" s="3" t="s">
        <v>475</v>
      </c>
      <c r="B48" s="6" t="s">
        <v>193</v>
      </c>
      <c r="C48" s="6"/>
      <c r="D48" s="34" t="s">
        <v>219</v>
      </c>
      <c r="E48" s="27" t="s">
        <v>220</v>
      </c>
      <c r="F48" s="27" t="s">
        <v>220</v>
      </c>
      <c r="G48" s="27" t="s">
        <v>220</v>
      </c>
      <c r="H48" s="27" t="s">
        <v>220</v>
      </c>
      <c r="I48" s="37" t="str">
        <f t="shared" si="0"/>
        <v>X</v>
      </c>
      <c r="J48" s="27" t="s">
        <v>192</v>
      </c>
      <c r="K48" s="27" t="s">
        <v>192</v>
      </c>
      <c r="L48" s="27" t="s">
        <v>192</v>
      </c>
      <c r="M48" s="27" t="s">
        <v>192</v>
      </c>
      <c r="N48" s="37" t="str">
        <f t="shared" si="1"/>
        <v>X</v>
      </c>
      <c r="O48" s="27" t="s">
        <v>192</v>
      </c>
      <c r="P48" s="27" t="s">
        <v>192</v>
      </c>
      <c r="Q48" s="27" t="s">
        <v>192</v>
      </c>
      <c r="R48" s="27" t="s">
        <v>192</v>
      </c>
      <c r="S48" s="37" t="str">
        <f t="shared" si="2"/>
        <v>X</v>
      </c>
      <c r="U48" s="27" t="s">
        <v>192</v>
      </c>
      <c r="V48" s="27" t="s">
        <v>192</v>
      </c>
      <c r="W48" s="27" t="s">
        <v>220</v>
      </c>
      <c r="X48" s="37" t="str">
        <f t="shared" si="3"/>
        <v>X</v>
      </c>
      <c r="Z48" t="b">
        <f t="shared" si="4"/>
        <v>1</v>
      </c>
      <c r="AA48" t="b">
        <f t="shared" si="5"/>
        <v>1</v>
      </c>
      <c r="AB48" t="b">
        <f t="shared" si="6"/>
        <v>1</v>
      </c>
      <c r="AC48" t="b">
        <f t="shared" si="7"/>
        <v>1</v>
      </c>
      <c r="AD48" t="b">
        <f t="shared" si="8"/>
        <v>1</v>
      </c>
      <c r="AE48" t="b">
        <f t="shared" si="9"/>
        <v>1</v>
      </c>
      <c r="AF48" t="b">
        <f t="shared" si="10"/>
        <v>1</v>
      </c>
      <c r="AG48" t="b">
        <f t="shared" si="11"/>
        <v>1</v>
      </c>
      <c r="AH48" t="b">
        <f t="shared" si="12"/>
        <v>1</v>
      </c>
      <c r="AI48" t="b">
        <f t="shared" si="13"/>
        <v>1</v>
      </c>
      <c r="AJ48" t="b">
        <f t="shared" si="14"/>
        <v>1</v>
      </c>
      <c r="AK48" t="b">
        <f t="shared" si="15"/>
        <v>1</v>
      </c>
      <c r="AM48" t="b">
        <f t="shared" si="16"/>
        <v>1</v>
      </c>
      <c r="AN48" t="b">
        <f t="shared" si="17"/>
        <v>1</v>
      </c>
      <c r="AO48" t="b">
        <f t="shared" si="18"/>
        <v>1</v>
      </c>
      <c r="AP48" t="b">
        <f t="shared" si="19"/>
        <v>1</v>
      </c>
      <c r="AQ48" t="b">
        <f t="shared" si="20"/>
        <v>1</v>
      </c>
      <c r="AR48" t="b">
        <f t="shared" si="21"/>
        <v>1</v>
      </c>
      <c r="AS48" t="b">
        <f t="shared" si="22"/>
        <v>1</v>
      </c>
      <c r="AT48" t="b">
        <f t="shared" si="23"/>
        <v>1</v>
      </c>
      <c r="AU48" t="b">
        <f t="shared" si="24"/>
        <v>1</v>
      </c>
      <c r="AV48" t="b">
        <f t="shared" si="25"/>
        <v>1</v>
      </c>
      <c r="AW48" t="b">
        <f t="shared" si="26"/>
        <v>1</v>
      </c>
      <c r="AX48" t="b">
        <f t="shared" si="27"/>
        <v>1</v>
      </c>
    </row>
    <row r="49" spans="1:50">
      <c r="A49" s="3" t="s">
        <v>476</v>
      </c>
      <c r="B49" s="6" t="s">
        <v>193</v>
      </c>
      <c r="C49" s="6"/>
      <c r="D49" s="34" t="s">
        <v>221</v>
      </c>
      <c r="E49" s="27" t="s">
        <v>220</v>
      </c>
      <c r="I49" s="37" t="str">
        <f t="shared" si="0"/>
        <v>X</v>
      </c>
      <c r="J49" s="27" t="s">
        <v>220</v>
      </c>
      <c r="K49" s="27" t="s">
        <v>220</v>
      </c>
      <c r="L49" s="27" t="s">
        <v>220</v>
      </c>
      <c r="M49" s="27" t="s">
        <v>220</v>
      </c>
      <c r="N49" s="37" t="str">
        <f t="shared" si="1"/>
        <v>X</v>
      </c>
      <c r="O49" s="35"/>
      <c r="P49" s="35"/>
      <c r="Q49" s="35"/>
      <c r="R49" s="35"/>
      <c r="S49" s="37" t="str">
        <f t="shared" si="2"/>
        <v/>
      </c>
      <c r="T49" s="27" t="s">
        <v>220</v>
      </c>
      <c r="U49" s="27" t="s">
        <v>220</v>
      </c>
      <c r="X49" s="37" t="str">
        <f t="shared" si="3"/>
        <v>X</v>
      </c>
      <c r="Z49" t="b">
        <f t="shared" si="4"/>
        <v>1</v>
      </c>
      <c r="AA49" t="b">
        <f t="shared" si="5"/>
        <v>1</v>
      </c>
      <c r="AB49" t="b">
        <f t="shared" si="6"/>
        <v>0</v>
      </c>
      <c r="AC49" t="b">
        <f t="shared" si="7"/>
        <v>1</v>
      </c>
      <c r="AD49" t="b">
        <f t="shared" si="8"/>
        <v>1</v>
      </c>
      <c r="AE49" t="b">
        <f t="shared" si="9"/>
        <v>1</v>
      </c>
      <c r="AF49" t="b">
        <f t="shared" si="10"/>
        <v>0</v>
      </c>
      <c r="AG49" t="b">
        <f t="shared" si="11"/>
        <v>1</v>
      </c>
      <c r="AH49" t="b">
        <f t="shared" si="12"/>
        <v>1</v>
      </c>
      <c r="AI49" t="b">
        <f t="shared" si="13"/>
        <v>1</v>
      </c>
      <c r="AJ49" t="b">
        <f t="shared" si="14"/>
        <v>0</v>
      </c>
      <c r="AK49" t="b">
        <f t="shared" si="15"/>
        <v>1</v>
      </c>
      <c r="AM49" t="b">
        <f t="shared" si="16"/>
        <v>1</v>
      </c>
      <c r="AN49" t="b">
        <f t="shared" si="17"/>
        <v>1</v>
      </c>
      <c r="AO49" t="b">
        <f t="shared" si="18"/>
        <v>0</v>
      </c>
      <c r="AP49" t="b">
        <f t="shared" si="19"/>
        <v>1</v>
      </c>
      <c r="AQ49" t="b">
        <f t="shared" si="20"/>
        <v>1</v>
      </c>
      <c r="AR49" t="b">
        <f t="shared" si="21"/>
        <v>1</v>
      </c>
      <c r="AS49" t="b">
        <f t="shared" si="22"/>
        <v>0</v>
      </c>
      <c r="AT49" t="b">
        <f t="shared" si="23"/>
        <v>1</v>
      </c>
      <c r="AU49" t="b">
        <f t="shared" si="24"/>
        <v>1</v>
      </c>
      <c r="AV49" t="b">
        <f t="shared" si="25"/>
        <v>1</v>
      </c>
      <c r="AW49" t="b">
        <f t="shared" si="26"/>
        <v>0</v>
      </c>
      <c r="AX49" t="b">
        <f t="shared" si="27"/>
        <v>1</v>
      </c>
    </row>
    <row r="50" spans="1:50">
      <c r="A50" s="3" t="s">
        <v>285</v>
      </c>
      <c r="B50" s="6" t="s">
        <v>193</v>
      </c>
      <c r="C50" s="6"/>
      <c r="D50" s="34"/>
      <c r="E50" s="35" t="s">
        <v>192</v>
      </c>
      <c r="F50" s="35"/>
      <c r="G50" s="35"/>
      <c r="H50" s="35"/>
      <c r="I50" s="37" t="str">
        <f t="shared" si="0"/>
        <v>X</v>
      </c>
      <c r="J50" s="35"/>
      <c r="K50" s="35"/>
      <c r="L50" s="35"/>
      <c r="M50" s="35"/>
      <c r="N50" s="37" t="str">
        <f t="shared" si="1"/>
        <v/>
      </c>
      <c r="O50" s="35"/>
      <c r="P50" s="35"/>
      <c r="Q50" s="35"/>
      <c r="R50" s="35"/>
      <c r="S50" s="37" t="str">
        <f t="shared" si="2"/>
        <v/>
      </c>
      <c r="T50" s="35"/>
      <c r="U50" s="35"/>
      <c r="V50" s="35"/>
      <c r="W50" s="35"/>
      <c r="X50" s="37" t="str">
        <f t="shared" si="3"/>
        <v/>
      </c>
      <c r="Z50" t="b">
        <f t="shared" si="4"/>
        <v>0</v>
      </c>
      <c r="AA50" t="b">
        <f t="shared" si="5"/>
        <v>1</v>
      </c>
      <c r="AB50" t="b">
        <f t="shared" si="6"/>
        <v>0</v>
      </c>
      <c r="AC50" t="b">
        <f t="shared" si="7"/>
        <v>1</v>
      </c>
      <c r="AD50" t="b">
        <f t="shared" si="8"/>
        <v>0</v>
      </c>
      <c r="AE50" t="b">
        <f t="shared" si="9"/>
        <v>1</v>
      </c>
      <c r="AF50" t="b">
        <f t="shared" si="10"/>
        <v>0</v>
      </c>
      <c r="AG50" t="b">
        <f t="shared" si="11"/>
        <v>0</v>
      </c>
      <c r="AH50" t="b">
        <f t="shared" si="12"/>
        <v>0</v>
      </c>
      <c r="AI50" t="b">
        <f t="shared" si="13"/>
        <v>0</v>
      </c>
      <c r="AJ50" t="b">
        <f t="shared" si="14"/>
        <v>0</v>
      </c>
      <c r="AK50" t="b">
        <f t="shared" si="15"/>
        <v>0</v>
      </c>
      <c r="AM50" t="b">
        <f t="shared" si="16"/>
        <v>0</v>
      </c>
      <c r="AN50" t="b">
        <f t="shared" si="17"/>
        <v>1</v>
      </c>
      <c r="AO50" t="b">
        <f t="shared" si="18"/>
        <v>0</v>
      </c>
      <c r="AP50" t="b">
        <f t="shared" si="19"/>
        <v>1</v>
      </c>
      <c r="AQ50" t="b">
        <f t="shared" si="20"/>
        <v>0</v>
      </c>
      <c r="AR50" t="b">
        <f t="shared" si="21"/>
        <v>1</v>
      </c>
      <c r="AS50" t="b">
        <f t="shared" si="22"/>
        <v>0</v>
      </c>
      <c r="AT50" t="b">
        <f t="shared" si="23"/>
        <v>0</v>
      </c>
      <c r="AU50" t="b">
        <f t="shared" si="24"/>
        <v>0</v>
      </c>
      <c r="AV50" t="b">
        <f t="shared" si="25"/>
        <v>0</v>
      </c>
      <c r="AW50" t="b">
        <f t="shared" si="26"/>
        <v>0</v>
      </c>
      <c r="AX50" t="b">
        <f t="shared" si="27"/>
        <v>0</v>
      </c>
    </row>
    <row r="51" spans="1:50">
      <c r="A51" s="3" t="s">
        <v>222</v>
      </c>
      <c r="B51" s="6" t="s">
        <v>193</v>
      </c>
      <c r="C51" s="6"/>
      <c r="D51" s="34"/>
      <c r="E51" s="35" t="s">
        <v>192</v>
      </c>
      <c r="F51" s="35"/>
      <c r="G51" s="35"/>
      <c r="H51" s="35"/>
      <c r="I51" s="37" t="str">
        <f t="shared" si="0"/>
        <v>X</v>
      </c>
      <c r="J51" s="35"/>
      <c r="K51" s="35"/>
      <c r="L51" s="35"/>
      <c r="M51" s="35"/>
      <c r="N51" s="37" t="str">
        <f t="shared" si="1"/>
        <v/>
      </c>
      <c r="O51" s="35" t="s">
        <v>192</v>
      </c>
      <c r="P51" s="35" t="s">
        <v>192</v>
      </c>
      <c r="Q51" s="35" t="s">
        <v>192</v>
      </c>
      <c r="R51" s="35" t="s">
        <v>192</v>
      </c>
      <c r="S51" s="37" t="str">
        <f t="shared" si="2"/>
        <v>X</v>
      </c>
      <c r="T51" s="35"/>
      <c r="U51" s="35"/>
      <c r="V51" s="35"/>
      <c r="W51" s="35"/>
      <c r="X51" s="37" t="str">
        <f t="shared" si="3"/>
        <v/>
      </c>
      <c r="Z51" t="b">
        <f t="shared" si="4"/>
        <v>0</v>
      </c>
      <c r="AA51" t="b">
        <f t="shared" si="5"/>
        <v>1</v>
      </c>
      <c r="AB51" t="b">
        <f t="shared" si="6"/>
        <v>1</v>
      </c>
      <c r="AC51" t="b">
        <f t="shared" si="7"/>
        <v>1</v>
      </c>
      <c r="AD51" t="b">
        <f t="shared" si="8"/>
        <v>0</v>
      </c>
      <c r="AE51" t="b">
        <f t="shared" si="9"/>
        <v>1</v>
      </c>
      <c r="AF51" t="b">
        <f t="shared" si="10"/>
        <v>0</v>
      </c>
      <c r="AG51" t="b">
        <f t="shared" si="11"/>
        <v>1</v>
      </c>
      <c r="AH51" t="b">
        <f t="shared" si="12"/>
        <v>0</v>
      </c>
      <c r="AI51" t="b">
        <f t="shared" si="13"/>
        <v>0</v>
      </c>
      <c r="AJ51" t="b">
        <f t="shared" si="14"/>
        <v>0</v>
      </c>
      <c r="AK51" t="b">
        <f t="shared" si="15"/>
        <v>1</v>
      </c>
      <c r="AM51" t="b">
        <f t="shared" si="16"/>
        <v>0</v>
      </c>
      <c r="AN51" t="b">
        <f t="shared" si="17"/>
        <v>1</v>
      </c>
      <c r="AO51" t="b">
        <f t="shared" si="18"/>
        <v>1</v>
      </c>
      <c r="AP51" t="b">
        <f t="shared" si="19"/>
        <v>1</v>
      </c>
      <c r="AQ51" t="b">
        <f t="shared" si="20"/>
        <v>0</v>
      </c>
      <c r="AR51" t="b">
        <f t="shared" si="21"/>
        <v>1</v>
      </c>
      <c r="AS51" t="b">
        <f t="shared" si="22"/>
        <v>0</v>
      </c>
      <c r="AT51" t="b">
        <f t="shared" si="23"/>
        <v>1</v>
      </c>
      <c r="AU51" t="b">
        <f t="shared" si="24"/>
        <v>0</v>
      </c>
      <c r="AV51" t="b">
        <f t="shared" si="25"/>
        <v>0</v>
      </c>
      <c r="AW51" t="b">
        <f t="shared" si="26"/>
        <v>0</v>
      </c>
      <c r="AX51" t="b">
        <f t="shared" si="27"/>
        <v>1</v>
      </c>
    </row>
    <row r="52" spans="1:50">
      <c r="A52" s="3" t="s">
        <v>286</v>
      </c>
      <c r="B52" s="6" t="s">
        <v>193</v>
      </c>
      <c r="C52" s="6"/>
      <c r="D52" s="34"/>
      <c r="E52" s="35" t="s">
        <v>192</v>
      </c>
      <c r="F52" s="35"/>
      <c r="G52" s="35"/>
      <c r="H52" s="35"/>
      <c r="I52" s="37" t="str">
        <f t="shared" si="0"/>
        <v>X</v>
      </c>
      <c r="J52" s="35"/>
      <c r="K52" s="35"/>
      <c r="L52" s="35"/>
      <c r="M52" s="35"/>
      <c r="N52" s="37" t="str">
        <f t="shared" si="1"/>
        <v/>
      </c>
      <c r="O52" s="35" t="s">
        <v>192</v>
      </c>
      <c r="P52" s="35" t="s">
        <v>192</v>
      </c>
      <c r="Q52" s="35" t="s">
        <v>192</v>
      </c>
      <c r="R52" s="35" t="s">
        <v>192</v>
      </c>
      <c r="S52" s="37" t="str">
        <f t="shared" si="2"/>
        <v>X</v>
      </c>
      <c r="T52" s="35"/>
      <c r="U52" s="35"/>
      <c r="V52" s="35"/>
      <c r="W52" s="35"/>
      <c r="X52" s="37" t="str">
        <f t="shared" si="3"/>
        <v/>
      </c>
      <c r="Z52" t="b">
        <f t="shared" si="4"/>
        <v>0</v>
      </c>
      <c r="AA52" t="b">
        <f t="shared" si="5"/>
        <v>1</v>
      </c>
      <c r="AB52" t="b">
        <f t="shared" si="6"/>
        <v>1</v>
      </c>
      <c r="AC52" t="b">
        <f t="shared" si="7"/>
        <v>1</v>
      </c>
      <c r="AD52" t="b">
        <f t="shared" si="8"/>
        <v>0</v>
      </c>
      <c r="AE52" t="b">
        <f t="shared" si="9"/>
        <v>1</v>
      </c>
      <c r="AF52" t="b">
        <f t="shared" si="10"/>
        <v>0</v>
      </c>
      <c r="AG52" t="b">
        <f t="shared" si="11"/>
        <v>1</v>
      </c>
      <c r="AH52" t="b">
        <f t="shared" si="12"/>
        <v>0</v>
      </c>
      <c r="AI52" t="b">
        <f t="shared" si="13"/>
        <v>0</v>
      </c>
      <c r="AJ52" t="b">
        <f t="shared" si="14"/>
        <v>0</v>
      </c>
      <c r="AK52" t="b">
        <f t="shared" si="15"/>
        <v>1</v>
      </c>
      <c r="AM52" t="b">
        <f t="shared" si="16"/>
        <v>0</v>
      </c>
      <c r="AN52" t="b">
        <f t="shared" si="17"/>
        <v>1</v>
      </c>
      <c r="AO52" t="b">
        <f t="shared" si="18"/>
        <v>1</v>
      </c>
      <c r="AP52" t="b">
        <f t="shared" si="19"/>
        <v>1</v>
      </c>
      <c r="AQ52" t="b">
        <f t="shared" si="20"/>
        <v>0</v>
      </c>
      <c r="AR52" t="b">
        <f t="shared" si="21"/>
        <v>1</v>
      </c>
      <c r="AS52" t="b">
        <f t="shared" si="22"/>
        <v>0</v>
      </c>
      <c r="AT52" t="b">
        <f t="shared" si="23"/>
        <v>1</v>
      </c>
      <c r="AU52" t="b">
        <f t="shared" si="24"/>
        <v>0</v>
      </c>
      <c r="AV52" t="b">
        <f t="shared" si="25"/>
        <v>0</v>
      </c>
      <c r="AW52" t="b">
        <f t="shared" si="26"/>
        <v>0</v>
      </c>
      <c r="AX52" t="b">
        <f t="shared" si="27"/>
        <v>1</v>
      </c>
    </row>
    <row r="53" spans="1:50">
      <c r="A53" s="3" t="s">
        <v>287</v>
      </c>
      <c r="B53" s="6" t="s">
        <v>193</v>
      </c>
      <c r="C53" s="6"/>
      <c r="D53" s="34"/>
      <c r="E53" s="35" t="s">
        <v>192</v>
      </c>
      <c r="F53" s="35"/>
      <c r="G53" s="35"/>
      <c r="H53" s="35"/>
      <c r="I53" s="37" t="str">
        <f t="shared" si="0"/>
        <v>X</v>
      </c>
      <c r="J53" s="35"/>
      <c r="K53" s="35"/>
      <c r="L53" s="35"/>
      <c r="M53" s="35"/>
      <c r="N53" s="37" t="str">
        <f t="shared" si="1"/>
        <v/>
      </c>
      <c r="O53" s="35" t="s">
        <v>192</v>
      </c>
      <c r="P53" s="35" t="s">
        <v>192</v>
      </c>
      <c r="Q53" s="35" t="s">
        <v>192</v>
      </c>
      <c r="R53" s="35" t="s">
        <v>192</v>
      </c>
      <c r="S53" s="37" t="str">
        <f t="shared" si="2"/>
        <v>X</v>
      </c>
      <c r="T53" s="35"/>
      <c r="U53" s="35"/>
      <c r="V53" s="35"/>
      <c r="W53" s="35"/>
      <c r="X53" s="37" t="str">
        <f t="shared" si="3"/>
        <v/>
      </c>
      <c r="Z53" t="b">
        <f t="shared" si="4"/>
        <v>0</v>
      </c>
      <c r="AA53" t="b">
        <f t="shared" si="5"/>
        <v>1</v>
      </c>
      <c r="AB53" t="b">
        <f t="shared" si="6"/>
        <v>1</v>
      </c>
      <c r="AC53" t="b">
        <f t="shared" si="7"/>
        <v>1</v>
      </c>
      <c r="AD53" t="b">
        <f t="shared" si="8"/>
        <v>0</v>
      </c>
      <c r="AE53" t="b">
        <f t="shared" si="9"/>
        <v>1</v>
      </c>
      <c r="AF53" t="b">
        <f t="shared" si="10"/>
        <v>0</v>
      </c>
      <c r="AG53" t="b">
        <f t="shared" si="11"/>
        <v>1</v>
      </c>
      <c r="AH53" t="b">
        <f t="shared" si="12"/>
        <v>0</v>
      </c>
      <c r="AI53" t="b">
        <f t="shared" si="13"/>
        <v>0</v>
      </c>
      <c r="AJ53" t="b">
        <f t="shared" si="14"/>
        <v>0</v>
      </c>
      <c r="AK53" t="b">
        <f t="shared" si="15"/>
        <v>1</v>
      </c>
      <c r="AM53" t="b">
        <f t="shared" si="16"/>
        <v>0</v>
      </c>
      <c r="AN53" t="b">
        <f t="shared" si="17"/>
        <v>1</v>
      </c>
      <c r="AO53" t="b">
        <f t="shared" si="18"/>
        <v>1</v>
      </c>
      <c r="AP53" t="b">
        <f t="shared" si="19"/>
        <v>1</v>
      </c>
      <c r="AQ53" t="b">
        <f t="shared" si="20"/>
        <v>0</v>
      </c>
      <c r="AR53" t="b">
        <f t="shared" si="21"/>
        <v>1</v>
      </c>
      <c r="AS53" t="b">
        <f t="shared" si="22"/>
        <v>0</v>
      </c>
      <c r="AT53" t="b">
        <f t="shared" si="23"/>
        <v>1</v>
      </c>
      <c r="AU53" t="b">
        <f t="shared" si="24"/>
        <v>0</v>
      </c>
      <c r="AV53" t="b">
        <f t="shared" si="25"/>
        <v>0</v>
      </c>
      <c r="AW53" t="b">
        <f t="shared" si="26"/>
        <v>0</v>
      </c>
      <c r="AX53" t="b">
        <f t="shared" si="27"/>
        <v>1</v>
      </c>
    </row>
    <row r="54" spans="1:50">
      <c r="A54" s="3" t="s">
        <v>223</v>
      </c>
      <c r="B54" s="6" t="s">
        <v>193</v>
      </c>
      <c r="C54" s="6"/>
      <c r="D54" s="34"/>
      <c r="E54" s="35"/>
      <c r="F54" s="35"/>
      <c r="G54" s="35"/>
      <c r="H54" s="35"/>
      <c r="I54" s="37" t="str">
        <f t="shared" si="0"/>
        <v/>
      </c>
      <c r="J54" s="35"/>
      <c r="K54" s="35"/>
      <c r="L54" s="35"/>
      <c r="M54" s="35"/>
      <c r="N54" s="37" t="str">
        <f t="shared" si="1"/>
        <v/>
      </c>
      <c r="O54" s="35"/>
      <c r="P54" s="35"/>
      <c r="Q54" s="35"/>
      <c r="R54" s="35"/>
      <c r="S54" s="37" t="str">
        <f t="shared" si="2"/>
        <v/>
      </c>
      <c r="T54" s="35"/>
      <c r="U54" s="35"/>
      <c r="V54" s="35"/>
      <c r="W54" s="35"/>
      <c r="X54" s="37" t="str">
        <f t="shared" si="3"/>
        <v/>
      </c>
      <c r="Z54" t="b">
        <f t="shared" si="4"/>
        <v>0</v>
      </c>
      <c r="AA54" t="b">
        <f t="shared" si="5"/>
        <v>0</v>
      </c>
      <c r="AB54" t="b">
        <f t="shared" si="6"/>
        <v>0</v>
      </c>
      <c r="AC54" t="b">
        <f t="shared" si="7"/>
        <v>0</v>
      </c>
      <c r="AD54" t="b">
        <f t="shared" si="8"/>
        <v>0</v>
      </c>
      <c r="AE54" t="b">
        <f t="shared" si="9"/>
        <v>0</v>
      </c>
      <c r="AF54" t="b">
        <f t="shared" si="10"/>
        <v>0</v>
      </c>
      <c r="AG54" t="b">
        <f t="shared" si="11"/>
        <v>0</v>
      </c>
      <c r="AH54" t="b">
        <f t="shared" si="12"/>
        <v>0</v>
      </c>
      <c r="AI54" t="b">
        <f t="shared" si="13"/>
        <v>0</v>
      </c>
      <c r="AJ54" t="b">
        <f t="shared" si="14"/>
        <v>0</v>
      </c>
      <c r="AK54" t="b">
        <f t="shared" si="15"/>
        <v>0</v>
      </c>
      <c r="AM54" t="b">
        <f t="shared" si="16"/>
        <v>0</v>
      </c>
      <c r="AN54" t="b">
        <f t="shared" si="17"/>
        <v>0</v>
      </c>
      <c r="AO54" t="b">
        <f t="shared" si="18"/>
        <v>0</v>
      </c>
      <c r="AP54" t="b">
        <f t="shared" si="19"/>
        <v>0</v>
      </c>
      <c r="AQ54" t="b">
        <f t="shared" si="20"/>
        <v>0</v>
      </c>
      <c r="AR54" t="b">
        <f t="shared" si="21"/>
        <v>0</v>
      </c>
      <c r="AS54" t="b">
        <f t="shared" si="22"/>
        <v>0</v>
      </c>
      <c r="AT54" t="b">
        <f t="shared" si="23"/>
        <v>0</v>
      </c>
      <c r="AU54" t="b">
        <f t="shared" si="24"/>
        <v>0</v>
      </c>
      <c r="AV54" t="b">
        <f t="shared" si="25"/>
        <v>0</v>
      </c>
      <c r="AW54" t="b">
        <f t="shared" si="26"/>
        <v>0</v>
      </c>
      <c r="AX54" t="b">
        <f t="shared" si="27"/>
        <v>0</v>
      </c>
    </row>
    <row r="55" spans="1:50">
      <c r="A55" s="3" t="s">
        <v>334</v>
      </c>
      <c r="B55" s="6" t="s">
        <v>193</v>
      </c>
      <c r="C55" s="6"/>
      <c r="D55" s="34"/>
      <c r="E55" s="35"/>
      <c r="F55" s="35"/>
      <c r="G55" s="35"/>
      <c r="H55" s="35"/>
      <c r="I55" s="37" t="str">
        <f t="shared" si="0"/>
        <v/>
      </c>
      <c r="J55" s="35" t="s">
        <v>192</v>
      </c>
      <c r="K55" s="35" t="s">
        <v>192</v>
      </c>
      <c r="L55" s="35" t="s">
        <v>192</v>
      </c>
      <c r="M55" s="35" t="s">
        <v>192</v>
      </c>
      <c r="N55" s="37" t="str">
        <f t="shared" si="1"/>
        <v>X</v>
      </c>
      <c r="O55" s="35"/>
      <c r="P55" s="35"/>
      <c r="Q55" s="35"/>
      <c r="R55" s="35"/>
      <c r="S55" s="37" t="str">
        <f t="shared" si="2"/>
        <v/>
      </c>
      <c r="T55" s="35"/>
      <c r="U55" s="35"/>
      <c r="V55" s="35"/>
      <c r="W55" s="35"/>
      <c r="X55" s="37" t="str">
        <f t="shared" si="3"/>
        <v/>
      </c>
      <c r="Z55" t="b">
        <f t="shared" si="4"/>
        <v>0</v>
      </c>
      <c r="AA55" t="b">
        <f t="shared" si="5"/>
        <v>1</v>
      </c>
      <c r="AB55" t="b">
        <f t="shared" si="6"/>
        <v>0</v>
      </c>
      <c r="AC55" t="b">
        <f t="shared" si="7"/>
        <v>0</v>
      </c>
      <c r="AD55" t="b">
        <f t="shared" si="8"/>
        <v>0</v>
      </c>
      <c r="AE55" t="b">
        <f t="shared" si="9"/>
        <v>0</v>
      </c>
      <c r="AF55" t="b">
        <f t="shared" si="10"/>
        <v>0</v>
      </c>
      <c r="AG55" t="b">
        <f t="shared" si="11"/>
        <v>1</v>
      </c>
      <c r="AH55" t="b">
        <f t="shared" si="12"/>
        <v>0</v>
      </c>
      <c r="AI55" t="b">
        <f t="shared" si="13"/>
        <v>1</v>
      </c>
      <c r="AJ55" t="b">
        <f t="shared" si="14"/>
        <v>0</v>
      </c>
      <c r="AK55" t="b">
        <f t="shared" si="15"/>
        <v>0</v>
      </c>
      <c r="AM55" t="b">
        <f t="shared" si="16"/>
        <v>0</v>
      </c>
      <c r="AN55" t="b">
        <f t="shared" si="17"/>
        <v>1</v>
      </c>
      <c r="AO55" t="b">
        <f t="shared" si="18"/>
        <v>0</v>
      </c>
      <c r="AP55" t="b">
        <f t="shared" si="19"/>
        <v>0</v>
      </c>
      <c r="AQ55" t="b">
        <f t="shared" si="20"/>
        <v>0</v>
      </c>
      <c r="AR55" t="b">
        <f t="shared" si="21"/>
        <v>0</v>
      </c>
      <c r="AS55" t="b">
        <f t="shared" si="22"/>
        <v>0</v>
      </c>
      <c r="AT55" t="b">
        <f t="shared" si="23"/>
        <v>1</v>
      </c>
      <c r="AU55" t="b">
        <f t="shared" si="24"/>
        <v>0</v>
      </c>
      <c r="AV55" t="b">
        <f t="shared" si="25"/>
        <v>1</v>
      </c>
      <c r="AW55" t="b">
        <f t="shared" si="26"/>
        <v>0</v>
      </c>
      <c r="AX55" t="b">
        <f t="shared" si="27"/>
        <v>0</v>
      </c>
    </row>
    <row r="56" spans="1:50">
      <c r="A56" s="3" t="s">
        <v>335</v>
      </c>
      <c r="B56" s="6" t="s">
        <v>193</v>
      </c>
      <c r="C56" s="6"/>
      <c r="D56" s="34"/>
      <c r="E56" s="35"/>
      <c r="F56" s="35"/>
      <c r="G56" s="35"/>
      <c r="H56" s="35"/>
      <c r="I56" s="37" t="str">
        <f t="shared" si="0"/>
        <v/>
      </c>
      <c r="J56" s="35" t="s">
        <v>192</v>
      </c>
      <c r="K56" s="35" t="s">
        <v>192</v>
      </c>
      <c r="L56" s="35" t="s">
        <v>192</v>
      </c>
      <c r="M56" s="35" t="s">
        <v>192</v>
      </c>
      <c r="N56" s="37" t="str">
        <f t="shared" si="1"/>
        <v>X</v>
      </c>
      <c r="O56" s="35"/>
      <c r="P56" s="35"/>
      <c r="Q56" s="35"/>
      <c r="R56" s="35"/>
      <c r="S56" s="37" t="str">
        <f t="shared" si="2"/>
        <v/>
      </c>
      <c r="T56" s="35"/>
      <c r="U56" s="35"/>
      <c r="V56" s="35"/>
      <c r="W56" s="35"/>
      <c r="X56" s="37" t="str">
        <f t="shared" si="3"/>
        <v/>
      </c>
      <c r="Z56" t="b">
        <f t="shared" si="4"/>
        <v>0</v>
      </c>
      <c r="AA56" t="b">
        <f t="shared" si="5"/>
        <v>1</v>
      </c>
      <c r="AB56" t="b">
        <f t="shared" si="6"/>
        <v>0</v>
      </c>
      <c r="AC56" t="b">
        <f t="shared" si="7"/>
        <v>0</v>
      </c>
      <c r="AD56" t="b">
        <f t="shared" si="8"/>
        <v>0</v>
      </c>
      <c r="AE56" t="b">
        <f t="shared" si="9"/>
        <v>0</v>
      </c>
      <c r="AF56" t="b">
        <f t="shared" si="10"/>
        <v>0</v>
      </c>
      <c r="AG56" t="b">
        <f t="shared" si="11"/>
        <v>1</v>
      </c>
      <c r="AH56" t="b">
        <f t="shared" si="12"/>
        <v>0</v>
      </c>
      <c r="AI56" t="b">
        <f t="shared" si="13"/>
        <v>1</v>
      </c>
      <c r="AJ56" t="b">
        <f t="shared" si="14"/>
        <v>0</v>
      </c>
      <c r="AK56" t="b">
        <f t="shared" si="15"/>
        <v>0</v>
      </c>
      <c r="AM56" t="b">
        <f t="shared" si="16"/>
        <v>0</v>
      </c>
      <c r="AN56" t="b">
        <f t="shared" si="17"/>
        <v>1</v>
      </c>
      <c r="AO56" t="b">
        <f t="shared" si="18"/>
        <v>0</v>
      </c>
      <c r="AP56" t="b">
        <f t="shared" si="19"/>
        <v>0</v>
      </c>
      <c r="AQ56" t="b">
        <f t="shared" si="20"/>
        <v>0</v>
      </c>
      <c r="AR56" t="b">
        <f t="shared" si="21"/>
        <v>0</v>
      </c>
      <c r="AS56" t="b">
        <f t="shared" si="22"/>
        <v>0</v>
      </c>
      <c r="AT56" t="b">
        <f t="shared" si="23"/>
        <v>1</v>
      </c>
      <c r="AU56" t="b">
        <f t="shared" si="24"/>
        <v>0</v>
      </c>
      <c r="AV56" t="b">
        <f t="shared" si="25"/>
        <v>1</v>
      </c>
      <c r="AW56" t="b">
        <f t="shared" si="26"/>
        <v>0</v>
      </c>
      <c r="AX56" t="b">
        <f t="shared" si="27"/>
        <v>0</v>
      </c>
    </row>
    <row r="57" spans="1:50">
      <c r="A57" s="3" t="s">
        <v>336</v>
      </c>
      <c r="B57" s="6" t="s">
        <v>193</v>
      </c>
      <c r="C57" s="6"/>
      <c r="D57" s="34"/>
      <c r="E57" s="35"/>
      <c r="F57" s="35"/>
      <c r="G57" s="35"/>
      <c r="H57" s="35"/>
      <c r="I57" s="37" t="str">
        <f t="shared" si="0"/>
        <v/>
      </c>
      <c r="J57" s="35" t="s">
        <v>192</v>
      </c>
      <c r="K57" s="35" t="s">
        <v>192</v>
      </c>
      <c r="L57" s="35" t="s">
        <v>192</v>
      </c>
      <c r="M57" s="35" t="s">
        <v>192</v>
      </c>
      <c r="N57" s="37" t="str">
        <f t="shared" si="1"/>
        <v>X</v>
      </c>
      <c r="O57" s="35"/>
      <c r="P57" s="35"/>
      <c r="Q57" s="35"/>
      <c r="R57" s="35"/>
      <c r="S57" s="37" t="str">
        <f t="shared" si="2"/>
        <v/>
      </c>
      <c r="T57" s="35"/>
      <c r="U57" s="35"/>
      <c r="V57" s="35"/>
      <c r="W57" s="35"/>
      <c r="X57" s="37" t="str">
        <f t="shared" si="3"/>
        <v/>
      </c>
      <c r="Z57" t="b">
        <f t="shared" si="4"/>
        <v>0</v>
      </c>
      <c r="AA57" t="b">
        <f t="shared" si="5"/>
        <v>1</v>
      </c>
      <c r="AB57" t="b">
        <f t="shared" si="6"/>
        <v>0</v>
      </c>
      <c r="AC57" t="b">
        <f t="shared" si="7"/>
        <v>0</v>
      </c>
      <c r="AD57" t="b">
        <f t="shared" si="8"/>
        <v>0</v>
      </c>
      <c r="AE57" t="b">
        <f t="shared" si="9"/>
        <v>0</v>
      </c>
      <c r="AF57" t="b">
        <f t="shared" si="10"/>
        <v>0</v>
      </c>
      <c r="AG57" t="b">
        <f t="shared" si="11"/>
        <v>1</v>
      </c>
      <c r="AH57" t="b">
        <f t="shared" si="12"/>
        <v>0</v>
      </c>
      <c r="AI57" t="b">
        <f t="shared" si="13"/>
        <v>1</v>
      </c>
      <c r="AJ57" t="b">
        <f t="shared" si="14"/>
        <v>0</v>
      </c>
      <c r="AK57" t="b">
        <f t="shared" si="15"/>
        <v>0</v>
      </c>
      <c r="AM57" t="b">
        <f t="shared" si="16"/>
        <v>0</v>
      </c>
      <c r="AN57" t="b">
        <f t="shared" si="17"/>
        <v>1</v>
      </c>
      <c r="AO57" t="b">
        <f t="shared" si="18"/>
        <v>0</v>
      </c>
      <c r="AP57" t="b">
        <f t="shared" si="19"/>
        <v>0</v>
      </c>
      <c r="AQ57" t="b">
        <f t="shared" si="20"/>
        <v>0</v>
      </c>
      <c r="AR57" t="b">
        <f t="shared" si="21"/>
        <v>0</v>
      </c>
      <c r="AS57" t="b">
        <f t="shared" si="22"/>
        <v>0</v>
      </c>
      <c r="AT57" t="b">
        <f t="shared" si="23"/>
        <v>1</v>
      </c>
      <c r="AU57" t="b">
        <f t="shared" si="24"/>
        <v>0</v>
      </c>
      <c r="AV57" t="b">
        <f t="shared" si="25"/>
        <v>1</v>
      </c>
      <c r="AW57" t="b">
        <f t="shared" si="26"/>
        <v>0</v>
      </c>
      <c r="AX57" t="b">
        <f t="shared" si="27"/>
        <v>0</v>
      </c>
    </row>
    <row r="58" spans="1:50">
      <c r="A58" s="3" t="s">
        <v>337</v>
      </c>
      <c r="B58" s="6" t="s">
        <v>193</v>
      </c>
      <c r="C58" s="6"/>
      <c r="D58" s="34"/>
      <c r="E58" s="35"/>
      <c r="F58" s="35"/>
      <c r="G58" s="35"/>
      <c r="H58" s="35"/>
      <c r="I58" s="37" t="str">
        <f t="shared" si="0"/>
        <v/>
      </c>
      <c r="J58" s="35"/>
      <c r="K58" s="35"/>
      <c r="L58" s="35"/>
      <c r="M58" s="35" t="s">
        <v>192</v>
      </c>
      <c r="N58" s="37" t="str">
        <f t="shared" si="1"/>
        <v>X</v>
      </c>
      <c r="O58" s="35"/>
      <c r="P58" s="35"/>
      <c r="Q58" s="35" t="s">
        <v>192</v>
      </c>
      <c r="R58" s="35"/>
      <c r="S58" s="37" t="str">
        <f t="shared" si="2"/>
        <v>X</v>
      </c>
      <c r="T58" s="35"/>
      <c r="U58" s="35"/>
      <c r="V58" s="35"/>
      <c r="W58" s="35"/>
      <c r="X58" s="37" t="str">
        <f t="shared" si="3"/>
        <v/>
      </c>
      <c r="Z58" t="b">
        <f t="shared" si="4"/>
        <v>0</v>
      </c>
      <c r="AA58" t="b">
        <f t="shared" si="5"/>
        <v>1</v>
      </c>
      <c r="AB58" t="b">
        <f t="shared" si="6"/>
        <v>0</v>
      </c>
      <c r="AC58" t="b">
        <f t="shared" si="7"/>
        <v>1</v>
      </c>
      <c r="AD58" t="b">
        <f t="shared" si="8"/>
        <v>0</v>
      </c>
      <c r="AE58" t="b">
        <f t="shared" si="9"/>
        <v>0</v>
      </c>
      <c r="AF58" t="b">
        <f t="shared" si="10"/>
        <v>1</v>
      </c>
      <c r="AG58" t="b">
        <f t="shared" si="11"/>
        <v>1</v>
      </c>
      <c r="AH58" t="b">
        <f t="shared" si="12"/>
        <v>0</v>
      </c>
      <c r="AI58" t="b">
        <f t="shared" si="13"/>
        <v>1</v>
      </c>
      <c r="AJ58" t="b">
        <f t="shared" si="14"/>
        <v>0</v>
      </c>
      <c r="AK58" t="b">
        <f t="shared" si="15"/>
        <v>1</v>
      </c>
      <c r="AM58" t="b">
        <f t="shared" si="16"/>
        <v>0</v>
      </c>
      <c r="AN58" t="b">
        <f t="shared" si="17"/>
        <v>1</v>
      </c>
      <c r="AO58" t="b">
        <f t="shared" si="18"/>
        <v>0</v>
      </c>
      <c r="AP58" t="b">
        <f t="shared" si="19"/>
        <v>1</v>
      </c>
      <c r="AQ58" t="b">
        <f t="shared" si="20"/>
        <v>0</v>
      </c>
      <c r="AR58" t="b">
        <f t="shared" si="21"/>
        <v>0</v>
      </c>
      <c r="AS58" t="b">
        <f t="shared" si="22"/>
        <v>1</v>
      </c>
      <c r="AT58" t="b">
        <f t="shared" si="23"/>
        <v>1</v>
      </c>
      <c r="AU58" t="b">
        <f t="shared" si="24"/>
        <v>0</v>
      </c>
      <c r="AV58" t="b">
        <f t="shared" si="25"/>
        <v>1</v>
      </c>
      <c r="AW58" t="b">
        <f t="shared" si="26"/>
        <v>0</v>
      </c>
      <c r="AX58" t="b">
        <f t="shared" si="27"/>
        <v>1</v>
      </c>
    </row>
    <row r="59" spans="1:50">
      <c r="A59" s="3" t="s">
        <v>427</v>
      </c>
      <c r="B59" s="6" t="s">
        <v>193</v>
      </c>
      <c r="C59" s="6"/>
      <c r="D59" s="34"/>
      <c r="E59" s="35"/>
      <c r="F59" s="35"/>
      <c r="G59" s="35"/>
      <c r="H59" s="35"/>
      <c r="I59" s="37" t="str">
        <f t="shared" si="0"/>
        <v/>
      </c>
      <c r="J59" s="35"/>
      <c r="K59" s="35"/>
      <c r="L59" s="35"/>
      <c r="M59" s="35"/>
      <c r="N59" s="37" t="str">
        <f t="shared" si="1"/>
        <v/>
      </c>
      <c r="O59" s="35"/>
      <c r="P59" s="35"/>
      <c r="Q59" s="35"/>
      <c r="R59" s="35"/>
      <c r="S59" s="37" t="str">
        <f t="shared" si="2"/>
        <v/>
      </c>
      <c r="T59" s="35" t="s">
        <v>192</v>
      </c>
      <c r="U59" s="35"/>
      <c r="V59" s="35" t="s">
        <v>192</v>
      </c>
      <c r="W59" s="35" t="s">
        <v>192</v>
      </c>
      <c r="X59" s="37" t="str">
        <f t="shared" si="3"/>
        <v>X</v>
      </c>
      <c r="Z59" t="b">
        <f t="shared" si="4"/>
        <v>0</v>
      </c>
      <c r="AA59" t="b">
        <f t="shared" si="5"/>
        <v>0</v>
      </c>
      <c r="AB59" t="b">
        <f t="shared" si="6"/>
        <v>0</v>
      </c>
      <c r="AC59" t="b">
        <f t="shared" si="7"/>
        <v>0</v>
      </c>
      <c r="AD59" t="b">
        <f t="shared" si="8"/>
        <v>0</v>
      </c>
      <c r="AE59" t="b">
        <f t="shared" si="9"/>
        <v>1</v>
      </c>
      <c r="AF59" t="b">
        <f t="shared" si="10"/>
        <v>0</v>
      </c>
      <c r="AG59" t="b">
        <f t="shared" si="11"/>
        <v>0</v>
      </c>
      <c r="AH59" t="b">
        <f t="shared" si="12"/>
        <v>0</v>
      </c>
      <c r="AI59" t="b">
        <f t="shared" si="13"/>
        <v>1</v>
      </c>
      <c r="AJ59" t="b">
        <f t="shared" si="14"/>
        <v>0</v>
      </c>
      <c r="AK59" t="b">
        <f t="shared" si="15"/>
        <v>1</v>
      </c>
      <c r="AM59" t="b">
        <f t="shared" si="16"/>
        <v>0</v>
      </c>
      <c r="AN59" t="b">
        <f t="shared" si="17"/>
        <v>0</v>
      </c>
      <c r="AO59" t="b">
        <f t="shared" si="18"/>
        <v>0</v>
      </c>
      <c r="AP59" t="b">
        <f t="shared" si="19"/>
        <v>0</v>
      </c>
      <c r="AQ59" t="b">
        <f t="shared" si="20"/>
        <v>0</v>
      </c>
      <c r="AR59" t="b">
        <f t="shared" si="21"/>
        <v>1</v>
      </c>
      <c r="AS59" t="b">
        <f t="shared" si="22"/>
        <v>0</v>
      </c>
      <c r="AT59" t="b">
        <f t="shared" si="23"/>
        <v>0</v>
      </c>
      <c r="AU59" t="b">
        <f t="shared" si="24"/>
        <v>0</v>
      </c>
      <c r="AV59" t="b">
        <f t="shared" si="25"/>
        <v>1</v>
      </c>
      <c r="AW59" t="b">
        <f t="shared" si="26"/>
        <v>0</v>
      </c>
      <c r="AX59" t="b">
        <f t="shared" si="27"/>
        <v>1</v>
      </c>
    </row>
    <row r="60" spans="1:50">
      <c r="A60" s="3" t="s">
        <v>224</v>
      </c>
      <c r="B60" s="6" t="s">
        <v>193</v>
      </c>
      <c r="C60" s="6"/>
      <c r="D60" s="34"/>
      <c r="E60" s="35"/>
      <c r="F60" s="35"/>
      <c r="G60" s="35"/>
      <c r="H60" s="35"/>
      <c r="I60" s="37" t="str">
        <f t="shared" si="0"/>
        <v/>
      </c>
      <c r="N60" s="37" t="str">
        <f t="shared" si="1"/>
        <v/>
      </c>
      <c r="O60" s="35"/>
      <c r="P60" s="35"/>
      <c r="Q60" s="35"/>
      <c r="R60" s="35"/>
      <c r="S60" s="37" t="str">
        <f t="shared" si="2"/>
        <v/>
      </c>
      <c r="T60" s="35"/>
      <c r="U60" s="35"/>
      <c r="V60" s="35"/>
      <c r="W60" s="35"/>
      <c r="X60" s="37" t="str">
        <f t="shared" si="3"/>
        <v/>
      </c>
      <c r="Z60" t="b">
        <f t="shared" si="4"/>
        <v>0</v>
      </c>
      <c r="AA60" t="b">
        <f t="shared" si="5"/>
        <v>0</v>
      </c>
      <c r="AB60" t="b">
        <f t="shared" si="6"/>
        <v>0</v>
      </c>
      <c r="AC60" t="b">
        <f t="shared" si="7"/>
        <v>0</v>
      </c>
      <c r="AD60" t="b">
        <f t="shared" si="8"/>
        <v>0</v>
      </c>
      <c r="AE60" t="b">
        <f t="shared" si="9"/>
        <v>0</v>
      </c>
      <c r="AF60" t="b">
        <f t="shared" si="10"/>
        <v>0</v>
      </c>
      <c r="AG60" t="b">
        <f t="shared" si="11"/>
        <v>0</v>
      </c>
      <c r="AH60" t="b">
        <f t="shared" si="12"/>
        <v>0</v>
      </c>
      <c r="AI60" t="b">
        <f t="shared" si="13"/>
        <v>0</v>
      </c>
      <c r="AJ60" t="b">
        <f t="shared" si="14"/>
        <v>0</v>
      </c>
      <c r="AK60" t="b">
        <f t="shared" si="15"/>
        <v>0</v>
      </c>
      <c r="AM60" t="b">
        <f t="shared" si="16"/>
        <v>0</v>
      </c>
      <c r="AN60" t="b">
        <f t="shared" si="17"/>
        <v>0</v>
      </c>
      <c r="AO60" t="b">
        <f t="shared" si="18"/>
        <v>0</v>
      </c>
      <c r="AP60" t="b">
        <f t="shared" si="19"/>
        <v>0</v>
      </c>
      <c r="AQ60" t="b">
        <f t="shared" si="20"/>
        <v>0</v>
      </c>
      <c r="AR60" t="b">
        <f t="shared" si="21"/>
        <v>0</v>
      </c>
      <c r="AS60" t="b">
        <f t="shared" si="22"/>
        <v>0</v>
      </c>
      <c r="AT60" t="b">
        <f t="shared" si="23"/>
        <v>0</v>
      </c>
      <c r="AU60" t="b">
        <f t="shared" si="24"/>
        <v>0</v>
      </c>
      <c r="AV60" t="b">
        <f t="shared" si="25"/>
        <v>0</v>
      </c>
      <c r="AW60" t="b">
        <f t="shared" si="26"/>
        <v>0</v>
      </c>
      <c r="AX60" t="b">
        <f t="shared" si="27"/>
        <v>0</v>
      </c>
    </row>
    <row r="61" spans="1:50">
      <c r="A61" s="3" t="s">
        <v>225</v>
      </c>
      <c r="B61" s="6" t="s">
        <v>193</v>
      </c>
      <c r="C61" s="6"/>
      <c r="D61" s="34"/>
      <c r="E61" s="35"/>
      <c r="F61" s="35"/>
      <c r="G61" s="35"/>
      <c r="H61" s="35"/>
      <c r="I61" s="37" t="str">
        <f t="shared" si="0"/>
        <v/>
      </c>
      <c r="J61" s="35"/>
      <c r="K61" s="35"/>
      <c r="L61" s="35"/>
      <c r="M61" s="35"/>
      <c r="N61" s="37" t="str">
        <f t="shared" si="1"/>
        <v/>
      </c>
      <c r="O61" s="35"/>
      <c r="P61" s="35"/>
      <c r="Q61" s="35"/>
      <c r="R61" s="35"/>
      <c r="S61" s="37" t="str">
        <f t="shared" si="2"/>
        <v/>
      </c>
      <c r="T61" s="35"/>
      <c r="U61" s="35"/>
      <c r="V61" s="35"/>
      <c r="W61" s="35"/>
      <c r="X61" s="37" t="str">
        <f t="shared" si="3"/>
        <v/>
      </c>
      <c r="Z61" t="b">
        <f t="shared" si="4"/>
        <v>0</v>
      </c>
      <c r="AA61" t="b">
        <f t="shared" si="5"/>
        <v>0</v>
      </c>
      <c r="AB61" t="b">
        <f t="shared" si="6"/>
        <v>0</v>
      </c>
      <c r="AC61" t="b">
        <f t="shared" si="7"/>
        <v>0</v>
      </c>
      <c r="AD61" t="b">
        <f t="shared" si="8"/>
        <v>0</v>
      </c>
      <c r="AE61" t="b">
        <f t="shared" si="9"/>
        <v>0</v>
      </c>
      <c r="AF61" t="b">
        <f t="shared" si="10"/>
        <v>0</v>
      </c>
      <c r="AG61" t="b">
        <f t="shared" si="11"/>
        <v>0</v>
      </c>
      <c r="AH61" t="b">
        <f t="shared" si="12"/>
        <v>0</v>
      </c>
      <c r="AI61" t="b">
        <f t="shared" si="13"/>
        <v>0</v>
      </c>
      <c r="AJ61" t="b">
        <f t="shared" si="14"/>
        <v>0</v>
      </c>
      <c r="AK61" t="b">
        <f t="shared" si="15"/>
        <v>0</v>
      </c>
      <c r="AM61" t="b">
        <f t="shared" si="16"/>
        <v>0</v>
      </c>
      <c r="AN61" t="b">
        <f t="shared" si="17"/>
        <v>0</v>
      </c>
      <c r="AO61" t="b">
        <f t="shared" si="18"/>
        <v>0</v>
      </c>
      <c r="AP61" t="b">
        <f t="shared" si="19"/>
        <v>0</v>
      </c>
      <c r="AQ61" t="b">
        <f t="shared" si="20"/>
        <v>0</v>
      </c>
      <c r="AR61" t="b">
        <f t="shared" si="21"/>
        <v>0</v>
      </c>
      <c r="AS61" t="b">
        <f t="shared" si="22"/>
        <v>0</v>
      </c>
      <c r="AT61" t="b">
        <f t="shared" si="23"/>
        <v>0</v>
      </c>
      <c r="AU61" t="b">
        <f t="shared" si="24"/>
        <v>0</v>
      </c>
      <c r="AV61" t="b">
        <f t="shared" si="25"/>
        <v>0</v>
      </c>
      <c r="AW61" t="b">
        <f t="shared" si="26"/>
        <v>0</v>
      </c>
      <c r="AX61" t="b">
        <f t="shared" si="27"/>
        <v>0</v>
      </c>
    </row>
    <row r="62" spans="1:50">
      <c r="A62" s="3" t="s">
        <v>390</v>
      </c>
      <c r="B62" s="6" t="s">
        <v>196</v>
      </c>
      <c r="C62" t="s">
        <v>110</v>
      </c>
      <c r="D62" s="34"/>
      <c r="E62" s="35"/>
      <c r="F62" s="35"/>
      <c r="G62" s="35"/>
      <c r="H62" s="35"/>
      <c r="I62" s="37" t="str">
        <f t="shared" si="0"/>
        <v/>
      </c>
      <c r="J62" s="35"/>
      <c r="K62" s="35"/>
      <c r="L62" s="35"/>
      <c r="M62" s="35"/>
      <c r="N62" s="37" t="str">
        <f t="shared" si="1"/>
        <v/>
      </c>
      <c r="O62" s="35"/>
      <c r="P62" s="35"/>
      <c r="Q62" s="35" t="s">
        <v>192</v>
      </c>
      <c r="R62" s="35"/>
      <c r="S62" s="37" t="str">
        <f t="shared" si="2"/>
        <v>X</v>
      </c>
      <c r="T62" s="35"/>
      <c r="U62" s="35"/>
      <c r="V62" s="35"/>
      <c r="W62" s="35"/>
      <c r="X62" s="37" t="str">
        <f t="shared" si="3"/>
        <v/>
      </c>
      <c r="Z62" t="b">
        <f t="shared" si="4"/>
        <v>0</v>
      </c>
      <c r="AA62" t="b">
        <f t="shared" si="5"/>
        <v>0</v>
      </c>
      <c r="AB62" t="b">
        <f t="shared" si="6"/>
        <v>0</v>
      </c>
      <c r="AC62" t="b">
        <f t="shared" si="7"/>
        <v>1</v>
      </c>
      <c r="AD62" t="b">
        <f t="shared" si="8"/>
        <v>0</v>
      </c>
      <c r="AE62" t="b">
        <f t="shared" si="9"/>
        <v>0</v>
      </c>
      <c r="AF62" t="b">
        <f t="shared" si="10"/>
        <v>0</v>
      </c>
      <c r="AG62" t="b">
        <f t="shared" si="11"/>
        <v>1</v>
      </c>
      <c r="AH62" t="b">
        <f t="shared" si="12"/>
        <v>0</v>
      </c>
      <c r="AI62" t="b">
        <f t="shared" si="13"/>
        <v>0</v>
      </c>
      <c r="AJ62" t="b">
        <f t="shared" si="14"/>
        <v>0</v>
      </c>
      <c r="AK62" t="b">
        <f t="shared" si="15"/>
        <v>1</v>
      </c>
      <c r="AM62" t="b">
        <f t="shared" si="16"/>
        <v>0</v>
      </c>
      <c r="AN62" t="b">
        <f t="shared" si="17"/>
        <v>0</v>
      </c>
      <c r="AO62" t="b">
        <f t="shared" si="18"/>
        <v>0</v>
      </c>
      <c r="AP62" t="b">
        <f t="shared" si="19"/>
        <v>0</v>
      </c>
      <c r="AQ62" t="b">
        <f t="shared" si="20"/>
        <v>0</v>
      </c>
      <c r="AR62" t="b">
        <f t="shared" si="21"/>
        <v>0</v>
      </c>
      <c r="AS62" t="b">
        <f t="shared" si="22"/>
        <v>0</v>
      </c>
      <c r="AT62" t="b">
        <f t="shared" si="23"/>
        <v>0</v>
      </c>
      <c r="AU62" t="b">
        <f t="shared" si="24"/>
        <v>0</v>
      </c>
      <c r="AV62" t="b">
        <f t="shared" si="25"/>
        <v>0</v>
      </c>
      <c r="AW62" t="b">
        <f t="shared" si="26"/>
        <v>0</v>
      </c>
      <c r="AX62" t="b">
        <f t="shared" si="27"/>
        <v>0</v>
      </c>
    </row>
    <row r="63" spans="1:50">
      <c r="A63" s="3" t="s">
        <v>338</v>
      </c>
      <c r="B63" s="6" t="s">
        <v>196</v>
      </c>
      <c r="C63" t="s">
        <v>110</v>
      </c>
      <c r="D63" s="34"/>
      <c r="E63" s="35"/>
      <c r="F63" s="35"/>
      <c r="G63" s="35"/>
      <c r="H63" s="35"/>
      <c r="I63" s="37" t="str">
        <f t="shared" si="0"/>
        <v/>
      </c>
      <c r="J63" s="35" t="s">
        <v>192</v>
      </c>
      <c r="K63" s="35"/>
      <c r="L63" s="35"/>
      <c r="M63" s="35"/>
      <c r="N63" s="37" t="str">
        <f t="shared" si="1"/>
        <v>X</v>
      </c>
      <c r="O63" s="35"/>
      <c r="P63" s="35"/>
      <c r="Q63" s="35"/>
      <c r="R63" s="35"/>
      <c r="S63" s="37" t="str">
        <f t="shared" si="2"/>
        <v/>
      </c>
      <c r="T63" s="35"/>
      <c r="U63" s="35"/>
      <c r="V63" s="35"/>
      <c r="W63" s="35"/>
      <c r="X63" s="37" t="str">
        <f t="shared" si="3"/>
        <v/>
      </c>
      <c r="Z63" t="b">
        <f t="shared" si="4"/>
        <v>0</v>
      </c>
      <c r="AA63" t="b">
        <f t="shared" si="5"/>
        <v>1</v>
      </c>
      <c r="AB63" t="b">
        <f t="shared" si="6"/>
        <v>0</v>
      </c>
      <c r="AC63" t="b">
        <f t="shared" si="7"/>
        <v>0</v>
      </c>
      <c r="AD63" t="b">
        <f t="shared" si="8"/>
        <v>0</v>
      </c>
      <c r="AE63" t="b">
        <f t="shared" si="9"/>
        <v>0</v>
      </c>
      <c r="AF63" t="b">
        <f t="shared" si="10"/>
        <v>0</v>
      </c>
      <c r="AG63" t="b">
        <f t="shared" si="11"/>
        <v>1</v>
      </c>
      <c r="AH63" t="b">
        <f t="shared" si="12"/>
        <v>0</v>
      </c>
      <c r="AI63" t="b">
        <f t="shared" si="13"/>
        <v>1</v>
      </c>
      <c r="AJ63" t="b">
        <f t="shared" si="14"/>
        <v>0</v>
      </c>
      <c r="AK63" t="b">
        <f t="shared" si="15"/>
        <v>0</v>
      </c>
      <c r="AM63" t="b">
        <f t="shared" si="16"/>
        <v>0</v>
      </c>
      <c r="AN63" t="b">
        <f t="shared" si="17"/>
        <v>0</v>
      </c>
      <c r="AO63" t="b">
        <f t="shared" si="18"/>
        <v>0</v>
      </c>
      <c r="AP63" t="b">
        <f t="shared" si="19"/>
        <v>0</v>
      </c>
      <c r="AQ63" t="b">
        <f t="shared" si="20"/>
        <v>0</v>
      </c>
      <c r="AR63" t="b">
        <f t="shared" si="21"/>
        <v>0</v>
      </c>
      <c r="AS63" t="b">
        <f t="shared" si="22"/>
        <v>0</v>
      </c>
      <c r="AT63" t="b">
        <f t="shared" si="23"/>
        <v>0</v>
      </c>
      <c r="AU63" t="b">
        <f t="shared" si="24"/>
        <v>0</v>
      </c>
      <c r="AV63" t="b">
        <f t="shared" si="25"/>
        <v>0</v>
      </c>
      <c r="AW63" t="b">
        <f t="shared" si="26"/>
        <v>0</v>
      </c>
      <c r="AX63" t="b">
        <f t="shared" si="27"/>
        <v>0</v>
      </c>
    </row>
    <row r="64" spans="1:50">
      <c r="A64" s="3" t="s">
        <v>339</v>
      </c>
      <c r="B64" s="6" t="s">
        <v>196</v>
      </c>
      <c r="C64" t="s">
        <v>111</v>
      </c>
      <c r="D64" s="34"/>
      <c r="E64" s="35"/>
      <c r="F64" s="35"/>
      <c r="G64" s="35"/>
      <c r="H64" s="35"/>
      <c r="I64" s="37" t="str">
        <f t="shared" si="0"/>
        <v/>
      </c>
      <c r="J64" s="35" t="s">
        <v>192</v>
      </c>
      <c r="K64" s="35"/>
      <c r="L64" s="35"/>
      <c r="M64" s="35"/>
      <c r="N64" s="37" t="str">
        <f t="shared" si="1"/>
        <v>X</v>
      </c>
      <c r="O64" s="35"/>
      <c r="P64" s="35"/>
      <c r="Q64" s="35"/>
      <c r="R64" s="35"/>
      <c r="S64" s="37" t="str">
        <f t="shared" si="2"/>
        <v/>
      </c>
      <c r="T64" s="35"/>
      <c r="U64" s="35"/>
      <c r="V64" s="35"/>
      <c r="W64" s="35"/>
      <c r="X64" s="37" t="str">
        <f t="shared" si="3"/>
        <v/>
      </c>
      <c r="Z64" t="b">
        <f t="shared" si="4"/>
        <v>0</v>
      </c>
      <c r="AA64" t="b">
        <f t="shared" si="5"/>
        <v>1</v>
      </c>
      <c r="AB64" t="b">
        <f t="shared" si="6"/>
        <v>0</v>
      </c>
      <c r="AC64" t="b">
        <f t="shared" si="7"/>
        <v>0</v>
      </c>
      <c r="AD64" t="b">
        <f t="shared" si="8"/>
        <v>0</v>
      </c>
      <c r="AE64" t="b">
        <f t="shared" si="9"/>
        <v>0</v>
      </c>
      <c r="AF64" t="b">
        <f t="shared" si="10"/>
        <v>0</v>
      </c>
      <c r="AG64" t="b">
        <f t="shared" si="11"/>
        <v>1</v>
      </c>
      <c r="AH64" t="b">
        <f t="shared" si="12"/>
        <v>0</v>
      </c>
      <c r="AI64" t="b">
        <f t="shared" si="13"/>
        <v>1</v>
      </c>
      <c r="AJ64" t="b">
        <f t="shared" si="14"/>
        <v>0</v>
      </c>
      <c r="AK64" t="b">
        <f t="shared" si="15"/>
        <v>0</v>
      </c>
      <c r="AM64" t="b">
        <f t="shared" si="16"/>
        <v>0</v>
      </c>
      <c r="AN64" t="b">
        <f t="shared" si="17"/>
        <v>0</v>
      </c>
      <c r="AO64" t="b">
        <f t="shared" si="18"/>
        <v>0</v>
      </c>
      <c r="AP64" t="b">
        <f t="shared" si="19"/>
        <v>0</v>
      </c>
      <c r="AQ64" t="b">
        <f t="shared" si="20"/>
        <v>0</v>
      </c>
      <c r="AR64" t="b">
        <f t="shared" si="21"/>
        <v>0</v>
      </c>
      <c r="AS64" t="b">
        <f t="shared" si="22"/>
        <v>0</v>
      </c>
      <c r="AT64" t="b">
        <f t="shared" si="23"/>
        <v>0</v>
      </c>
      <c r="AU64" t="b">
        <f t="shared" si="24"/>
        <v>0</v>
      </c>
      <c r="AV64" t="b">
        <f t="shared" si="25"/>
        <v>0</v>
      </c>
      <c r="AW64" t="b">
        <f t="shared" si="26"/>
        <v>0</v>
      </c>
      <c r="AX64" t="b">
        <f t="shared" si="27"/>
        <v>0</v>
      </c>
    </row>
    <row r="65" spans="1:50">
      <c r="A65" s="3" t="s">
        <v>340</v>
      </c>
      <c r="B65" s="6" t="s">
        <v>196</v>
      </c>
      <c r="C65" t="s">
        <v>110</v>
      </c>
      <c r="D65" s="34"/>
      <c r="E65" s="35"/>
      <c r="F65" s="35"/>
      <c r="G65" s="35"/>
      <c r="H65" s="35"/>
      <c r="I65" s="37" t="str">
        <f t="shared" si="0"/>
        <v/>
      </c>
      <c r="J65" s="35" t="s">
        <v>192</v>
      </c>
      <c r="K65" s="35"/>
      <c r="L65" s="35"/>
      <c r="M65" s="35"/>
      <c r="N65" s="37" t="str">
        <f t="shared" si="1"/>
        <v>X</v>
      </c>
      <c r="O65" s="35"/>
      <c r="P65" s="35"/>
      <c r="Q65" s="35"/>
      <c r="R65" s="35"/>
      <c r="S65" s="37" t="str">
        <f t="shared" si="2"/>
        <v/>
      </c>
      <c r="T65" s="35"/>
      <c r="U65" s="35"/>
      <c r="V65" s="35"/>
      <c r="W65" s="35"/>
      <c r="X65" s="37" t="str">
        <f t="shared" si="3"/>
        <v/>
      </c>
      <c r="Z65" t="b">
        <f t="shared" si="4"/>
        <v>0</v>
      </c>
      <c r="AA65" t="b">
        <f t="shared" si="5"/>
        <v>1</v>
      </c>
      <c r="AB65" t="b">
        <f t="shared" si="6"/>
        <v>0</v>
      </c>
      <c r="AC65" t="b">
        <f t="shared" si="7"/>
        <v>0</v>
      </c>
      <c r="AD65" t="b">
        <f t="shared" si="8"/>
        <v>0</v>
      </c>
      <c r="AE65" t="b">
        <f t="shared" si="9"/>
        <v>0</v>
      </c>
      <c r="AF65" t="b">
        <f t="shared" si="10"/>
        <v>0</v>
      </c>
      <c r="AG65" t="b">
        <f t="shared" si="11"/>
        <v>1</v>
      </c>
      <c r="AH65" t="b">
        <f t="shared" si="12"/>
        <v>0</v>
      </c>
      <c r="AI65" t="b">
        <f t="shared" si="13"/>
        <v>1</v>
      </c>
      <c r="AJ65" t="b">
        <f t="shared" si="14"/>
        <v>0</v>
      </c>
      <c r="AK65" t="b">
        <f t="shared" si="15"/>
        <v>0</v>
      </c>
      <c r="AM65" t="b">
        <f t="shared" si="16"/>
        <v>0</v>
      </c>
      <c r="AN65" t="b">
        <f t="shared" si="17"/>
        <v>0</v>
      </c>
      <c r="AO65" t="b">
        <f t="shared" si="18"/>
        <v>0</v>
      </c>
      <c r="AP65" t="b">
        <f t="shared" si="19"/>
        <v>0</v>
      </c>
      <c r="AQ65" t="b">
        <f t="shared" si="20"/>
        <v>0</v>
      </c>
      <c r="AR65" t="b">
        <f t="shared" si="21"/>
        <v>0</v>
      </c>
      <c r="AS65" t="b">
        <f t="shared" si="22"/>
        <v>0</v>
      </c>
      <c r="AT65" t="b">
        <f t="shared" si="23"/>
        <v>0</v>
      </c>
      <c r="AU65" t="b">
        <f t="shared" si="24"/>
        <v>0</v>
      </c>
      <c r="AV65" t="b">
        <f t="shared" si="25"/>
        <v>0</v>
      </c>
      <c r="AW65" t="b">
        <f t="shared" si="26"/>
        <v>0</v>
      </c>
      <c r="AX65" t="b">
        <f t="shared" si="27"/>
        <v>0</v>
      </c>
    </row>
    <row r="66" spans="1:50">
      <c r="A66" s="3" t="s">
        <v>341</v>
      </c>
      <c r="B66" s="6" t="s">
        <v>196</v>
      </c>
      <c r="C66" t="s">
        <v>110</v>
      </c>
      <c r="D66" s="34"/>
      <c r="E66" s="35"/>
      <c r="F66" s="35"/>
      <c r="G66" s="35"/>
      <c r="H66" s="35"/>
      <c r="I66" s="37" t="str">
        <f t="shared" si="0"/>
        <v/>
      </c>
      <c r="J66" s="35" t="s">
        <v>192</v>
      </c>
      <c r="K66" s="35"/>
      <c r="L66" s="35"/>
      <c r="M66" s="35"/>
      <c r="N66" s="37" t="str">
        <f t="shared" si="1"/>
        <v>X</v>
      </c>
      <c r="O66" s="35"/>
      <c r="P66" s="35"/>
      <c r="Q66" s="35"/>
      <c r="R66" s="35"/>
      <c r="S66" s="37" t="str">
        <f t="shared" si="2"/>
        <v/>
      </c>
      <c r="T66" s="35"/>
      <c r="U66" s="35"/>
      <c r="V66" s="35"/>
      <c r="W66" s="35"/>
      <c r="X66" s="37" t="str">
        <f t="shared" si="3"/>
        <v/>
      </c>
      <c r="Z66" t="b">
        <f t="shared" si="4"/>
        <v>0</v>
      </c>
      <c r="AA66" t="b">
        <f t="shared" si="5"/>
        <v>1</v>
      </c>
      <c r="AB66" t="b">
        <f t="shared" si="6"/>
        <v>0</v>
      </c>
      <c r="AC66" t="b">
        <f t="shared" si="7"/>
        <v>0</v>
      </c>
      <c r="AD66" t="b">
        <f t="shared" si="8"/>
        <v>0</v>
      </c>
      <c r="AE66" t="b">
        <f t="shared" si="9"/>
        <v>0</v>
      </c>
      <c r="AF66" t="b">
        <f t="shared" si="10"/>
        <v>0</v>
      </c>
      <c r="AG66" t="b">
        <f t="shared" si="11"/>
        <v>1</v>
      </c>
      <c r="AH66" t="b">
        <f t="shared" si="12"/>
        <v>0</v>
      </c>
      <c r="AI66" t="b">
        <f t="shared" si="13"/>
        <v>1</v>
      </c>
      <c r="AJ66" t="b">
        <f t="shared" si="14"/>
        <v>0</v>
      </c>
      <c r="AK66" t="b">
        <f t="shared" si="15"/>
        <v>0</v>
      </c>
      <c r="AM66" t="b">
        <f t="shared" si="16"/>
        <v>0</v>
      </c>
      <c r="AN66" t="b">
        <f t="shared" si="17"/>
        <v>0</v>
      </c>
      <c r="AO66" t="b">
        <f t="shared" si="18"/>
        <v>0</v>
      </c>
      <c r="AP66" t="b">
        <f t="shared" si="19"/>
        <v>0</v>
      </c>
      <c r="AQ66" t="b">
        <f t="shared" si="20"/>
        <v>0</v>
      </c>
      <c r="AR66" t="b">
        <f t="shared" si="21"/>
        <v>0</v>
      </c>
      <c r="AS66" t="b">
        <f t="shared" si="22"/>
        <v>0</v>
      </c>
      <c r="AT66" t="b">
        <f t="shared" si="23"/>
        <v>0</v>
      </c>
      <c r="AU66" t="b">
        <f t="shared" si="24"/>
        <v>0</v>
      </c>
      <c r="AV66" t="b">
        <f t="shared" si="25"/>
        <v>0</v>
      </c>
      <c r="AW66" t="b">
        <f t="shared" si="26"/>
        <v>0</v>
      </c>
      <c r="AX66" t="b">
        <f t="shared" si="27"/>
        <v>0</v>
      </c>
    </row>
    <row r="67" spans="1:50">
      <c r="A67" s="3" t="s">
        <v>342</v>
      </c>
      <c r="B67" s="6" t="s">
        <v>196</v>
      </c>
      <c r="C67" t="s">
        <v>110</v>
      </c>
      <c r="D67" s="34"/>
      <c r="E67" s="35"/>
      <c r="F67" s="35"/>
      <c r="G67" s="35"/>
      <c r="H67" s="35"/>
      <c r="I67" s="37" t="str">
        <f t="shared" ref="I67:I130" si="28">IF(COUNTA(E67:H67)&gt;0,"X","")</f>
        <v/>
      </c>
      <c r="J67" s="35"/>
      <c r="K67" s="35" t="s">
        <v>192</v>
      </c>
      <c r="L67" s="35"/>
      <c r="M67" s="35"/>
      <c r="N67" s="37" t="str">
        <f t="shared" ref="N67:N130" si="29">IF(COUNTA(J67:M67)&gt;0,"X","")</f>
        <v>X</v>
      </c>
      <c r="O67" s="35"/>
      <c r="P67" s="35"/>
      <c r="Q67" s="35"/>
      <c r="R67" s="35"/>
      <c r="S67" s="37" t="str">
        <f t="shared" ref="S67:S130" si="30">IF(COUNTA(O67:R67)&gt;0,"X","")</f>
        <v/>
      </c>
      <c r="T67" s="35"/>
      <c r="U67" s="35"/>
      <c r="V67" s="35"/>
      <c r="W67" s="35"/>
      <c r="X67" s="37" t="str">
        <f t="shared" ref="X67:X130" si="31">IF(COUNTA(T67:W67)&gt;0,"X","")</f>
        <v/>
      </c>
      <c r="Z67" t="b">
        <f t="shared" ref="Z67:Z130" si="32">AND(I67&lt;&gt;"",N67&lt;&gt;"")</f>
        <v>0</v>
      </c>
      <c r="AA67" t="b">
        <f t="shared" ref="AA67:AA130" si="33">OR(I67&lt;&gt;"",N67&lt;&gt;"")</f>
        <v>1</v>
      </c>
      <c r="AB67" t="b">
        <f t="shared" ref="AB67:AB130" si="34">AND(I67&lt;&gt;"",S67&lt;&gt;"")</f>
        <v>0</v>
      </c>
      <c r="AC67" t="b">
        <f t="shared" ref="AC67:AC130" si="35">OR(I67&lt;&gt;"",S67&lt;&gt;"")</f>
        <v>0</v>
      </c>
      <c r="AD67" t="b">
        <f t="shared" ref="AD67:AD130" si="36">AND(I67&lt;&gt;"",X67&lt;&gt;"")</f>
        <v>0</v>
      </c>
      <c r="AE67" t="b">
        <f t="shared" ref="AE67:AE130" si="37">OR(I67&lt;&gt;"",X67&lt;&gt;"")</f>
        <v>0</v>
      </c>
      <c r="AF67" t="b">
        <f t="shared" ref="AF67:AF130" si="38">AND(N67&lt;&gt;"",S67&lt;&gt;"")</f>
        <v>0</v>
      </c>
      <c r="AG67" t="b">
        <f t="shared" ref="AG67:AG130" si="39">OR(N67&lt;&gt;"",S67&lt;&gt;"")</f>
        <v>1</v>
      </c>
      <c r="AH67" t="b">
        <f t="shared" ref="AH67:AH130" si="40">AND(N67&lt;&gt;"",X67&lt;&gt;"")</f>
        <v>0</v>
      </c>
      <c r="AI67" t="b">
        <f t="shared" ref="AI67:AI130" si="41">OR(N67&lt;&gt;"",X67&lt;&gt;"")</f>
        <v>1</v>
      </c>
      <c r="AJ67" t="b">
        <f t="shared" ref="AJ67:AJ130" si="42">AND(S67&lt;&gt;"",X67&lt;&gt;"")</f>
        <v>0</v>
      </c>
      <c r="AK67" t="b">
        <f t="shared" ref="AK67:AK130" si="43">OR(S67&lt;&gt;"",X67&lt;&gt;"")</f>
        <v>0</v>
      </c>
      <c r="AM67" t="b">
        <f t="shared" ref="AM67:AM130" si="44">AND(I67&lt;&gt;"",N67&lt;&gt;"",B67="No")</f>
        <v>0</v>
      </c>
      <c r="AN67" t="b">
        <f t="shared" ref="AN67:AN130" si="45">AND(OR(I67&lt;&gt;"",N67&lt;&gt;""),B67="No")</f>
        <v>0</v>
      </c>
      <c r="AO67" t="b">
        <f t="shared" ref="AO67:AO130" si="46">AND(I67&lt;&gt;"",S67&lt;&gt;"",B67="No")</f>
        <v>0</v>
      </c>
      <c r="AP67" t="b">
        <f t="shared" ref="AP67:AP130" si="47">AND(OR(I67&lt;&gt;"",S67&lt;&gt;""),B67="No")</f>
        <v>0</v>
      </c>
      <c r="AQ67" t="b">
        <f t="shared" ref="AQ67:AQ130" si="48">AND(I67&lt;&gt;"",X67&lt;&gt;"",B67="No")</f>
        <v>0</v>
      </c>
      <c r="AR67" t="b">
        <f t="shared" ref="AR67:AR130" si="49">AND(OR(I67&lt;&gt;"",X67&lt;&gt;""),B67="No")</f>
        <v>0</v>
      </c>
      <c r="AS67" t="b">
        <f t="shared" ref="AS67:AS130" si="50">AND(N67&lt;&gt;"",S67&lt;&gt;"",B67="No")</f>
        <v>0</v>
      </c>
      <c r="AT67" t="b">
        <f t="shared" ref="AT67:AT130" si="51">AND(OR(N67&lt;&gt;"",S67&lt;&gt;""),B67="No")</f>
        <v>0</v>
      </c>
      <c r="AU67" t="b">
        <f t="shared" ref="AU67:AU130" si="52">AND(N67&lt;&gt;"",X67&lt;&gt;"",B67="No")</f>
        <v>0</v>
      </c>
      <c r="AV67" t="b">
        <f t="shared" ref="AV67:AV130" si="53">AND(OR(N67&lt;&gt;"",X67&lt;&gt;""),B67="No")</f>
        <v>0</v>
      </c>
      <c r="AW67" t="b">
        <f t="shared" ref="AW67:AW130" si="54">AND(S67&lt;&gt;"",X67&lt;&gt;"",B67="No")</f>
        <v>0</v>
      </c>
      <c r="AX67" t="b">
        <f t="shared" ref="AX67:AX130" si="55">AND(OR(S67&lt;&gt;"",X67&lt;&gt;""),B67="No")</f>
        <v>0</v>
      </c>
    </row>
    <row r="68" spans="1:50">
      <c r="A68" s="3" t="s">
        <v>343</v>
      </c>
      <c r="B68" s="6" t="s">
        <v>196</v>
      </c>
      <c r="C68" t="s">
        <v>112</v>
      </c>
      <c r="D68" s="34"/>
      <c r="E68" s="35"/>
      <c r="F68" s="35"/>
      <c r="G68" s="35"/>
      <c r="H68" s="35"/>
      <c r="I68" s="37" t="str">
        <f t="shared" si="28"/>
        <v/>
      </c>
      <c r="J68" s="35"/>
      <c r="K68" s="35"/>
      <c r="L68" s="35" t="s">
        <v>192</v>
      </c>
      <c r="M68" s="35"/>
      <c r="N68" s="37" t="str">
        <f t="shared" si="29"/>
        <v>X</v>
      </c>
      <c r="O68" s="35"/>
      <c r="P68" s="35"/>
      <c r="Q68" s="35"/>
      <c r="R68" s="35"/>
      <c r="S68" s="37" t="str">
        <f t="shared" si="30"/>
        <v/>
      </c>
      <c r="T68" s="35"/>
      <c r="U68" s="35"/>
      <c r="V68" s="35"/>
      <c r="W68" s="35"/>
      <c r="X68" s="37" t="str">
        <f t="shared" si="31"/>
        <v/>
      </c>
      <c r="Z68" t="b">
        <f t="shared" si="32"/>
        <v>0</v>
      </c>
      <c r="AA68" t="b">
        <f t="shared" si="33"/>
        <v>1</v>
      </c>
      <c r="AB68" t="b">
        <f t="shared" si="34"/>
        <v>0</v>
      </c>
      <c r="AC68" t="b">
        <f t="shared" si="35"/>
        <v>0</v>
      </c>
      <c r="AD68" t="b">
        <f t="shared" si="36"/>
        <v>0</v>
      </c>
      <c r="AE68" t="b">
        <f t="shared" si="37"/>
        <v>0</v>
      </c>
      <c r="AF68" t="b">
        <f t="shared" si="38"/>
        <v>0</v>
      </c>
      <c r="AG68" t="b">
        <f t="shared" si="39"/>
        <v>1</v>
      </c>
      <c r="AH68" t="b">
        <f t="shared" si="40"/>
        <v>0</v>
      </c>
      <c r="AI68" t="b">
        <f t="shared" si="41"/>
        <v>1</v>
      </c>
      <c r="AJ68" t="b">
        <f t="shared" si="42"/>
        <v>0</v>
      </c>
      <c r="AK68" t="b">
        <f t="shared" si="43"/>
        <v>0</v>
      </c>
      <c r="AM68" t="b">
        <f t="shared" si="44"/>
        <v>0</v>
      </c>
      <c r="AN68" t="b">
        <f t="shared" si="45"/>
        <v>0</v>
      </c>
      <c r="AO68" t="b">
        <f t="shared" si="46"/>
        <v>0</v>
      </c>
      <c r="AP68" t="b">
        <f t="shared" si="47"/>
        <v>0</v>
      </c>
      <c r="AQ68" t="b">
        <f t="shared" si="48"/>
        <v>0</v>
      </c>
      <c r="AR68" t="b">
        <f t="shared" si="49"/>
        <v>0</v>
      </c>
      <c r="AS68" t="b">
        <f t="shared" si="50"/>
        <v>0</v>
      </c>
      <c r="AT68" t="b">
        <f t="shared" si="51"/>
        <v>0</v>
      </c>
      <c r="AU68" t="b">
        <f t="shared" si="52"/>
        <v>0</v>
      </c>
      <c r="AV68" t="b">
        <f t="shared" si="53"/>
        <v>0</v>
      </c>
      <c r="AW68" t="b">
        <f t="shared" si="54"/>
        <v>0</v>
      </c>
      <c r="AX68" t="b">
        <f t="shared" si="55"/>
        <v>0</v>
      </c>
    </row>
    <row r="69" spans="1:50">
      <c r="A69" s="3" t="s">
        <v>344</v>
      </c>
      <c r="B69" s="6" t="s">
        <v>196</v>
      </c>
      <c r="C69" t="s">
        <v>111</v>
      </c>
      <c r="D69" s="34"/>
      <c r="E69" s="35"/>
      <c r="F69" s="35"/>
      <c r="G69" s="35"/>
      <c r="H69" s="35"/>
      <c r="I69" s="37" t="str">
        <f t="shared" si="28"/>
        <v/>
      </c>
      <c r="J69" s="35"/>
      <c r="K69" s="35"/>
      <c r="L69" s="35" t="s">
        <v>192</v>
      </c>
      <c r="M69" s="35"/>
      <c r="N69" s="37" t="str">
        <f t="shared" si="29"/>
        <v>X</v>
      </c>
      <c r="O69" s="35"/>
      <c r="P69" s="35"/>
      <c r="Q69" s="35"/>
      <c r="R69" s="35"/>
      <c r="S69" s="37" t="str">
        <f t="shared" si="30"/>
        <v/>
      </c>
      <c r="T69" s="35"/>
      <c r="U69" s="35"/>
      <c r="V69" s="35"/>
      <c r="W69" s="35"/>
      <c r="X69" s="37" t="str">
        <f t="shared" si="31"/>
        <v/>
      </c>
      <c r="Z69" t="b">
        <f t="shared" si="32"/>
        <v>0</v>
      </c>
      <c r="AA69" t="b">
        <f t="shared" si="33"/>
        <v>1</v>
      </c>
      <c r="AB69" t="b">
        <f t="shared" si="34"/>
        <v>0</v>
      </c>
      <c r="AC69" t="b">
        <f t="shared" si="35"/>
        <v>0</v>
      </c>
      <c r="AD69" t="b">
        <f t="shared" si="36"/>
        <v>0</v>
      </c>
      <c r="AE69" t="b">
        <f t="shared" si="37"/>
        <v>0</v>
      </c>
      <c r="AF69" t="b">
        <f t="shared" si="38"/>
        <v>0</v>
      </c>
      <c r="AG69" t="b">
        <f t="shared" si="39"/>
        <v>1</v>
      </c>
      <c r="AH69" t="b">
        <f t="shared" si="40"/>
        <v>0</v>
      </c>
      <c r="AI69" t="b">
        <f t="shared" si="41"/>
        <v>1</v>
      </c>
      <c r="AJ69" t="b">
        <f t="shared" si="42"/>
        <v>0</v>
      </c>
      <c r="AK69" t="b">
        <f t="shared" si="43"/>
        <v>0</v>
      </c>
      <c r="AM69" t="b">
        <f t="shared" si="44"/>
        <v>0</v>
      </c>
      <c r="AN69" t="b">
        <f t="shared" si="45"/>
        <v>0</v>
      </c>
      <c r="AO69" t="b">
        <f t="shared" si="46"/>
        <v>0</v>
      </c>
      <c r="AP69" t="b">
        <f t="shared" si="47"/>
        <v>0</v>
      </c>
      <c r="AQ69" t="b">
        <f t="shared" si="48"/>
        <v>0</v>
      </c>
      <c r="AR69" t="b">
        <f t="shared" si="49"/>
        <v>0</v>
      </c>
      <c r="AS69" t="b">
        <f t="shared" si="50"/>
        <v>0</v>
      </c>
      <c r="AT69" t="b">
        <f t="shared" si="51"/>
        <v>0</v>
      </c>
      <c r="AU69" t="b">
        <f t="shared" si="52"/>
        <v>0</v>
      </c>
      <c r="AV69" t="b">
        <f t="shared" si="53"/>
        <v>0</v>
      </c>
      <c r="AW69" t="b">
        <f t="shared" si="54"/>
        <v>0</v>
      </c>
      <c r="AX69" t="b">
        <f t="shared" si="55"/>
        <v>0</v>
      </c>
    </row>
    <row r="70" spans="1:50">
      <c r="A70" s="3" t="s">
        <v>345</v>
      </c>
      <c r="B70" s="6" t="s">
        <v>196</v>
      </c>
      <c r="C70" t="s">
        <v>112</v>
      </c>
      <c r="D70" s="34"/>
      <c r="E70" s="35"/>
      <c r="F70" s="35"/>
      <c r="G70" s="35"/>
      <c r="H70" s="35"/>
      <c r="I70" s="37" t="str">
        <f t="shared" si="28"/>
        <v/>
      </c>
      <c r="J70" s="35"/>
      <c r="K70" s="35"/>
      <c r="L70" s="35"/>
      <c r="M70" s="35" t="s">
        <v>192</v>
      </c>
      <c r="N70" s="37" t="str">
        <f t="shared" si="29"/>
        <v>X</v>
      </c>
      <c r="O70" s="35"/>
      <c r="P70" s="35"/>
      <c r="Q70" s="35"/>
      <c r="R70" s="35"/>
      <c r="S70" s="37" t="str">
        <f t="shared" si="30"/>
        <v/>
      </c>
      <c r="T70" s="35"/>
      <c r="U70" s="35"/>
      <c r="V70" s="35"/>
      <c r="W70" s="35"/>
      <c r="X70" s="37" t="str">
        <f t="shared" si="31"/>
        <v/>
      </c>
      <c r="Z70" t="b">
        <f t="shared" si="32"/>
        <v>0</v>
      </c>
      <c r="AA70" t="b">
        <f t="shared" si="33"/>
        <v>1</v>
      </c>
      <c r="AB70" t="b">
        <f t="shared" si="34"/>
        <v>0</v>
      </c>
      <c r="AC70" t="b">
        <f t="shared" si="35"/>
        <v>0</v>
      </c>
      <c r="AD70" t="b">
        <f t="shared" si="36"/>
        <v>0</v>
      </c>
      <c r="AE70" t="b">
        <f t="shared" si="37"/>
        <v>0</v>
      </c>
      <c r="AF70" t="b">
        <f t="shared" si="38"/>
        <v>0</v>
      </c>
      <c r="AG70" t="b">
        <f t="shared" si="39"/>
        <v>1</v>
      </c>
      <c r="AH70" t="b">
        <f t="shared" si="40"/>
        <v>0</v>
      </c>
      <c r="AI70" t="b">
        <f t="shared" si="41"/>
        <v>1</v>
      </c>
      <c r="AJ70" t="b">
        <f t="shared" si="42"/>
        <v>0</v>
      </c>
      <c r="AK70" t="b">
        <f t="shared" si="43"/>
        <v>0</v>
      </c>
      <c r="AM70" t="b">
        <f t="shared" si="44"/>
        <v>0</v>
      </c>
      <c r="AN70" t="b">
        <f t="shared" si="45"/>
        <v>0</v>
      </c>
      <c r="AO70" t="b">
        <f t="shared" si="46"/>
        <v>0</v>
      </c>
      <c r="AP70" t="b">
        <f t="shared" si="47"/>
        <v>0</v>
      </c>
      <c r="AQ70" t="b">
        <f t="shared" si="48"/>
        <v>0</v>
      </c>
      <c r="AR70" t="b">
        <f t="shared" si="49"/>
        <v>0</v>
      </c>
      <c r="AS70" t="b">
        <f t="shared" si="50"/>
        <v>0</v>
      </c>
      <c r="AT70" t="b">
        <f t="shared" si="51"/>
        <v>0</v>
      </c>
      <c r="AU70" t="b">
        <f t="shared" si="52"/>
        <v>0</v>
      </c>
      <c r="AV70" t="b">
        <f t="shared" si="53"/>
        <v>0</v>
      </c>
      <c r="AW70" t="b">
        <f t="shared" si="54"/>
        <v>0</v>
      </c>
      <c r="AX70" t="b">
        <f t="shared" si="55"/>
        <v>0</v>
      </c>
    </row>
    <row r="71" spans="1:50">
      <c r="A71" s="3" t="s">
        <v>428</v>
      </c>
      <c r="B71" s="6" t="s">
        <v>196</v>
      </c>
      <c r="C71" t="s">
        <v>110</v>
      </c>
      <c r="D71" s="34"/>
      <c r="E71" s="35"/>
      <c r="F71" s="35"/>
      <c r="G71" s="35"/>
      <c r="H71" s="35"/>
      <c r="I71" s="37" t="str">
        <f t="shared" si="28"/>
        <v/>
      </c>
      <c r="J71" s="35"/>
      <c r="K71" s="35"/>
      <c r="L71" s="35"/>
      <c r="M71" s="35"/>
      <c r="N71" s="37" t="str">
        <f t="shared" si="29"/>
        <v/>
      </c>
      <c r="O71" s="35"/>
      <c r="P71" s="35"/>
      <c r="Q71" s="35"/>
      <c r="R71" s="35"/>
      <c r="S71" s="37" t="str">
        <f t="shared" si="30"/>
        <v/>
      </c>
      <c r="T71" s="35" t="s">
        <v>192</v>
      </c>
      <c r="U71" s="35"/>
      <c r="V71" s="35"/>
      <c r="W71" s="35"/>
      <c r="X71" s="37" t="str">
        <f t="shared" si="31"/>
        <v>X</v>
      </c>
      <c r="Z71" t="b">
        <f t="shared" si="32"/>
        <v>0</v>
      </c>
      <c r="AA71" t="b">
        <f t="shared" si="33"/>
        <v>0</v>
      </c>
      <c r="AB71" t="b">
        <f t="shared" si="34"/>
        <v>0</v>
      </c>
      <c r="AC71" t="b">
        <f t="shared" si="35"/>
        <v>0</v>
      </c>
      <c r="AD71" t="b">
        <f t="shared" si="36"/>
        <v>0</v>
      </c>
      <c r="AE71" t="b">
        <f t="shared" si="37"/>
        <v>1</v>
      </c>
      <c r="AF71" t="b">
        <f t="shared" si="38"/>
        <v>0</v>
      </c>
      <c r="AG71" t="b">
        <f t="shared" si="39"/>
        <v>0</v>
      </c>
      <c r="AH71" t="b">
        <f t="shared" si="40"/>
        <v>0</v>
      </c>
      <c r="AI71" t="b">
        <f t="shared" si="41"/>
        <v>1</v>
      </c>
      <c r="AJ71" t="b">
        <f t="shared" si="42"/>
        <v>0</v>
      </c>
      <c r="AK71" t="b">
        <f t="shared" si="43"/>
        <v>1</v>
      </c>
      <c r="AM71" t="b">
        <f t="shared" si="44"/>
        <v>0</v>
      </c>
      <c r="AN71" t="b">
        <f t="shared" si="45"/>
        <v>0</v>
      </c>
      <c r="AO71" t="b">
        <f t="shared" si="46"/>
        <v>0</v>
      </c>
      <c r="AP71" t="b">
        <f t="shared" si="47"/>
        <v>0</v>
      </c>
      <c r="AQ71" t="b">
        <f t="shared" si="48"/>
        <v>0</v>
      </c>
      <c r="AR71" t="b">
        <f t="shared" si="49"/>
        <v>0</v>
      </c>
      <c r="AS71" t="b">
        <f t="shared" si="50"/>
        <v>0</v>
      </c>
      <c r="AT71" t="b">
        <f t="shared" si="51"/>
        <v>0</v>
      </c>
      <c r="AU71" t="b">
        <f t="shared" si="52"/>
        <v>0</v>
      </c>
      <c r="AV71" t="b">
        <f t="shared" si="53"/>
        <v>0</v>
      </c>
      <c r="AW71" t="b">
        <f t="shared" si="54"/>
        <v>0</v>
      </c>
      <c r="AX71" t="b">
        <f t="shared" si="55"/>
        <v>0</v>
      </c>
    </row>
    <row r="72" spans="1:50">
      <c r="A72" s="3" t="s">
        <v>429</v>
      </c>
      <c r="B72" s="6" t="s">
        <v>196</v>
      </c>
      <c r="C72" t="s">
        <v>110</v>
      </c>
      <c r="D72" s="34"/>
      <c r="E72" s="35"/>
      <c r="F72" s="35"/>
      <c r="G72" s="35"/>
      <c r="H72" s="35"/>
      <c r="I72" s="37" t="str">
        <f t="shared" si="28"/>
        <v/>
      </c>
      <c r="J72" s="35"/>
      <c r="K72" s="35"/>
      <c r="L72" s="35"/>
      <c r="M72" s="35"/>
      <c r="N72" s="37" t="str">
        <f t="shared" si="29"/>
        <v/>
      </c>
      <c r="O72" s="35"/>
      <c r="P72" s="35"/>
      <c r="Q72" s="35"/>
      <c r="R72" s="35"/>
      <c r="S72" s="37" t="str">
        <f t="shared" si="30"/>
        <v/>
      </c>
      <c r="T72" s="35" t="s">
        <v>192</v>
      </c>
      <c r="U72" s="35"/>
      <c r="V72" s="35"/>
      <c r="W72" s="35"/>
      <c r="X72" s="37" t="str">
        <f t="shared" si="31"/>
        <v>X</v>
      </c>
      <c r="Z72" t="b">
        <f t="shared" si="32"/>
        <v>0</v>
      </c>
      <c r="AA72" t="b">
        <f t="shared" si="33"/>
        <v>0</v>
      </c>
      <c r="AB72" t="b">
        <f t="shared" si="34"/>
        <v>0</v>
      </c>
      <c r="AC72" t="b">
        <f t="shared" si="35"/>
        <v>0</v>
      </c>
      <c r="AD72" t="b">
        <f t="shared" si="36"/>
        <v>0</v>
      </c>
      <c r="AE72" t="b">
        <f t="shared" si="37"/>
        <v>1</v>
      </c>
      <c r="AF72" t="b">
        <f t="shared" si="38"/>
        <v>0</v>
      </c>
      <c r="AG72" t="b">
        <f t="shared" si="39"/>
        <v>0</v>
      </c>
      <c r="AH72" t="b">
        <f t="shared" si="40"/>
        <v>0</v>
      </c>
      <c r="AI72" t="b">
        <f t="shared" si="41"/>
        <v>1</v>
      </c>
      <c r="AJ72" t="b">
        <f t="shared" si="42"/>
        <v>0</v>
      </c>
      <c r="AK72" t="b">
        <f t="shared" si="43"/>
        <v>1</v>
      </c>
      <c r="AM72" t="b">
        <f t="shared" si="44"/>
        <v>0</v>
      </c>
      <c r="AN72" t="b">
        <f t="shared" si="45"/>
        <v>0</v>
      </c>
      <c r="AO72" t="b">
        <f t="shared" si="46"/>
        <v>0</v>
      </c>
      <c r="AP72" t="b">
        <f t="shared" si="47"/>
        <v>0</v>
      </c>
      <c r="AQ72" t="b">
        <f t="shared" si="48"/>
        <v>0</v>
      </c>
      <c r="AR72" t="b">
        <f t="shared" si="49"/>
        <v>0</v>
      </c>
      <c r="AS72" t="b">
        <f t="shared" si="50"/>
        <v>0</v>
      </c>
      <c r="AT72" t="b">
        <f t="shared" si="51"/>
        <v>0</v>
      </c>
      <c r="AU72" t="b">
        <f t="shared" si="52"/>
        <v>0</v>
      </c>
      <c r="AV72" t="b">
        <f t="shared" si="53"/>
        <v>0</v>
      </c>
      <c r="AW72" t="b">
        <f t="shared" si="54"/>
        <v>0</v>
      </c>
      <c r="AX72" t="b">
        <f t="shared" si="55"/>
        <v>0</v>
      </c>
    </row>
    <row r="73" spans="1:50">
      <c r="A73" s="3" t="s">
        <v>430</v>
      </c>
      <c r="B73" s="6" t="s">
        <v>196</v>
      </c>
      <c r="C73" t="s">
        <v>110</v>
      </c>
      <c r="D73" s="34"/>
      <c r="E73" s="35"/>
      <c r="F73" s="35"/>
      <c r="G73" s="35"/>
      <c r="H73" s="35"/>
      <c r="I73" s="37" t="str">
        <f t="shared" si="28"/>
        <v/>
      </c>
      <c r="J73" s="35"/>
      <c r="K73" s="35"/>
      <c r="L73" s="35"/>
      <c r="M73" s="35"/>
      <c r="N73" s="37" t="str">
        <f t="shared" si="29"/>
        <v/>
      </c>
      <c r="O73" s="35"/>
      <c r="P73" s="35"/>
      <c r="Q73" s="35"/>
      <c r="R73" s="35"/>
      <c r="S73" s="37" t="str">
        <f t="shared" si="30"/>
        <v/>
      </c>
      <c r="T73" s="35"/>
      <c r="U73" s="35"/>
      <c r="V73" s="35"/>
      <c r="W73" s="35" t="s">
        <v>192</v>
      </c>
      <c r="X73" s="37" t="str">
        <f t="shared" si="31"/>
        <v>X</v>
      </c>
      <c r="Z73" t="b">
        <f t="shared" si="32"/>
        <v>0</v>
      </c>
      <c r="AA73" t="b">
        <f t="shared" si="33"/>
        <v>0</v>
      </c>
      <c r="AB73" t="b">
        <f t="shared" si="34"/>
        <v>0</v>
      </c>
      <c r="AC73" t="b">
        <f t="shared" si="35"/>
        <v>0</v>
      </c>
      <c r="AD73" t="b">
        <f t="shared" si="36"/>
        <v>0</v>
      </c>
      <c r="AE73" t="b">
        <f t="shared" si="37"/>
        <v>1</v>
      </c>
      <c r="AF73" t="b">
        <f t="shared" si="38"/>
        <v>0</v>
      </c>
      <c r="AG73" t="b">
        <f t="shared" si="39"/>
        <v>0</v>
      </c>
      <c r="AH73" t="b">
        <f t="shared" si="40"/>
        <v>0</v>
      </c>
      <c r="AI73" t="b">
        <f t="shared" si="41"/>
        <v>1</v>
      </c>
      <c r="AJ73" t="b">
        <f t="shared" si="42"/>
        <v>0</v>
      </c>
      <c r="AK73" t="b">
        <f t="shared" si="43"/>
        <v>1</v>
      </c>
      <c r="AM73" t="b">
        <f t="shared" si="44"/>
        <v>0</v>
      </c>
      <c r="AN73" t="b">
        <f t="shared" si="45"/>
        <v>0</v>
      </c>
      <c r="AO73" t="b">
        <f t="shared" si="46"/>
        <v>0</v>
      </c>
      <c r="AP73" t="b">
        <f t="shared" si="47"/>
        <v>0</v>
      </c>
      <c r="AQ73" t="b">
        <f t="shared" si="48"/>
        <v>0</v>
      </c>
      <c r="AR73" t="b">
        <f t="shared" si="49"/>
        <v>0</v>
      </c>
      <c r="AS73" t="b">
        <f t="shared" si="50"/>
        <v>0</v>
      </c>
      <c r="AT73" t="b">
        <f t="shared" si="51"/>
        <v>0</v>
      </c>
      <c r="AU73" t="b">
        <f t="shared" si="52"/>
        <v>0</v>
      </c>
      <c r="AV73" t="b">
        <f t="shared" si="53"/>
        <v>0</v>
      </c>
      <c r="AW73" t="b">
        <f t="shared" si="54"/>
        <v>0</v>
      </c>
      <c r="AX73" t="b">
        <f t="shared" si="55"/>
        <v>0</v>
      </c>
    </row>
    <row r="74" spans="1:50">
      <c r="A74" s="3" t="s">
        <v>477</v>
      </c>
      <c r="B74" s="6" t="s">
        <v>193</v>
      </c>
      <c r="C74" s="6"/>
      <c r="D74" s="34" t="s">
        <v>226</v>
      </c>
      <c r="E74" s="27" t="s">
        <v>192</v>
      </c>
      <c r="F74" s="27" t="s">
        <v>192</v>
      </c>
      <c r="G74" s="27" t="s">
        <v>192</v>
      </c>
      <c r="H74" s="27" t="s">
        <v>192</v>
      </c>
      <c r="I74" s="37" t="str">
        <f t="shared" si="28"/>
        <v>X</v>
      </c>
      <c r="J74" s="27" t="s">
        <v>192</v>
      </c>
      <c r="K74" s="27" t="s">
        <v>192</v>
      </c>
      <c r="L74" s="27" t="s">
        <v>192</v>
      </c>
      <c r="M74" s="27" t="s">
        <v>192</v>
      </c>
      <c r="N74" s="37" t="str">
        <f t="shared" si="29"/>
        <v>X</v>
      </c>
      <c r="O74" s="27" t="s">
        <v>192</v>
      </c>
      <c r="P74" s="27" t="s">
        <v>192</v>
      </c>
      <c r="Q74" s="27" t="s">
        <v>192</v>
      </c>
      <c r="R74" s="27" t="s">
        <v>192</v>
      </c>
      <c r="S74" s="37" t="str">
        <f t="shared" si="30"/>
        <v>X</v>
      </c>
      <c r="T74" s="27" t="s">
        <v>192</v>
      </c>
      <c r="U74" s="27" t="s">
        <v>192</v>
      </c>
      <c r="V74" s="27" t="s">
        <v>192</v>
      </c>
      <c r="W74" s="27" t="s">
        <v>192</v>
      </c>
      <c r="X74" s="37" t="str">
        <f t="shared" si="31"/>
        <v>X</v>
      </c>
      <c r="Z74" t="b">
        <f t="shared" si="32"/>
        <v>1</v>
      </c>
      <c r="AA74" t="b">
        <f t="shared" si="33"/>
        <v>1</v>
      </c>
      <c r="AB74" t="b">
        <f t="shared" si="34"/>
        <v>1</v>
      </c>
      <c r="AC74" t="b">
        <f t="shared" si="35"/>
        <v>1</v>
      </c>
      <c r="AD74" t="b">
        <f t="shared" si="36"/>
        <v>1</v>
      </c>
      <c r="AE74" t="b">
        <f t="shared" si="37"/>
        <v>1</v>
      </c>
      <c r="AF74" t="b">
        <f t="shared" si="38"/>
        <v>1</v>
      </c>
      <c r="AG74" t="b">
        <f t="shared" si="39"/>
        <v>1</v>
      </c>
      <c r="AH74" t="b">
        <f t="shared" si="40"/>
        <v>1</v>
      </c>
      <c r="AI74" t="b">
        <f t="shared" si="41"/>
        <v>1</v>
      </c>
      <c r="AJ74" t="b">
        <f t="shared" si="42"/>
        <v>1</v>
      </c>
      <c r="AK74" t="b">
        <f t="shared" si="43"/>
        <v>1</v>
      </c>
      <c r="AM74" t="b">
        <f t="shared" si="44"/>
        <v>1</v>
      </c>
      <c r="AN74" t="b">
        <f t="shared" si="45"/>
        <v>1</v>
      </c>
      <c r="AO74" t="b">
        <f t="shared" si="46"/>
        <v>1</v>
      </c>
      <c r="AP74" t="b">
        <f t="shared" si="47"/>
        <v>1</v>
      </c>
      <c r="AQ74" t="b">
        <f t="shared" si="48"/>
        <v>1</v>
      </c>
      <c r="AR74" t="b">
        <f t="shared" si="49"/>
        <v>1</v>
      </c>
      <c r="AS74" t="b">
        <f t="shared" si="50"/>
        <v>1</v>
      </c>
      <c r="AT74" t="b">
        <f t="shared" si="51"/>
        <v>1</v>
      </c>
      <c r="AU74" t="b">
        <f t="shared" si="52"/>
        <v>1</v>
      </c>
      <c r="AV74" t="b">
        <f t="shared" si="53"/>
        <v>1</v>
      </c>
      <c r="AW74" t="b">
        <f t="shared" si="54"/>
        <v>1</v>
      </c>
      <c r="AX74" t="b">
        <f t="shared" si="55"/>
        <v>1</v>
      </c>
    </row>
    <row r="75" spans="1:50">
      <c r="A75" s="3" t="s">
        <v>478</v>
      </c>
      <c r="B75" s="6" t="s">
        <v>193</v>
      </c>
      <c r="C75" s="6"/>
      <c r="D75" s="34" t="s">
        <v>288</v>
      </c>
      <c r="E75" s="27" t="s">
        <v>220</v>
      </c>
      <c r="F75" s="27" t="s">
        <v>220</v>
      </c>
      <c r="G75" s="27" t="s">
        <v>220</v>
      </c>
      <c r="H75" s="27" t="s">
        <v>220</v>
      </c>
      <c r="I75" s="37" t="str">
        <f t="shared" si="28"/>
        <v>X</v>
      </c>
      <c r="J75" s="27" t="s">
        <v>192</v>
      </c>
      <c r="K75" s="27" t="s">
        <v>192</v>
      </c>
      <c r="L75" s="27" t="s">
        <v>192</v>
      </c>
      <c r="M75" s="27" t="s">
        <v>192</v>
      </c>
      <c r="N75" s="37" t="str">
        <f t="shared" si="29"/>
        <v>X</v>
      </c>
      <c r="O75" s="35"/>
      <c r="P75" s="35"/>
      <c r="Q75" s="35"/>
      <c r="R75" s="35"/>
      <c r="S75" s="37" t="str">
        <f t="shared" si="30"/>
        <v/>
      </c>
      <c r="T75" s="27" t="s">
        <v>192</v>
      </c>
      <c r="U75" s="27" t="s">
        <v>192</v>
      </c>
      <c r="V75" s="27" t="s">
        <v>192</v>
      </c>
      <c r="W75" s="27" t="s">
        <v>192</v>
      </c>
      <c r="X75" s="37" t="str">
        <f t="shared" si="31"/>
        <v>X</v>
      </c>
      <c r="Z75" t="b">
        <f t="shared" si="32"/>
        <v>1</v>
      </c>
      <c r="AA75" t="b">
        <f t="shared" si="33"/>
        <v>1</v>
      </c>
      <c r="AB75" t="b">
        <f t="shared" si="34"/>
        <v>0</v>
      </c>
      <c r="AC75" t="b">
        <f t="shared" si="35"/>
        <v>1</v>
      </c>
      <c r="AD75" t="b">
        <f t="shared" si="36"/>
        <v>1</v>
      </c>
      <c r="AE75" t="b">
        <f t="shared" si="37"/>
        <v>1</v>
      </c>
      <c r="AF75" t="b">
        <f t="shared" si="38"/>
        <v>0</v>
      </c>
      <c r="AG75" t="b">
        <f t="shared" si="39"/>
        <v>1</v>
      </c>
      <c r="AH75" t="b">
        <f t="shared" si="40"/>
        <v>1</v>
      </c>
      <c r="AI75" t="b">
        <f t="shared" si="41"/>
        <v>1</v>
      </c>
      <c r="AJ75" t="b">
        <f t="shared" si="42"/>
        <v>0</v>
      </c>
      <c r="AK75" t="b">
        <f t="shared" si="43"/>
        <v>1</v>
      </c>
      <c r="AM75" t="b">
        <f t="shared" si="44"/>
        <v>1</v>
      </c>
      <c r="AN75" t="b">
        <f t="shared" si="45"/>
        <v>1</v>
      </c>
      <c r="AO75" t="b">
        <f t="shared" si="46"/>
        <v>0</v>
      </c>
      <c r="AP75" t="b">
        <f t="shared" si="47"/>
        <v>1</v>
      </c>
      <c r="AQ75" t="b">
        <f t="shared" si="48"/>
        <v>1</v>
      </c>
      <c r="AR75" t="b">
        <f t="shared" si="49"/>
        <v>1</v>
      </c>
      <c r="AS75" t="b">
        <f t="shared" si="50"/>
        <v>0</v>
      </c>
      <c r="AT75" t="b">
        <f t="shared" si="51"/>
        <v>1</v>
      </c>
      <c r="AU75" t="b">
        <f t="shared" si="52"/>
        <v>1</v>
      </c>
      <c r="AV75" t="b">
        <f t="shared" si="53"/>
        <v>1</v>
      </c>
      <c r="AW75" t="b">
        <f t="shared" si="54"/>
        <v>0</v>
      </c>
      <c r="AX75" t="b">
        <f t="shared" si="55"/>
        <v>1</v>
      </c>
    </row>
    <row r="76" spans="1:50">
      <c r="A76" s="3" t="s">
        <v>227</v>
      </c>
      <c r="B76" s="6" t="s">
        <v>193</v>
      </c>
      <c r="C76" s="6"/>
      <c r="D76" s="34"/>
      <c r="E76" s="35" t="s">
        <v>192</v>
      </c>
      <c r="F76" s="35" t="s">
        <v>192</v>
      </c>
      <c r="G76" s="35" t="s">
        <v>192</v>
      </c>
      <c r="H76" s="35" t="s">
        <v>192</v>
      </c>
      <c r="I76" s="37" t="str">
        <f t="shared" si="28"/>
        <v>X</v>
      </c>
      <c r="J76" s="35"/>
      <c r="K76" s="35"/>
      <c r="L76" s="35"/>
      <c r="M76" s="35"/>
      <c r="N76" s="37" t="str">
        <f t="shared" si="29"/>
        <v/>
      </c>
      <c r="O76" s="35"/>
      <c r="P76" s="35"/>
      <c r="Q76" s="35"/>
      <c r="R76" s="35"/>
      <c r="S76" s="37" t="str">
        <f t="shared" si="30"/>
        <v/>
      </c>
      <c r="T76" s="35"/>
      <c r="U76" s="35"/>
      <c r="V76" s="35"/>
      <c r="W76" s="35"/>
      <c r="X76" s="37" t="str">
        <f t="shared" si="31"/>
        <v/>
      </c>
      <c r="Z76" t="b">
        <f t="shared" si="32"/>
        <v>0</v>
      </c>
      <c r="AA76" t="b">
        <f t="shared" si="33"/>
        <v>1</v>
      </c>
      <c r="AB76" t="b">
        <f t="shared" si="34"/>
        <v>0</v>
      </c>
      <c r="AC76" t="b">
        <f t="shared" si="35"/>
        <v>1</v>
      </c>
      <c r="AD76" t="b">
        <f t="shared" si="36"/>
        <v>0</v>
      </c>
      <c r="AE76" t="b">
        <f t="shared" si="37"/>
        <v>1</v>
      </c>
      <c r="AF76" t="b">
        <f t="shared" si="38"/>
        <v>0</v>
      </c>
      <c r="AG76" t="b">
        <f t="shared" si="39"/>
        <v>0</v>
      </c>
      <c r="AH76" t="b">
        <f t="shared" si="40"/>
        <v>0</v>
      </c>
      <c r="AI76" t="b">
        <f t="shared" si="41"/>
        <v>0</v>
      </c>
      <c r="AJ76" t="b">
        <f t="shared" si="42"/>
        <v>0</v>
      </c>
      <c r="AK76" t="b">
        <f t="shared" si="43"/>
        <v>0</v>
      </c>
      <c r="AM76" t="b">
        <f t="shared" si="44"/>
        <v>0</v>
      </c>
      <c r="AN76" t="b">
        <f t="shared" si="45"/>
        <v>1</v>
      </c>
      <c r="AO76" t="b">
        <f t="shared" si="46"/>
        <v>0</v>
      </c>
      <c r="AP76" t="b">
        <f t="shared" si="47"/>
        <v>1</v>
      </c>
      <c r="AQ76" t="b">
        <f t="shared" si="48"/>
        <v>0</v>
      </c>
      <c r="AR76" t="b">
        <f t="shared" si="49"/>
        <v>1</v>
      </c>
      <c r="AS76" t="b">
        <f t="shared" si="50"/>
        <v>0</v>
      </c>
      <c r="AT76" t="b">
        <f t="shared" si="51"/>
        <v>0</v>
      </c>
      <c r="AU76" t="b">
        <f t="shared" si="52"/>
        <v>0</v>
      </c>
      <c r="AV76" t="b">
        <f t="shared" si="53"/>
        <v>0</v>
      </c>
      <c r="AW76" t="b">
        <f t="shared" si="54"/>
        <v>0</v>
      </c>
      <c r="AX76" t="b">
        <f t="shared" si="55"/>
        <v>0</v>
      </c>
    </row>
    <row r="77" spans="1:50">
      <c r="A77" s="3" t="s">
        <v>479</v>
      </c>
      <c r="B77" s="6" t="s">
        <v>193</v>
      </c>
      <c r="C77" s="6"/>
      <c r="D77" s="34"/>
      <c r="E77" s="35"/>
      <c r="F77" s="35"/>
      <c r="G77" s="35"/>
      <c r="H77" s="35"/>
      <c r="I77" s="37" t="str">
        <f t="shared" si="28"/>
        <v/>
      </c>
      <c r="J77" s="35"/>
      <c r="K77" s="35"/>
      <c r="L77" s="35"/>
      <c r="M77" s="35"/>
      <c r="N77" s="37" t="str">
        <f t="shared" si="29"/>
        <v/>
      </c>
      <c r="O77" s="35"/>
      <c r="P77" s="35"/>
      <c r="Q77" s="35"/>
      <c r="R77" s="35"/>
      <c r="S77" s="37" t="str">
        <f t="shared" si="30"/>
        <v/>
      </c>
      <c r="T77" s="35"/>
      <c r="U77" s="35"/>
      <c r="V77" s="35"/>
      <c r="W77" s="35"/>
      <c r="X77" s="37" t="str">
        <f t="shared" si="31"/>
        <v/>
      </c>
      <c r="Z77" t="b">
        <f t="shared" si="32"/>
        <v>0</v>
      </c>
      <c r="AA77" t="b">
        <f t="shared" si="33"/>
        <v>0</v>
      </c>
      <c r="AB77" t="b">
        <f t="shared" si="34"/>
        <v>0</v>
      </c>
      <c r="AC77" t="b">
        <f t="shared" si="35"/>
        <v>0</v>
      </c>
      <c r="AD77" t="b">
        <f t="shared" si="36"/>
        <v>0</v>
      </c>
      <c r="AE77" t="b">
        <f t="shared" si="37"/>
        <v>0</v>
      </c>
      <c r="AF77" t="b">
        <f t="shared" si="38"/>
        <v>0</v>
      </c>
      <c r="AG77" t="b">
        <f t="shared" si="39"/>
        <v>0</v>
      </c>
      <c r="AH77" t="b">
        <f t="shared" si="40"/>
        <v>0</v>
      </c>
      <c r="AI77" t="b">
        <f t="shared" si="41"/>
        <v>0</v>
      </c>
      <c r="AJ77" t="b">
        <f t="shared" si="42"/>
        <v>0</v>
      </c>
      <c r="AK77" t="b">
        <f t="shared" si="43"/>
        <v>0</v>
      </c>
      <c r="AM77" t="b">
        <f t="shared" si="44"/>
        <v>0</v>
      </c>
      <c r="AN77" t="b">
        <f t="shared" si="45"/>
        <v>0</v>
      </c>
      <c r="AO77" t="b">
        <f t="shared" si="46"/>
        <v>0</v>
      </c>
      <c r="AP77" t="b">
        <f t="shared" si="47"/>
        <v>0</v>
      </c>
      <c r="AQ77" t="b">
        <f t="shared" si="48"/>
        <v>0</v>
      </c>
      <c r="AR77" t="b">
        <f t="shared" si="49"/>
        <v>0</v>
      </c>
      <c r="AS77" t="b">
        <f t="shared" si="50"/>
        <v>0</v>
      </c>
      <c r="AT77" t="b">
        <f t="shared" si="51"/>
        <v>0</v>
      </c>
      <c r="AU77" t="b">
        <f t="shared" si="52"/>
        <v>0</v>
      </c>
      <c r="AV77" t="b">
        <f t="shared" si="53"/>
        <v>0</v>
      </c>
      <c r="AW77" t="b">
        <f t="shared" si="54"/>
        <v>0</v>
      </c>
      <c r="AX77" t="b">
        <f t="shared" si="55"/>
        <v>0</v>
      </c>
    </row>
    <row r="78" spans="1:50">
      <c r="A78" s="3" t="s">
        <v>228</v>
      </c>
      <c r="B78" s="6" t="s">
        <v>193</v>
      </c>
      <c r="C78" s="6"/>
      <c r="D78" s="34"/>
      <c r="E78" s="35"/>
      <c r="F78" s="35"/>
      <c r="G78" s="35"/>
      <c r="H78" s="35"/>
      <c r="I78" s="37" t="str">
        <f t="shared" si="28"/>
        <v/>
      </c>
      <c r="J78" s="35"/>
      <c r="K78" s="35"/>
      <c r="L78" s="35"/>
      <c r="M78" s="35"/>
      <c r="N78" s="37" t="str">
        <f t="shared" si="29"/>
        <v/>
      </c>
      <c r="O78" s="35" t="s">
        <v>192</v>
      </c>
      <c r="P78" s="35"/>
      <c r="Q78" s="35"/>
      <c r="R78" s="35" t="s">
        <v>192</v>
      </c>
      <c r="S78" s="37" t="str">
        <f t="shared" si="30"/>
        <v>X</v>
      </c>
      <c r="T78" s="35"/>
      <c r="U78" s="35"/>
      <c r="V78" s="35"/>
      <c r="W78" s="35"/>
      <c r="X78" s="37" t="str">
        <f t="shared" si="31"/>
        <v/>
      </c>
      <c r="Z78" t="b">
        <f t="shared" si="32"/>
        <v>0</v>
      </c>
      <c r="AA78" t="b">
        <f t="shared" si="33"/>
        <v>0</v>
      </c>
      <c r="AB78" t="b">
        <f t="shared" si="34"/>
        <v>0</v>
      </c>
      <c r="AC78" t="b">
        <f t="shared" si="35"/>
        <v>1</v>
      </c>
      <c r="AD78" t="b">
        <f t="shared" si="36"/>
        <v>0</v>
      </c>
      <c r="AE78" t="b">
        <f t="shared" si="37"/>
        <v>0</v>
      </c>
      <c r="AF78" t="b">
        <f t="shared" si="38"/>
        <v>0</v>
      </c>
      <c r="AG78" t="b">
        <f t="shared" si="39"/>
        <v>1</v>
      </c>
      <c r="AH78" t="b">
        <f t="shared" si="40"/>
        <v>0</v>
      </c>
      <c r="AI78" t="b">
        <f t="shared" si="41"/>
        <v>0</v>
      </c>
      <c r="AJ78" t="b">
        <f t="shared" si="42"/>
        <v>0</v>
      </c>
      <c r="AK78" t="b">
        <f t="shared" si="43"/>
        <v>1</v>
      </c>
      <c r="AM78" t="b">
        <f t="shared" si="44"/>
        <v>0</v>
      </c>
      <c r="AN78" t="b">
        <f t="shared" si="45"/>
        <v>0</v>
      </c>
      <c r="AO78" t="b">
        <f t="shared" si="46"/>
        <v>0</v>
      </c>
      <c r="AP78" t="b">
        <f t="shared" si="47"/>
        <v>1</v>
      </c>
      <c r="AQ78" t="b">
        <f t="shared" si="48"/>
        <v>0</v>
      </c>
      <c r="AR78" t="b">
        <f t="shared" si="49"/>
        <v>0</v>
      </c>
      <c r="AS78" t="b">
        <f t="shared" si="50"/>
        <v>0</v>
      </c>
      <c r="AT78" t="b">
        <f t="shared" si="51"/>
        <v>1</v>
      </c>
      <c r="AU78" t="b">
        <f t="shared" si="52"/>
        <v>0</v>
      </c>
      <c r="AV78" t="b">
        <f t="shared" si="53"/>
        <v>0</v>
      </c>
      <c r="AW78" t="b">
        <f t="shared" si="54"/>
        <v>0</v>
      </c>
      <c r="AX78" t="b">
        <f t="shared" si="55"/>
        <v>1</v>
      </c>
    </row>
    <row r="79" spans="1:50">
      <c r="A79" s="3" t="s">
        <v>346</v>
      </c>
      <c r="B79" s="6" t="s">
        <v>193</v>
      </c>
      <c r="C79" s="6"/>
      <c r="D79" s="34"/>
      <c r="E79" s="35"/>
      <c r="F79" s="35"/>
      <c r="G79" s="35"/>
      <c r="H79" s="35"/>
      <c r="I79" s="37" t="str">
        <f t="shared" si="28"/>
        <v/>
      </c>
      <c r="J79" s="35"/>
      <c r="K79" s="35" t="s">
        <v>192</v>
      </c>
      <c r="L79" s="35" t="s">
        <v>192</v>
      </c>
      <c r="M79" s="35"/>
      <c r="N79" s="37" t="str">
        <f t="shared" si="29"/>
        <v>X</v>
      </c>
      <c r="O79" s="35"/>
      <c r="P79" s="35"/>
      <c r="Q79" s="35"/>
      <c r="R79" s="35"/>
      <c r="S79" s="37" t="str">
        <f t="shared" si="30"/>
        <v/>
      </c>
      <c r="T79" s="35"/>
      <c r="U79" s="35"/>
      <c r="V79" s="35" t="s">
        <v>192</v>
      </c>
      <c r="W79" s="35"/>
      <c r="X79" s="37" t="str">
        <f t="shared" si="31"/>
        <v>X</v>
      </c>
      <c r="Z79" t="b">
        <f t="shared" si="32"/>
        <v>0</v>
      </c>
      <c r="AA79" t="b">
        <f t="shared" si="33"/>
        <v>1</v>
      </c>
      <c r="AB79" t="b">
        <f t="shared" si="34"/>
        <v>0</v>
      </c>
      <c r="AC79" t="b">
        <f t="shared" si="35"/>
        <v>0</v>
      </c>
      <c r="AD79" t="b">
        <f t="shared" si="36"/>
        <v>0</v>
      </c>
      <c r="AE79" t="b">
        <f t="shared" si="37"/>
        <v>1</v>
      </c>
      <c r="AF79" t="b">
        <f t="shared" si="38"/>
        <v>0</v>
      </c>
      <c r="AG79" t="b">
        <f t="shared" si="39"/>
        <v>1</v>
      </c>
      <c r="AH79" t="b">
        <f t="shared" si="40"/>
        <v>1</v>
      </c>
      <c r="AI79" t="b">
        <f t="shared" si="41"/>
        <v>1</v>
      </c>
      <c r="AJ79" t="b">
        <f t="shared" si="42"/>
        <v>0</v>
      </c>
      <c r="AK79" t="b">
        <f t="shared" si="43"/>
        <v>1</v>
      </c>
      <c r="AM79" t="b">
        <f t="shared" si="44"/>
        <v>0</v>
      </c>
      <c r="AN79" t="b">
        <f t="shared" si="45"/>
        <v>1</v>
      </c>
      <c r="AO79" t="b">
        <f t="shared" si="46"/>
        <v>0</v>
      </c>
      <c r="AP79" t="b">
        <f t="shared" si="47"/>
        <v>0</v>
      </c>
      <c r="AQ79" t="b">
        <f t="shared" si="48"/>
        <v>0</v>
      </c>
      <c r="AR79" t="b">
        <f t="shared" si="49"/>
        <v>1</v>
      </c>
      <c r="AS79" t="b">
        <f t="shared" si="50"/>
        <v>0</v>
      </c>
      <c r="AT79" t="b">
        <f t="shared" si="51"/>
        <v>1</v>
      </c>
      <c r="AU79" t="b">
        <f t="shared" si="52"/>
        <v>1</v>
      </c>
      <c r="AV79" t="b">
        <f t="shared" si="53"/>
        <v>1</v>
      </c>
      <c r="AW79" t="b">
        <f t="shared" si="54"/>
        <v>0</v>
      </c>
      <c r="AX79" t="b">
        <f t="shared" si="55"/>
        <v>1</v>
      </c>
    </row>
    <row r="80" spans="1:50">
      <c r="A80" s="3" t="s">
        <v>431</v>
      </c>
      <c r="B80" s="6" t="s">
        <v>193</v>
      </c>
      <c r="C80" s="6"/>
      <c r="D80" s="34"/>
      <c r="E80" s="35"/>
      <c r="F80" s="35"/>
      <c r="G80" s="35"/>
      <c r="H80" s="35"/>
      <c r="I80" s="37" t="str">
        <f t="shared" si="28"/>
        <v/>
      </c>
      <c r="J80" s="35"/>
      <c r="K80" s="35"/>
      <c r="L80" s="35"/>
      <c r="M80" s="35"/>
      <c r="N80" s="37" t="str">
        <f t="shared" si="29"/>
        <v/>
      </c>
      <c r="O80" s="35"/>
      <c r="P80" s="35"/>
      <c r="Q80" s="35"/>
      <c r="R80" s="35"/>
      <c r="S80" s="37" t="str">
        <f t="shared" si="30"/>
        <v/>
      </c>
      <c r="T80" s="35"/>
      <c r="U80" s="35"/>
      <c r="V80" s="35" t="s">
        <v>192</v>
      </c>
      <c r="W80" s="35"/>
      <c r="X80" s="37" t="str">
        <f t="shared" si="31"/>
        <v>X</v>
      </c>
      <c r="Z80" t="b">
        <f t="shared" si="32"/>
        <v>0</v>
      </c>
      <c r="AA80" t="b">
        <f t="shared" si="33"/>
        <v>0</v>
      </c>
      <c r="AB80" t="b">
        <f t="shared" si="34"/>
        <v>0</v>
      </c>
      <c r="AC80" t="b">
        <f t="shared" si="35"/>
        <v>0</v>
      </c>
      <c r="AD80" t="b">
        <f t="shared" si="36"/>
        <v>0</v>
      </c>
      <c r="AE80" t="b">
        <f t="shared" si="37"/>
        <v>1</v>
      </c>
      <c r="AF80" t="b">
        <f t="shared" si="38"/>
        <v>0</v>
      </c>
      <c r="AG80" t="b">
        <f t="shared" si="39"/>
        <v>0</v>
      </c>
      <c r="AH80" t="b">
        <f t="shared" si="40"/>
        <v>0</v>
      </c>
      <c r="AI80" t="b">
        <f t="shared" si="41"/>
        <v>1</v>
      </c>
      <c r="AJ80" t="b">
        <f t="shared" si="42"/>
        <v>0</v>
      </c>
      <c r="AK80" t="b">
        <f t="shared" si="43"/>
        <v>1</v>
      </c>
      <c r="AM80" t="b">
        <f t="shared" si="44"/>
        <v>0</v>
      </c>
      <c r="AN80" t="b">
        <f t="shared" si="45"/>
        <v>0</v>
      </c>
      <c r="AO80" t="b">
        <f t="shared" si="46"/>
        <v>0</v>
      </c>
      <c r="AP80" t="b">
        <f t="shared" si="47"/>
        <v>0</v>
      </c>
      <c r="AQ80" t="b">
        <f t="shared" si="48"/>
        <v>0</v>
      </c>
      <c r="AR80" t="b">
        <f t="shared" si="49"/>
        <v>1</v>
      </c>
      <c r="AS80" t="b">
        <f t="shared" si="50"/>
        <v>0</v>
      </c>
      <c r="AT80" t="b">
        <f t="shared" si="51"/>
        <v>0</v>
      </c>
      <c r="AU80" t="b">
        <f t="shared" si="52"/>
        <v>0</v>
      </c>
      <c r="AV80" t="b">
        <f t="shared" si="53"/>
        <v>1</v>
      </c>
      <c r="AW80" t="b">
        <f t="shared" si="54"/>
        <v>0</v>
      </c>
      <c r="AX80" t="b">
        <f t="shared" si="55"/>
        <v>1</v>
      </c>
    </row>
    <row r="81" spans="1:50">
      <c r="A81" s="3" t="s">
        <v>289</v>
      </c>
      <c r="B81" s="6" t="s">
        <v>196</v>
      </c>
      <c r="C81" t="s">
        <v>480</v>
      </c>
      <c r="D81" s="34"/>
      <c r="E81" s="35" t="s">
        <v>192</v>
      </c>
      <c r="F81" s="35"/>
      <c r="G81" s="35"/>
      <c r="H81" s="35" t="s">
        <v>192</v>
      </c>
      <c r="I81" s="37" t="str">
        <f t="shared" si="28"/>
        <v>X</v>
      </c>
      <c r="J81" s="35"/>
      <c r="K81" s="35"/>
      <c r="L81" s="35"/>
      <c r="M81" s="35"/>
      <c r="N81" s="37" t="str">
        <f t="shared" si="29"/>
        <v/>
      </c>
      <c r="O81" s="35"/>
      <c r="P81" s="35"/>
      <c r="Q81" s="35"/>
      <c r="R81" s="35"/>
      <c r="S81" s="37" t="str">
        <f t="shared" si="30"/>
        <v/>
      </c>
      <c r="T81" s="35"/>
      <c r="U81" s="35"/>
      <c r="V81" s="35"/>
      <c r="W81" s="35"/>
      <c r="X81" s="37" t="str">
        <f t="shared" si="31"/>
        <v/>
      </c>
      <c r="Z81" t="b">
        <f t="shared" si="32"/>
        <v>0</v>
      </c>
      <c r="AA81" t="b">
        <f t="shared" si="33"/>
        <v>1</v>
      </c>
      <c r="AB81" t="b">
        <f t="shared" si="34"/>
        <v>0</v>
      </c>
      <c r="AC81" t="b">
        <f t="shared" si="35"/>
        <v>1</v>
      </c>
      <c r="AD81" t="b">
        <f t="shared" si="36"/>
        <v>0</v>
      </c>
      <c r="AE81" t="b">
        <f t="shared" si="37"/>
        <v>1</v>
      </c>
      <c r="AF81" t="b">
        <f t="shared" si="38"/>
        <v>0</v>
      </c>
      <c r="AG81" t="b">
        <f t="shared" si="39"/>
        <v>0</v>
      </c>
      <c r="AH81" t="b">
        <f t="shared" si="40"/>
        <v>0</v>
      </c>
      <c r="AI81" t="b">
        <f t="shared" si="41"/>
        <v>0</v>
      </c>
      <c r="AJ81" t="b">
        <f t="shared" si="42"/>
        <v>0</v>
      </c>
      <c r="AK81" t="b">
        <f t="shared" si="43"/>
        <v>0</v>
      </c>
      <c r="AM81" t="b">
        <f t="shared" si="44"/>
        <v>0</v>
      </c>
      <c r="AN81" t="b">
        <f t="shared" si="45"/>
        <v>0</v>
      </c>
      <c r="AO81" t="b">
        <f t="shared" si="46"/>
        <v>0</v>
      </c>
      <c r="AP81" t="b">
        <f t="shared" si="47"/>
        <v>0</v>
      </c>
      <c r="AQ81" t="b">
        <f t="shared" si="48"/>
        <v>0</v>
      </c>
      <c r="AR81" t="b">
        <f t="shared" si="49"/>
        <v>0</v>
      </c>
      <c r="AS81" t="b">
        <f t="shared" si="50"/>
        <v>0</v>
      </c>
      <c r="AT81" t="b">
        <f t="shared" si="51"/>
        <v>0</v>
      </c>
      <c r="AU81" t="b">
        <f t="shared" si="52"/>
        <v>0</v>
      </c>
      <c r="AV81" t="b">
        <f t="shared" si="53"/>
        <v>0</v>
      </c>
      <c r="AW81" t="b">
        <f t="shared" si="54"/>
        <v>0</v>
      </c>
      <c r="AX81" t="b">
        <f t="shared" si="55"/>
        <v>0</v>
      </c>
    </row>
    <row r="82" spans="1:50">
      <c r="A82" s="3" t="s">
        <v>481</v>
      </c>
      <c r="B82" s="6" t="s">
        <v>196</v>
      </c>
      <c r="C82" t="s">
        <v>114</v>
      </c>
      <c r="D82" s="34"/>
      <c r="E82" s="35"/>
      <c r="F82" s="35"/>
      <c r="G82" s="35"/>
      <c r="H82" s="35"/>
      <c r="I82" s="37" t="str">
        <f t="shared" si="28"/>
        <v/>
      </c>
      <c r="J82" s="35"/>
      <c r="K82" s="35"/>
      <c r="L82" s="35"/>
      <c r="M82" s="35"/>
      <c r="N82" s="37" t="str">
        <f t="shared" si="29"/>
        <v/>
      </c>
      <c r="O82" s="35" t="s">
        <v>192</v>
      </c>
      <c r="P82" s="35"/>
      <c r="Q82" s="35" t="s">
        <v>192</v>
      </c>
      <c r="R82" s="35"/>
      <c r="S82" s="37" t="str">
        <f t="shared" si="30"/>
        <v>X</v>
      </c>
      <c r="T82" s="35"/>
      <c r="U82" s="35"/>
      <c r="V82" s="35"/>
      <c r="W82" s="35"/>
      <c r="X82" s="37" t="str">
        <f t="shared" si="31"/>
        <v/>
      </c>
      <c r="Z82" t="b">
        <f t="shared" si="32"/>
        <v>0</v>
      </c>
      <c r="AA82" t="b">
        <f t="shared" si="33"/>
        <v>0</v>
      </c>
      <c r="AB82" t="b">
        <f t="shared" si="34"/>
        <v>0</v>
      </c>
      <c r="AC82" t="b">
        <f t="shared" si="35"/>
        <v>1</v>
      </c>
      <c r="AD82" t="b">
        <f t="shared" si="36"/>
        <v>0</v>
      </c>
      <c r="AE82" t="b">
        <f t="shared" si="37"/>
        <v>0</v>
      </c>
      <c r="AF82" t="b">
        <f t="shared" si="38"/>
        <v>0</v>
      </c>
      <c r="AG82" t="b">
        <f t="shared" si="39"/>
        <v>1</v>
      </c>
      <c r="AH82" t="b">
        <f t="shared" si="40"/>
        <v>0</v>
      </c>
      <c r="AI82" t="b">
        <f t="shared" si="41"/>
        <v>0</v>
      </c>
      <c r="AJ82" t="b">
        <f t="shared" si="42"/>
        <v>0</v>
      </c>
      <c r="AK82" t="b">
        <f t="shared" si="43"/>
        <v>1</v>
      </c>
      <c r="AM82" t="b">
        <f t="shared" si="44"/>
        <v>0</v>
      </c>
      <c r="AN82" t="b">
        <f t="shared" si="45"/>
        <v>0</v>
      </c>
      <c r="AO82" t="b">
        <f t="shared" si="46"/>
        <v>0</v>
      </c>
      <c r="AP82" t="b">
        <f t="shared" si="47"/>
        <v>0</v>
      </c>
      <c r="AQ82" t="b">
        <f t="shared" si="48"/>
        <v>0</v>
      </c>
      <c r="AR82" t="b">
        <f t="shared" si="49"/>
        <v>0</v>
      </c>
      <c r="AS82" t="b">
        <f t="shared" si="50"/>
        <v>0</v>
      </c>
      <c r="AT82" t="b">
        <f t="shared" si="51"/>
        <v>0</v>
      </c>
      <c r="AU82" t="b">
        <f t="shared" si="52"/>
        <v>0</v>
      </c>
      <c r="AV82" t="b">
        <f t="shared" si="53"/>
        <v>0</v>
      </c>
      <c r="AW82" t="b">
        <f t="shared" si="54"/>
        <v>0</v>
      </c>
      <c r="AX82" t="b">
        <f t="shared" si="55"/>
        <v>0</v>
      </c>
    </row>
    <row r="83" spans="1:50">
      <c r="A83" t="s">
        <v>482</v>
      </c>
      <c r="B83" s="6" t="s">
        <v>196</v>
      </c>
      <c r="C83" t="s">
        <v>110</v>
      </c>
      <c r="D83" s="34"/>
      <c r="E83" s="35"/>
      <c r="F83" s="35"/>
      <c r="G83" s="35"/>
      <c r="H83" s="35"/>
      <c r="I83" s="37" t="str">
        <f t="shared" si="28"/>
        <v/>
      </c>
      <c r="J83" s="35"/>
      <c r="K83" s="35"/>
      <c r="L83" s="35"/>
      <c r="M83" s="35"/>
      <c r="N83" s="37" t="str">
        <f t="shared" si="29"/>
        <v/>
      </c>
      <c r="O83" s="35"/>
      <c r="P83" s="35"/>
      <c r="Q83" s="35"/>
      <c r="R83" s="35"/>
      <c r="S83" s="37" t="str">
        <f t="shared" si="30"/>
        <v/>
      </c>
      <c r="T83" s="35"/>
      <c r="U83" s="35"/>
      <c r="V83" s="35"/>
      <c r="W83" s="35" t="s">
        <v>192</v>
      </c>
      <c r="X83" s="37" t="str">
        <f t="shared" si="31"/>
        <v>X</v>
      </c>
      <c r="Z83" t="b">
        <f t="shared" si="32"/>
        <v>0</v>
      </c>
      <c r="AA83" t="b">
        <f t="shared" si="33"/>
        <v>0</v>
      </c>
      <c r="AB83" t="b">
        <f t="shared" si="34"/>
        <v>0</v>
      </c>
      <c r="AC83" t="b">
        <f t="shared" si="35"/>
        <v>0</v>
      </c>
      <c r="AD83" t="b">
        <f t="shared" si="36"/>
        <v>0</v>
      </c>
      <c r="AE83" t="b">
        <f t="shared" si="37"/>
        <v>1</v>
      </c>
      <c r="AF83" t="b">
        <f t="shared" si="38"/>
        <v>0</v>
      </c>
      <c r="AG83" t="b">
        <f t="shared" si="39"/>
        <v>0</v>
      </c>
      <c r="AH83" t="b">
        <f t="shared" si="40"/>
        <v>0</v>
      </c>
      <c r="AI83" t="b">
        <f t="shared" si="41"/>
        <v>1</v>
      </c>
      <c r="AJ83" t="b">
        <f t="shared" si="42"/>
        <v>0</v>
      </c>
      <c r="AK83" t="b">
        <f t="shared" si="43"/>
        <v>1</v>
      </c>
      <c r="AM83" t="b">
        <f t="shared" si="44"/>
        <v>0</v>
      </c>
      <c r="AN83" t="b">
        <f t="shared" si="45"/>
        <v>0</v>
      </c>
      <c r="AO83" t="b">
        <f t="shared" si="46"/>
        <v>0</v>
      </c>
      <c r="AP83" t="b">
        <f t="shared" si="47"/>
        <v>0</v>
      </c>
      <c r="AQ83" t="b">
        <f t="shared" si="48"/>
        <v>0</v>
      </c>
      <c r="AR83" t="b">
        <f t="shared" si="49"/>
        <v>0</v>
      </c>
      <c r="AS83" t="b">
        <f t="shared" si="50"/>
        <v>0</v>
      </c>
      <c r="AT83" t="b">
        <f t="shared" si="51"/>
        <v>0</v>
      </c>
      <c r="AU83" t="b">
        <f t="shared" si="52"/>
        <v>0</v>
      </c>
      <c r="AV83" t="b">
        <f t="shared" si="53"/>
        <v>0</v>
      </c>
      <c r="AW83" t="b">
        <f t="shared" si="54"/>
        <v>0</v>
      </c>
      <c r="AX83" t="b">
        <f t="shared" si="55"/>
        <v>0</v>
      </c>
    </row>
    <row r="84" spans="1:50">
      <c r="A84" t="s">
        <v>432</v>
      </c>
      <c r="B84" s="6" t="s">
        <v>196</v>
      </c>
      <c r="C84" t="s">
        <v>110</v>
      </c>
      <c r="D84" s="34"/>
      <c r="E84" s="35"/>
      <c r="F84" s="35"/>
      <c r="G84" s="35"/>
      <c r="H84" s="35"/>
      <c r="I84" s="37" t="str">
        <f t="shared" si="28"/>
        <v/>
      </c>
      <c r="J84" s="35"/>
      <c r="K84" s="35"/>
      <c r="L84" s="35"/>
      <c r="M84" s="35"/>
      <c r="N84" s="37" t="str">
        <f t="shared" si="29"/>
        <v/>
      </c>
      <c r="O84" s="35"/>
      <c r="P84" s="35"/>
      <c r="Q84" s="35"/>
      <c r="R84" s="35"/>
      <c r="S84" s="37" t="str">
        <f t="shared" si="30"/>
        <v/>
      </c>
      <c r="T84" s="35"/>
      <c r="U84" s="35"/>
      <c r="V84" s="35"/>
      <c r="W84" s="35" t="s">
        <v>192</v>
      </c>
      <c r="X84" s="37" t="str">
        <f t="shared" si="31"/>
        <v>X</v>
      </c>
      <c r="Z84" t="b">
        <f t="shared" si="32"/>
        <v>0</v>
      </c>
      <c r="AA84" t="b">
        <f t="shared" si="33"/>
        <v>0</v>
      </c>
      <c r="AB84" t="b">
        <f t="shared" si="34"/>
        <v>0</v>
      </c>
      <c r="AC84" t="b">
        <f t="shared" si="35"/>
        <v>0</v>
      </c>
      <c r="AD84" t="b">
        <f t="shared" si="36"/>
        <v>0</v>
      </c>
      <c r="AE84" t="b">
        <f t="shared" si="37"/>
        <v>1</v>
      </c>
      <c r="AF84" t="b">
        <f t="shared" si="38"/>
        <v>0</v>
      </c>
      <c r="AG84" t="b">
        <f t="shared" si="39"/>
        <v>0</v>
      </c>
      <c r="AH84" t="b">
        <f t="shared" si="40"/>
        <v>0</v>
      </c>
      <c r="AI84" t="b">
        <f t="shared" si="41"/>
        <v>1</v>
      </c>
      <c r="AJ84" t="b">
        <f t="shared" si="42"/>
        <v>0</v>
      </c>
      <c r="AK84" t="b">
        <f t="shared" si="43"/>
        <v>1</v>
      </c>
      <c r="AM84" t="b">
        <f t="shared" si="44"/>
        <v>0</v>
      </c>
      <c r="AN84" t="b">
        <f t="shared" si="45"/>
        <v>0</v>
      </c>
      <c r="AO84" t="b">
        <f t="shared" si="46"/>
        <v>0</v>
      </c>
      <c r="AP84" t="b">
        <f t="shared" si="47"/>
        <v>0</v>
      </c>
      <c r="AQ84" t="b">
        <f t="shared" si="48"/>
        <v>0</v>
      </c>
      <c r="AR84" t="b">
        <f t="shared" si="49"/>
        <v>0</v>
      </c>
      <c r="AS84" t="b">
        <f t="shared" si="50"/>
        <v>0</v>
      </c>
      <c r="AT84" t="b">
        <f t="shared" si="51"/>
        <v>0</v>
      </c>
      <c r="AU84" t="b">
        <f t="shared" si="52"/>
        <v>0</v>
      </c>
      <c r="AV84" t="b">
        <f t="shared" si="53"/>
        <v>0</v>
      </c>
      <c r="AW84" t="b">
        <f t="shared" si="54"/>
        <v>0</v>
      </c>
      <c r="AX84" t="b">
        <f t="shared" si="55"/>
        <v>0</v>
      </c>
    </row>
    <row r="85" spans="1:50">
      <c r="A85" s="3" t="s">
        <v>483</v>
      </c>
      <c r="B85" s="6" t="s">
        <v>193</v>
      </c>
      <c r="C85" s="6"/>
      <c r="D85" s="34" t="s">
        <v>231</v>
      </c>
      <c r="E85" s="27" t="s">
        <v>192</v>
      </c>
      <c r="F85" s="27" t="s">
        <v>192</v>
      </c>
      <c r="G85" s="27" t="s">
        <v>220</v>
      </c>
      <c r="H85" s="27" t="s">
        <v>220</v>
      </c>
      <c r="I85" s="37" t="str">
        <f t="shared" si="28"/>
        <v>X</v>
      </c>
      <c r="J85" s="27" t="s">
        <v>192</v>
      </c>
      <c r="K85" s="27" t="s">
        <v>192</v>
      </c>
      <c r="L85" s="27" t="s">
        <v>192</v>
      </c>
      <c r="M85" s="27" t="s">
        <v>192</v>
      </c>
      <c r="N85" s="37" t="str">
        <f t="shared" si="29"/>
        <v>X</v>
      </c>
      <c r="O85" s="27" t="s">
        <v>192</v>
      </c>
      <c r="P85" s="27" t="s">
        <v>192</v>
      </c>
      <c r="Q85" s="27" t="s">
        <v>192</v>
      </c>
      <c r="R85" s="27" t="s">
        <v>192</v>
      </c>
      <c r="S85" s="37" t="str">
        <f t="shared" si="30"/>
        <v>X</v>
      </c>
      <c r="T85" s="27" t="s">
        <v>192</v>
      </c>
      <c r="U85" s="27" t="s">
        <v>192</v>
      </c>
      <c r="V85" s="27" t="s">
        <v>192</v>
      </c>
      <c r="W85" s="27" t="s">
        <v>192</v>
      </c>
      <c r="X85" s="37" t="str">
        <f t="shared" si="31"/>
        <v>X</v>
      </c>
      <c r="Z85" t="b">
        <f t="shared" si="32"/>
        <v>1</v>
      </c>
      <c r="AA85" t="b">
        <f t="shared" si="33"/>
        <v>1</v>
      </c>
      <c r="AB85" t="b">
        <f t="shared" si="34"/>
        <v>1</v>
      </c>
      <c r="AC85" t="b">
        <f t="shared" si="35"/>
        <v>1</v>
      </c>
      <c r="AD85" t="b">
        <f t="shared" si="36"/>
        <v>1</v>
      </c>
      <c r="AE85" t="b">
        <f t="shared" si="37"/>
        <v>1</v>
      </c>
      <c r="AF85" t="b">
        <f t="shared" si="38"/>
        <v>1</v>
      </c>
      <c r="AG85" t="b">
        <f t="shared" si="39"/>
        <v>1</v>
      </c>
      <c r="AH85" t="b">
        <f t="shared" si="40"/>
        <v>1</v>
      </c>
      <c r="AI85" t="b">
        <f t="shared" si="41"/>
        <v>1</v>
      </c>
      <c r="AJ85" t="b">
        <f t="shared" si="42"/>
        <v>1</v>
      </c>
      <c r="AK85" t="b">
        <f t="shared" si="43"/>
        <v>1</v>
      </c>
      <c r="AM85" t="b">
        <f t="shared" si="44"/>
        <v>1</v>
      </c>
      <c r="AN85" t="b">
        <f t="shared" si="45"/>
        <v>1</v>
      </c>
      <c r="AO85" t="b">
        <f t="shared" si="46"/>
        <v>1</v>
      </c>
      <c r="AP85" t="b">
        <f t="shared" si="47"/>
        <v>1</v>
      </c>
      <c r="AQ85" t="b">
        <f t="shared" si="48"/>
        <v>1</v>
      </c>
      <c r="AR85" t="b">
        <f t="shared" si="49"/>
        <v>1</v>
      </c>
      <c r="AS85" t="b">
        <f t="shared" si="50"/>
        <v>1</v>
      </c>
      <c r="AT85" t="b">
        <f t="shared" si="51"/>
        <v>1</v>
      </c>
      <c r="AU85" t="b">
        <f t="shared" si="52"/>
        <v>1</v>
      </c>
      <c r="AV85" t="b">
        <f t="shared" si="53"/>
        <v>1</v>
      </c>
      <c r="AW85" t="b">
        <f t="shared" si="54"/>
        <v>1</v>
      </c>
      <c r="AX85" t="b">
        <f t="shared" si="55"/>
        <v>1</v>
      </c>
    </row>
    <row r="86" spans="1:50">
      <c r="A86" s="3" t="s">
        <v>290</v>
      </c>
      <c r="B86" s="6" t="s">
        <v>193</v>
      </c>
      <c r="C86" s="6"/>
      <c r="D86" s="34"/>
      <c r="E86" s="35" t="s">
        <v>192</v>
      </c>
      <c r="F86" s="35" t="s">
        <v>192</v>
      </c>
      <c r="G86" s="35" t="s">
        <v>192</v>
      </c>
      <c r="H86" s="35" t="s">
        <v>192</v>
      </c>
      <c r="I86" s="37" t="str">
        <f t="shared" si="28"/>
        <v>X</v>
      </c>
      <c r="J86" s="35"/>
      <c r="K86" s="35"/>
      <c r="L86" s="35"/>
      <c r="M86" s="35"/>
      <c r="N86" s="37" t="str">
        <f t="shared" si="29"/>
        <v/>
      </c>
      <c r="O86" s="35"/>
      <c r="P86" s="35"/>
      <c r="Q86" s="35"/>
      <c r="R86" s="35"/>
      <c r="S86" s="37" t="str">
        <f t="shared" si="30"/>
        <v/>
      </c>
      <c r="T86" s="35"/>
      <c r="U86" s="35"/>
      <c r="V86" s="35"/>
      <c r="W86" s="35"/>
      <c r="X86" s="37" t="str">
        <f t="shared" si="31"/>
        <v/>
      </c>
      <c r="Z86" t="b">
        <f t="shared" si="32"/>
        <v>0</v>
      </c>
      <c r="AA86" t="b">
        <f t="shared" si="33"/>
        <v>1</v>
      </c>
      <c r="AB86" t="b">
        <f t="shared" si="34"/>
        <v>0</v>
      </c>
      <c r="AC86" t="b">
        <f t="shared" si="35"/>
        <v>1</v>
      </c>
      <c r="AD86" t="b">
        <f t="shared" si="36"/>
        <v>0</v>
      </c>
      <c r="AE86" t="b">
        <f t="shared" si="37"/>
        <v>1</v>
      </c>
      <c r="AF86" t="b">
        <f t="shared" si="38"/>
        <v>0</v>
      </c>
      <c r="AG86" t="b">
        <f t="shared" si="39"/>
        <v>0</v>
      </c>
      <c r="AH86" t="b">
        <f t="shared" si="40"/>
        <v>0</v>
      </c>
      <c r="AI86" t="b">
        <f t="shared" si="41"/>
        <v>0</v>
      </c>
      <c r="AJ86" t="b">
        <f t="shared" si="42"/>
        <v>0</v>
      </c>
      <c r="AK86" t="b">
        <f t="shared" si="43"/>
        <v>0</v>
      </c>
      <c r="AM86" t="b">
        <f t="shared" si="44"/>
        <v>0</v>
      </c>
      <c r="AN86" t="b">
        <f t="shared" si="45"/>
        <v>1</v>
      </c>
      <c r="AO86" t="b">
        <f t="shared" si="46"/>
        <v>0</v>
      </c>
      <c r="AP86" t="b">
        <f t="shared" si="47"/>
        <v>1</v>
      </c>
      <c r="AQ86" t="b">
        <f t="shared" si="48"/>
        <v>0</v>
      </c>
      <c r="AR86" t="b">
        <f t="shared" si="49"/>
        <v>1</v>
      </c>
      <c r="AS86" t="b">
        <f t="shared" si="50"/>
        <v>0</v>
      </c>
      <c r="AT86" t="b">
        <f t="shared" si="51"/>
        <v>0</v>
      </c>
      <c r="AU86" t="b">
        <f t="shared" si="52"/>
        <v>0</v>
      </c>
      <c r="AV86" t="b">
        <f t="shared" si="53"/>
        <v>0</v>
      </c>
      <c r="AW86" t="b">
        <f t="shared" si="54"/>
        <v>0</v>
      </c>
      <c r="AX86" t="b">
        <f t="shared" si="55"/>
        <v>0</v>
      </c>
    </row>
    <row r="87" spans="1:50">
      <c r="A87" s="3" t="s">
        <v>392</v>
      </c>
      <c r="B87" s="6" t="s">
        <v>193</v>
      </c>
      <c r="C87" s="6"/>
      <c r="D87" s="34"/>
      <c r="E87" s="35"/>
      <c r="F87" s="35"/>
      <c r="G87" s="35"/>
      <c r="H87" s="35"/>
      <c r="I87" s="37" t="str">
        <f t="shared" si="28"/>
        <v/>
      </c>
      <c r="J87" s="35"/>
      <c r="K87" s="35"/>
      <c r="L87" s="35"/>
      <c r="M87" s="35"/>
      <c r="N87" s="37" t="str">
        <f t="shared" si="29"/>
        <v/>
      </c>
      <c r="O87" s="35" t="s">
        <v>192</v>
      </c>
      <c r="P87" s="35"/>
      <c r="Q87" s="35"/>
      <c r="R87" s="35"/>
      <c r="S87" s="37" t="str">
        <f t="shared" si="30"/>
        <v>X</v>
      </c>
      <c r="T87" s="35"/>
      <c r="U87" s="35"/>
      <c r="V87" s="35"/>
      <c r="W87" s="35"/>
      <c r="X87" s="37" t="str">
        <f t="shared" si="31"/>
        <v/>
      </c>
      <c r="Z87" t="b">
        <f t="shared" si="32"/>
        <v>0</v>
      </c>
      <c r="AA87" t="b">
        <f t="shared" si="33"/>
        <v>0</v>
      </c>
      <c r="AB87" t="b">
        <f t="shared" si="34"/>
        <v>0</v>
      </c>
      <c r="AC87" t="b">
        <f t="shared" si="35"/>
        <v>1</v>
      </c>
      <c r="AD87" t="b">
        <f t="shared" si="36"/>
        <v>0</v>
      </c>
      <c r="AE87" t="b">
        <f t="shared" si="37"/>
        <v>0</v>
      </c>
      <c r="AF87" t="b">
        <f t="shared" si="38"/>
        <v>0</v>
      </c>
      <c r="AG87" t="b">
        <f t="shared" si="39"/>
        <v>1</v>
      </c>
      <c r="AH87" t="b">
        <f t="shared" si="40"/>
        <v>0</v>
      </c>
      <c r="AI87" t="b">
        <f t="shared" si="41"/>
        <v>0</v>
      </c>
      <c r="AJ87" t="b">
        <f t="shared" si="42"/>
        <v>0</v>
      </c>
      <c r="AK87" t="b">
        <f t="shared" si="43"/>
        <v>1</v>
      </c>
      <c r="AM87" t="b">
        <f t="shared" si="44"/>
        <v>0</v>
      </c>
      <c r="AN87" t="b">
        <f t="shared" si="45"/>
        <v>0</v>
      </c>
      <c r="AO87" t="b">
        <f t="shared" si="46"/>
        <v>0</v>
      </c>
      <c r="AP87" t="b">
        <f t="shared" si="47"/>
        <v>1</v>
      </c>
      <c r="AQ87" t="b">
        <f t="shared" si="48"/>
        <v>0</v>
      </c>
      <c r="AR87" t="b">
        <f t="shared" si="49"/>
        <v>0</v>
      </c>
      <c r="AS87" t="b">
        <f t="shared" si="50"/>
        <v>0</v>
      </c>
      <c r="AT87" t="b">
        <f t="shared" si="51"/>
        <v>1</v>
      </c>
      <c r="AU87" t="b">
        <f t="shared" si="52"/>
        <v>0</v>
      </c>
      <c r="AV87" t="b">
        <f t="shared" si="53"/>
        <v>0</v>
      </c>
      <c r="AW87" t="b">
        <f t="shared" si="54"/>
        <v>0</v>
      </c>
      <c r="AX87" t="b">
        <f t="shared" si="55"/>
        <v>1</v>
      </c>
    </row>
    <row r="88" spans="1:50">
      <c r="A88" s="3" t="s">
        <v>232</v>
      </c>
      <c r="B88" s="6" t="s">
        <v>193</v>
      </c>
      <c r="C88" s="6"/>
      <c r="D88" s="34"/>
      <c r="E88" s="35"/>
      <c r="F88" s="35"/>
      <c r="G88" s="35"/>
      <c r="H88" s="35"/>
      <c r="I88" s="37" t="str">
        <f t="shared" si="28"/>
        <v/>
      </c>
      <c r="J88" s="35"/>
      <c r="K88" s="35"/>
      <c r="L88" s="35"/>
      <c r="M88" s="35"/>
      <c r="N88" s="37" t="str">
        <f t="shared" si="29"/>
        <v/>
      </c>
      <c r="O88" s="35"/>
      <c r="P88" s="35"/>
      <c r="Q88" s="35"/>
      <c r="R88" s="35"/>
      <c r="S88" s="37" t="str">
        <f t="shared" si="30"/>
        <v/>
      </c>
      <c r="T88" s="35" t="s">
        <v>192</v>
      </c>
      <c r="U88" s="35"/>
      <c r="V88" s="35" t="s">
        <v>192</v>
      </c>
      <c r="W88" s="35"/>
      <c r="X88" s="37" t="str">
        <f t="shared" si="31"/>
        <v>X</v>
      </c>
      <c r="Z88" t="b">
        <f t="shared" si="32"/>
        <v>0</v>
      </c>
      <c r="AA88" t="b">
        <f t="shared" si="33"/>
        <v>0</v>
      </c>
      <c r="AB88" t="b">
        <f t="shared" si="34"/>
        <v>0</v>
      </c>
      <c r="AC88" t="b">
        <f t="shared" si="35"/>
        <v>0</v>
      </c>
      <c r="AD88" t="b">
        <f t="shared" si="36"/>
        <v>0</v>
      </c>
      <c r="AE88" t="b">
        <f t="shared" si="37"/>
        <v>1</v>
      </c>
      <c r="AF88" t="b">
        <f t="shared" si="38"/>
        <v>0</v>
      </c>
      <c r="AG88" t="b">
        <f t="shared" si="39"/>
        <v>0</v>
      </c>
      <c r="AH88" t="b">
        <f t="shared" si="40"/>
        <v>0</v>
      </c>
      <c r="AI88" t="b">
        <f t="shared" si="41"/>
        <v>1</v>
      </c>
      <c r="AJ88" t="b">
        <f t="shared" si="42"/>
        <v>0</v>
      </c>
      <c r="AK88" t="b">
        <f t="shared" si="43"/>
        <v>1</v>
      </c>
      <c r="AM88" t="b">
        <f t="shared" si="44"/>
        <v>0</v>
      </c>
      <c r="AN88" t="b">
        <f t="shared" si="45"/>
        <v>0</v>
      </c>
      <c r="AO88" t="b">
        <f t="shared" si="46"/>
        <v>0</v>
      </c>
      <c r="AP88" t="b">
        <f t="shared" si="47"/>
        <v>0</v>
      </c>
      <c r="AQ88" t="b">
        <f t="shared" si="48"/>
        <v>0</v>
      </c>
      <c r="AR88" t="b">
        <f t="shared" si="49"/>
        <v>1</v>
      </c>
      <c r="AS88" t="b">
        <f t="shared" si="50"/>
        <v>0</v>
      </c>
      <c r="AT88" t="b">
        <f t="shared" si="51"/>
        <v>0</v>
      </c>
      <c r="AU88" t="b">
        <f t="shared" si="52"/>
        <v>0</v>
      </c>
      <c r="AV88" t="b">
        <f t="shared" si="53"/>
        <v>1</v>
      </c>
      <c r="AW88" t="b">
        <f t="shared" si="54"/>
        <v>0</v>
      </c>
      <c r="AX88" t="b">
        <f t="shared" si="55"/>
        <v>1</v>
      </c>
    </row>
    <row r="89" spans="1:50">
      <c r="A89" s="3" t="s">
        <v>291</v>
      </c>
      <c r="B89" s="6" t="s">
        <v>196</v>
      </c>
      <c r="C89" t="s">
        <v>110</v>
      </c>
      <c r="D89" s="34"/>
      <c r="E89" s="35"/>
      <c r="F89" s="35" t="s">
        <v>192</v>
      </c>
      <c r="G89" s="35"/>
      <c r="H89" s="35"/>
      <c r="I89" s="37" t="str">
        <f t="shared" si="28"/>
        <v>X</v>
      </c>
      <c r="J89" s="35"/>
      <c r="K89" s="35"/>
      <c r="L89" s="35"/>
      <c r="M89" s="35"/>
      <c r="N89" s="37" t="str">
        <f t="shared" si="29"/>
        <v/>
      </c>
      <c r="O89" s="35"/>
      <c r="P89" s="35"/>
      <c r="Q89" s="35"/>
      <c r="R89" s="35"/>
      <c r="S89" s="37" t="str">
        <f t="shared" si="30"/>
        <v/>
      </c>
      <c r="T89" s="35"/>
      <c r="U89" s="35"/>
      <c r="V89" s="35"/>
      <c r="W89" s="35"/>
      <c r="X89" s="37" t="str">
        <f t="shared" si="31"/>
        <v/>
      </c>
      <c r="Z89" t="b">
        <f t="shared" si="32"/>
        <v>0</v>
      </c>
      <c r="AA89" t="b">
        <f t="shared" si="33"/>
        <v>1</v>
      </c>
      <c r="AB89" t="b">
        <f t="shared" si="34"/>
        <v>0</v>
      </c>
      <c r="AC89" t="b">
        <f t="shared" si="35"/>
        <v>1</v>
      </c>
      <c r="AD89" t="b">
        <f t="shared" si="36"/>
        <v>0</v>
      </c>
      <c r="AE89" t="b">
        <f t="shared" si="37"/>
        <v>1</v>
      </c>
      <c r="AF89" t="b">
        <f t="shared" si="38"/>
        <v>0</v>
      </c>
      <c r="AG89" t="b">
        <f t="shared" si="39"/>
        <v>0</v>
      </c>
      <c r="AH89" t="b">
        <f t="shared" si="40"/>
        <v>0</v>
      </c>
      <c r="AI89" t="b">
        <f t="shared" si="41"/>
        <v>0</v>
      </c>
      <c r="AJ89" t="b">
        <f t="shared" si="42"/>
        <v>0</v>
      </c>
      <c r="AK89" t="b">
        <f t="shared" si="43"/>
        <v>0</v>
      </c>
      <c r="AM89" t="b">
        <f t="shared" si="44"/>
        <v>0</v>
      </c>
      <c r="AN89" t="b">
        <f t="shared" si="45"/>
        <v>0</v>
      </c>
      <c r="AO89" t="b">
        <f t="shared" si="46"/>
        <v>0</v>
      </c>
      <c r="AP89" t="b">
        <f t="shared" si="47"/>
        <v>0</v>
      </c>
      <c r="AQ89" t="b">
        <f t="shared" si="48"/>
        <v>0</v>
      </c>
      <c r="AR89" t="b">
        <f t="shared" si="49"/>
        <v>0</v>
      </c>
      <c r="AS89" t="b">
        <f t="shared" si="50"/>
        <v>0</v>
      </c>
      <c r="AT89" t="b">
        <f t="shared" si="51"/>
        <v>0</v>
      </c>
      <c r="AU89" t="b">
        <f t="shared" si="52"/>
        <v>0</v>
      </c>
      <c r="AV89" t="b">
        <f t="shared" si="53"/>
        <v>0</v>
      </c>
      <c r="AW89" t="b">
        <f t="shared" si="54"/>
        <v>0</v>
      </c>
      <c r="AX89" t="b">
        <f t="shared" si="55"/>
        <v>0</v>
      </c>
    </row>
    <row r="90" spans="1:50">
      <c r="A90" s="3" t="s">
        <v>434</v>
      </c>
      <c r="B90" s="6" t="s">
        <v>196</v>
      </c>
      <c r="C90" t="s">
        <v>110</v>
      </c>
      <c r="D90" s="34"/>
      <c r="E90" s="35"/>
      <c r="F90" s="35"/>
      <c r="G90" s="35"/>
      <c r="H90" s="35"/>
      <c r="I90" s="37" t="str">
        <f t="shared" si="28"/>
        <v/>
      </c>
      <c r="J90" s="35"/>
      <c r="K90" s="35"/>
      <c r="L90" s="35"/>
      <c r="M90" s="35"/>
      <c r="N90" s="37" t="str">
        <f t="shared" si="29"/>
        <v/>
      </c>
      <c r="O90" s="35"/>
      <c r="P90" s="35"/>
      <c r="Q90" s="35"/>
      <c r="R90" s="35"/>
      <c r="S90" s="37" t="str">
        <f t="shared" si="30"/>
        <v/>
      </c>
      <c r="T90" s="35" t="s">
        <v>192</v>
      </c>
      <c r="U90" s="35"/>
      <c r="V90" s="35"/>
      <c r="W90" s="35"/>
      <c r="X90" s="37" t="str">
        <f t="shared" si="31"/>
        <v>X</v>
      </c>
      <c r="Z90" t="b">
        <f t="shared" si="32"/>
        <v>0</v>
      </c>
      <c r="AA90" t="b">
        <f t="shared" si="33"/>
        <v>0</v>
      </c>
      <c r="AB90" t="b">
        <f t="shared" si="34"/>
        <v>0</v>
      </c>
      <c r="AC90" t="b">
        <f t="shared" si="35"/>
        <v>0</v>
      </c>
      <c r="AD90" t="b">
        <f t="shared" si="36"/>
        <v>0</v>
      </c>
      <c r="AE90" t="b">
        <f t="shared" si="37"/>
        <v>1</v>
      </c>
      <c r="AF90" t="b">
        <f t="shared" si="38"/>
        <v>0</v>
      </c>
      <c r="AG90" t="b">
        <f t="shared" si="39"/>
        <v>0</v>
      </c>
      <c r="AH90" t="b">
        <f t="shared" si="40"/>
        <v>0</v>
      </c>
      <c r="AI90" t="b">
        <f t="shared" si="41"/>
        <v>1</v>
      </c>
      <c r="AJ90" t="b">
        <f t="shared" si="42"/>
        <v>0</v>
      </c>
      <c r="AK90" t="b">
        <f t="shared" si="43"/>
        <v>1</v>
      </c>
      <c r="AM90" t="b">
        <f t="shared" si="44"/>
        <v>0</v>
      </c>
      <c r="AN90" t="b">
        <f t="shared" si="45"/>
        <v>0</v>
      </c>
      <c r="AO90" t="b">
        <f t="shared" si="46"/>
        <v>0</v>
      </c>
      <c r="AP90" t="b">
        <f t="shared" si="47"/>
        <v>0</v>
      </c>
      <c r="AQ90" t="b">
        <f t="shared" si="48"/>
        <v>0</v>
      </c>
      <c r="AR90" t="b">
        <f t="shared" si="49"/>
        <v>0</v>
      </c>
      <c r="AS90" t="b">
        <f t="shared" si="50"/>
        <v>0</v>
      </c>
      <c r="AT90" t="b">
        <f t="shared" si="51"/>
        <v>0</v>
      </c>
      <c r="AU90" t="b">
        <f t="shared" si="52"/>
        <v>0</v>
      </c>
      <c r="AV90" t="b">
        <f t="shared" si="53"/>
        <v>0</v>
      </c>
      <c r="AW90" t="b">
        <f t="shared" si="54"/>
        <v>0</v>
      </c>
      <c r="AX90" t="b">
        <f t="shared" si="55"/>
        <v>0</v>
      </c>
    </row>
    <row r="91" spans="1:50">
      <c r="A91" s="3" t="s">
        <v>484</v>
      </c>
      <c r="B91" s="6" t="s">
        <v>193</v>
      </c>
      <c r="C91" s="6"/>
      <c r="D91" s="34" t="s">
        <v>233</v>
      </c>
      <c r="E91" s="27" t="s">
        <v>192</v>
      </c>
      <c r="F91" s="27" t="s">
        <v>192</v>
      </c>
      <c r="G91" s="27" t="s">
        <v>192</v>
      </c>
      <c r="H91" s="27" t="s">
        <v>192</v>
      </c>
      <c r="I91" s="37" t="str">
        <f t="shared" si="28"/>
        <v>X</v>
      </c>
      <c r="J91" s="27" t="s">
        <v>220</v>
      </c>
      <c r="K91" s="27" t="s">
        <v>220</v>
      </c>
      <c r="L91" s="27" t="s">
        <v>220</v>
      </c>
      <c r="M91" s="27" t="s">
        <v>220</v>
      </c>
      <c r="N91" s="37" t="str">
        <f t="shared" si="29"/>
        <v>X</v>
      </c>
      <c r="O91" s="27" t="s">
        <v>220</v>
      </c>
      <c r="P91" s="27" t="s">
        <v>220</v>
      </c>
      <c r="Q91" s="27" t="s">
        <v>220</v>
      </c>
      <c r="R91" s="27" t="s">
        <v>220</v>
      </c>
      <c r="S91" s="37" t="str">
        <f t="shared" si="30"/>
        <v>X</v>
      </c>
      <c r="T91" s="27" t="s">
        <v>192</v>
      </c>
      <c r="U91" s="27" t="s">
        <v>192</v>
      </c>
      <c r="V91" s="27" t="s">
        <v>192</v>
      </c>
      <c r="W91" s="27" t="s">
        <v>192</v>
      </c>
      <c r="X91" s="37" t="str">
        <f t="shared" si="31"/>
        <v>X</v>
      </c>
      <c r="Z91" t="b">
        <f t="shared" si="32"/>
        <v>1</v>
      </c>
      <c r="AA91" t="b">
        <f t="shared" si="33"/>
        <v>1</v>
      </c>
      <c r="AB91" t="b">
        <f t="shared" si="34"/>
        <v>1</v>
      </c>
      <c r="AC91" t="b">
        <f t="shared" si="35"/>
        <v>1</v>
      </c>
      <c r="AD91" t="b">
        <f t="shared" si="36"/>
        <v>1</v>
      </c>
      <c r="AE91" t="b">
        <f t="shared" si="37"/>
        <v>1</v>
      </c>
      <c r="AF91" t="b">
        <f t="shared" si="38"/>
        <v>1</v>
      </c>
      <c r="AG91" t="b">
        <f t="shared" si="39"/>
        <v>1</v>
      </c>
      <c r="AH91" t="b">
        <f t="shared" si="40"/>
        <v>1</v>
      </c>
      <c r="AI91" t="b">
        <f t="shared" si="41"/>
        <v>1</v>
      </c>
      <c r="AJ91" t="b">
        <f t="shared" si="42"/>
        <v>1</v>
      </c>
      <c r="AK91" t="b">
        <f t="shared" si="43"/>
        <v>1</v>
      </c>
      <c r="AM91" t="b">
        <f t="shared" si="44"/>
        <v>1</v>
      </c>
      <c r="AN91" t="b">
        <f t="shared" si="45"/>
        <v>1</v>
      </c>
      <c r="AO91" t="b">
        <f t="shared" si="46"/>
        <v>1</v>
      </c>
      <c r="AP91" t="b">
        <f t="shared" si="47"/>
        <v>1</v>
      </c>
      <c r="AQ91" t="b">
        <f t="shared" si="48"/>
        <v>1</v>
      </c>
      <c r="AR91" t="b">
        <f t="shared" si="49"/>
        <v>1</v>
      </c>
      <c r="AS91" t="b">
        <f t="shared" si="50"/>
        <v>1</v>
      </c>
      <c r="AT91" t="b">
        <f t="shared" si="51"/>
        <v>1</v>
      </c>
      <c r="AU91" t="b">
        <f t="shared" si="52"/>
        <v>1</v>
      </c>
      <c r="AV91" t="b">
        <f t="shared" si="53"/>
        <v>1</v>
      </c>
      <c r="AW91" t="b">
        <f t="shared" si="54"/>
        <v>1</v>
      </c>
      <c r="AX91" t="b">
        <f t="shared" si="55"/>
        <v>1</v>
      </c>
    </row>
    <row r="92" spans="1:50">
      <c r="A92" s="3" t="s">
        <v>485</v>
      </c>
      <c r="B92" s="6" t="s">
        <v>193</v>
      </c>
      <c r="C92" s="6"/>
      <c r="D92" s="34" t="s">
        <v>234</v>
      </c>
      <c r="F92" s="27" t="s">
        <v>192</v>
      </c>
      <c r="G92" s="27" t="s">
        <v>192</v>
      </c>
      <c r="H92" s="27" t="s">
        <v>192</v>
      </c>
      <c r="I92" s="37" t="str">
        <f t="shared" si="28"/>
        <v>X</v>
      </c>
      <c r="N92" s="37" t="str">
        <f t="shared" si="29"/>
        <v/>
      </c>
      <c r="O92" s="27" t="s">
        <v>220</v>
      </c>
      <c r="R92" s="27" t="s">
        <v>220</v>
      </c>
      <c r="S92" s="37" t="str">
        <f t="shared" si="30"/>
        <v>X</v>
      </c>
      <c r="T92" s="27" t="s">
        <v>192</v>
      </c>
      <c r="U92" s="27" t="s">
        <v>192</v>
      </c>
      <c r="V92" s="27" t="s">
        <v>192</v>
      </c>
      <c r="W92" s="27" t="s">
        <v>192</v>
      </c>
      <c r="X92" s="37" t="str">
        <f t="shared" si="31"/>
        <v>X</v>
      </c>
      <c r="Z92" t="b">
        <f t="shared" si="32"/>
        <v>0</v>
      </c>
      <c r="AA92" t="b">
        <f t="shared" si="33"/>
        <v>1</v>
      </c>
      <c r="AB92" t="b">
        <f t="shared" si="34"/>
        <v>1</v>
      </c>
      <c r="AC92" t="b">
        <f t="shared" si="35"/>
        <v>1</v>
      </c>
      <c r="AD92" t="b">
        <f t="shared" si="36"/>
        <v>1</v>
      </c>
      <c r="AE92" t="b">
        <f t="shared" si="37"/>
        <v>1</v>
      </c>
      <c r="AF92" t="b">
        <f t="shared" si="38"/>
        <v>0</v>
      </c>
      <c r="AG92" t="b">
        <f t="shared" si="39"/>
        <v>1</v>
      </c>
      <c r="AH92" t="b">
        <f t="shared" si="40"/>
        <v>0</v>
      </c>
      <c r="AI92" t="b">
        <f t="shared" si="41"/>
        <v>1</v>
      </c>
      <c r="AJ92" t="b">
        <f t="shared" si="42"/>
        <v>1</v>
      </c>
      <c r="AK92" t="b">
        <f t="shared" si="43"/>
        <v>1</v>
      </c>
      <c r="AM92" t="b">
        <f t="shared" si="44"/>
        <v>0</v>
      </c>
      <c r="AN92" t="b">
        <f t="shared" si="45"/>
        <v>1</v>
      </c>
      <c r="AO92" t="b">
        <f t="shared" si="46"/>
        <v>1</v>
      </c>
      <c r="AP92" t="b">
        <f t="shared" si="47"/>
        <v>1</v>
      </c>
      <c r="AQ92" t="b">
        <f t="shared" si="48"/>
        <v>1</v>
      </c>
      <c r="AR92" t="b">
        <f t="shared" si="49"/>
        <v>1</v>
      </c>
      <c r="AS92" t="b">
        <f t="shared" si="50"/>
        <v>0</v>
      </c>
      <c r="AT92" t="b">
        <f t="shared" si="51"/>
        <v>1</v>
      </c>
      <c r="AU92" t="b">
        <f t="shared" si="52"/>
        <v>0</v>
      </c>
      <c r="AV92" t="b">
        <f t="shared" si="53"/>
        <v>1</v>
      </c>
      <c r="AW92" t="b">
        <f t="shared" si="54"/>
        <v>1</v>
      </c>
      <c r="AX92" t="b">
        <f t="shared" si="55"/>
        <v>1</v>
      </c>
    </row>
    <row r="93" spans="1:50">
      <c r="A93" s="3" t="s">
        <v>486</v>
      </c>
      <c r="B93" s="6" t="s">
        <v>193</v>
      </c>
      <c r="C93" s="6"/>
      <c r="D93" s="34" t="s">
        <v>235</v>
      </c>
      <c r="G93" s="27" t="s">
        <v>192</v>
      </c>
      <c r="H93" s="27" t="s">
        <v>192</v>
      </c>
      <c r="I93" s="37" t="str">
        <f t="shared" si="28"/>
        <v>X</v>
      </c>
      <c r="J93" s="27" t="s">
        <v>192</v>
      </c>
      <c r="K93" s="27" t="s">
        <v>192</v>
      </c>
      <c r="L93" s="27" t="s">
        <v>192</v>
      </c>
      <c r="M93" s="27" t="s">
        <v>192</v>
      </c>
      <c r="N93" s="37" t="str">
        <f t="shared" si="29"/>
        <v>X</v>
      </c>
      <c r="O93" s="35"/>
      <c r="P93" s="35"/>
      <c r="Q93" s="35"/>
      <c r="R93" s="35"/>
      <c r="S93" s="37" t="str">
        <f t="shared" si="30"/>
        <v/>
      </c>
      <c r="T93" s="27" t="s">
        <v>192</v>
      </c>
      <c r="V93" s="27" t="s">
        <v>192</v>
      </c>
      <c r="W93" s="27" t="s">
        <v>192</v>
      </c>
      <c r="X93" s="37" t="str">
        <f t="shared" si="31"/>
        <v>X</v>
      </c>
      <c r="Z93" t="b">
        <f t="shared" si="32"/>
        <v>1</v>
      </c>
      <c r="AA93" t="b">
        <f t="shared" si="33"/>
        <v>1</v>
      </c>
      <c r="AB93" t="b">
        <f t="shared" si="34"/>
        <v>0</v>
      </c>
      <c r="AC93" t="b">
        <f t="shared" si="35"/>
        <v>1</v>
      </c>
      <c r="AD93" t="b">
        <f t="shared" si="36"/>
        <v>1</v>
      </c>
      <c r="AE93" t="b">
        <f t="shared" si="37"/>
        <v>1</v>
      </c>
      <c r="AF93" t="b">
        <f t="shared" si="38"/>
        <v>0</v>
      </c>
      <c r="AG93" t="b">
        <f t="shared" si="39"/>
        <v>1</v>
      </c>
      <c r="AH93" t="b">
        <f t="shared" si="40"/>
        <v>1</v>
      </c>
      <c r="AI93" t="b">
        <f t="shared" si="41"/>
        <v>1</v>
      </c>
      <c r="AJ93" t="b">
        <f t="shared" si="42"/>
        <v>0</v>
      </c>
      <c r="AK93" t="b">
        <f t="shared" si="43"/>
        <v>1</v>
      </c>
      <c r="AM93" t="b">
        <f t="shared" si="44"/>
        <v>1</v>
      </c>
      <c r="AN93" t="b">
        <f t="shared" si="45"/>
        <v>1</v>
      </c>
      <c r="AO93" t="b">
        <f t="shared" si="46"/>
        <v>0</v>
      </c>
      <c r="AP93" t="b">
        <f t="shared" si="47"/>
        <v>1</v>
      </c>
      <c r="AQ93" t="b">
        <f t="shared" si="48"/>
        <v>1</v>
      </c>
      <c r="AR93" t="b">
        <f t="shared" si="49"/>
        <v>1</v>
      </c>
      <c r="AS93" t="b">
        <f t="shared" si="50"/>
        <v>0</v>
      </c>
      <c r="AT93" t="b">
        <f t="shared" si="51"/>
        <v>1</v>
      </c>
      <c r="AU93" t="b">
        <f t="shared" si="52"/>
        <v>1</v>
      </c>
      <c r="AV93" t="b">
        <f t="shared" si="53"/>
        <v>1</v>
      </c>
      <c r="AW93" t="b">
        <f t="shared" si="54"/>
        <v>0</v>
      </c>
      <c r="AX93" t="b">
        <f t="shared" si="55"/>
        <v>1</v>
      </c>
    </row>
    <row r="94" spans="1:50">
      <c r="A94" s="3" t="s">
        <v>292</v>
      </c>
      <c r="B94" s="6" t="s">
        <v>193</v>
      </c>
      <c r="C94" s="6"/>
      <c r="D94" s="34"/>
      <c r="E94" s="35" t="s">
        <v>192</v>
      </c>
      <c r="F94" s="35"/>
      <c r="G94" s="35"/>
      <c r="H94" s="35" t="s">
        <v>192</v>
      </c>
      <c r="I94" s="37" t="str">
        <f t="shared" si="28"/>
        <v>X</v>
      </c>
      <c r="J94" s="35"/>
      <c r="K94" s="35"/>
      <c r="L94" s="35"/>
      <c r="M94" s="35"/>
      <c r="N94" s="37" t="str">
        <f t="shared" si="29"/>
        <v/>
      </c>
      <c r="O94" s="35"/>
      <c r="P94" s="35"/>
      <c r="Q94" s="35"/>
      <c r="R94" s="35"/>
      <c r="S94" s="37" t="str">
        <f t="shared" si="30"/>
        <v/>
      </c>
      <c r="T94" s="35"/>
      <c r="U94" s="35"/>
      <c r="V94" s="35"/>
      <c r="W94" s="35"/>
      <c r="X94" s="37" t="str">
        <f t="shared" si="31"/>
        <v/>
      </c>
      <c r="Z94" t="b">
        <f t="shared" si="32"/>
        <v>0</v>
      </c>
      <c r="AA94" t="b">
        <f t="shared" si="33"/>
        <v>1</v>
      </c>
      <c r="AB94" t="b">
        <f t="shared" si="34"/>
        <v>0</v>
      </c>
      <c r="AC94" t="b">
        <f t="shared" si="35"/>
        <v>1</v>
      </c>
      <c r="AD94" t="b">
        <f t="shared" si="36"/>
        <v>0</v>
      </c>
      <c r="AE94" t="b">
        <f t="shared" si="37"/>
        <v>1</v>
      </c>
      <c r="AF94" t="b">
        <f t="shared" si="38"/>
        <v>0</v>
      </c>
      <c r="AG94" t="b">
        <f t="shared" si="39"/>
        <v>0</v>
      </c>
      <c r="AH94" t="b">
        <f t="shared" si="40"/>
        <v>0</v>
      </c>
      <c r="AI94" t="b">
        <f t="shared" si="41"/>
        <v>0</v>
      </c>
      <c r="AJ94" t="b">
        <f t="shared" si="42"/>
        <v>0</v>
      </c>
      <c r="AK94" t="b">
        <f t="shared" si="43"/>
        <v>0</v>
      </c>
      <c r="AM94" t="b">
        <f t="shared" si="44"/>
        <v>0</v>
      </c>
      <c r="AN94" t="b">
        <f t="shared" si="45"/>
        <v>1</v>
      </c>
      <c r="AO94" t="b">
        <f t="shared" si="46"/>
        <v>0</v>
      </c>
      <c r="AP94" t="b">
        <f t="shared" si="47"/>
        <v>1</v>
      </c>
      <c r="AQ94" t="b">
        <f t="shared" si="48"/>
        <v>0</v>
      </c>
      <c r="AR94" t="b">
        <f t="shared" si="49"/>
        <v>1</v>
      </c>
      <c r="AS94" t="b">
        <f t="shared" si="50"/>
        <v>0</v>
      </c>
      <c r="AT94" t="b">
        <f t="shared" si="51"/>
        <v>0</v>
      </c>
      <c r="AU94" t="b">
        <f t="shared" si="52"/>
        <v>0</v>
      </c>
      <c r="AV94" t="b">
        <f t="shared" si="53"/>
        <v>0</v>
      </c>
      <c r="AW94" t="b">
        <f t="shared" si="54"/>
        <v>0</v>
      </c>
      <c r="AX94" t="b">
        <f t="shared" si="55"/>
        <v>0</v>
      </c>
    </row>
    <row r="95" spans="1:50">
      <c r="A95" s="3" t="s">
        <v>236</v>
      </c>
      <c r="B95" s="6" t="s">
        <v>193</v>
      </c>
      <c r="C95" s="6"/>
      <c r="D95" s="34"/>
      <c r="E95" s="35" t="s">
        <v>192</v>
      </c>
      <c r="F95" s="35"/>
      <c r="G95" s="35"/>
      <c r="H95" s="35"/>
      <c r="I95" s="37" t="str">
        <f t="shared" si="28"/>
        <v>X</v>
      </c>
      <c r="J95" s="35"/>
      <c r="K95" s="35"/>
      <c r="L95" s="35"/>
      <c r="M95" s="35"/>
      <c r="N95" s="37" t="str">
        <f t="shared" si="29"/>
        <v/>
      </c>
      <c r="O95" s="35" t="s">
        <v>192</v>
      </c>
      <c r="P95" s="35" t="s">
        <v>192</v>
      </c>
      <c r="Q95" s="35"/>
      <c r="R95" s="35"/>
      <c r="S95" s="37" t="str">
        <f t="shared" si="30"/>
        <v>X</v>
      </c>
      <c r="T95" s="35"/>
      <c r="U95" s="35"/>
      <c r="V95" s="35"/>
      <c r="W95" s="35"/>
      <c r="X95" s="37" t="str">
        <f t="shared" si="31"/>
        <v/>
      </c>
      <c r="Z95" t="b">
        <f t="shared" si="32"/>
        <v>0</v>
      </c>
      <c r="AA95" t="b">
        <f t="shared" si="33"/>
        <v>1</v>
      </c>
      <c r="AB95" t="b">
        <f t="shared" si="34"/>
        <v>1</v>
      </c>
      <c r="AC95" t="b">
        <f t="shared" si="35"/>
        <v>1</v>
      </c>
      <c r="AD95" t="b">
        <f t="shared" si="36"/>
        <v>0</v>
      </c>
      <c r="AE95" t="b">
        <f t="shared" si="37"/>
        <v>1</v>
      </c>
      <c r="AF95" t="b">
        <f t="shared" si="38"/>
        <v>0</v>
      </c>
      <c r="AG95" t="b">
        <f t="shared" si="39"/>
        <v>1</v>
      </c>
      <c r="AH95" t="b">
        <f t="shared" si="40"/>
        <v>0</v>
      </c>
      <c r="AI95" t="b">
        <f t="shared" si="41"/>
        <v>0</v>
      </c>
      <c r="AJ95" t="b">
        <f t="shared" si="42"/>
        <v>0</v>
      </c>
      <c r="AK95" t="b">
        <f t="shared" si="43"/>
        <v>1</v>
      </c>
      <c r="AM95" t="b">
        <f t="shared" si="44"/>
        <v>0</v>
      </c>
      <c r="AN95" t="b">
        <f t="shared" si="45"/>
        <v>1</v>
      </c>
      <c r="AO95" t="b">
        <f t="shared" si="46"/>
        <v>1</v>
      </c>
      <c r="AP95" t="b">
        <f t="shared" si="47"/>
        <v>1</v>
      </c>
      <c r="AQ95" t="b">
        <f t="shared" si="48"/>
        <v>0</v>
      </c>
      <c r="AR95" t="b">
        <f t="shared" si="49"/>
        <v>1</v>
      </c>
      <c r="AS95" t="b">
        <f t="shared" si="50"/>
        <v>0</v>
      </c>
      <c r="AT95" t="b">
        <f t="shared" si="51"/>
        <v>1</v>
      </c>
      <c r="AU95" t="b">
        <f t="shared" si="52"/>
        <v>0</v>
      </c>
      <c r="AV95" t="b">
        <f t="shared" si="53"/>
        <v>0</v>
      </c>
      <c r="AW95" t="b">
        <f t="shared" si="54"/>
        <v>0</v>
      </c>
      <c r="AX95" t="b">
        <f t="shared" si="55"/>
        <v>1</v>
      </c>
    </row>
    <row r="96" spans="1:50">
      <c r="A96" s="3" t="s">
        <v>237</v>
      </c>
      <c r="B96" s="6" t="s">
        <v>193</v>
      </c>
      <c r="C96" s="6"/>
      <c r="D96" s="34"/>
      <c r="E96" s="35" t="s">
        <v>192</v>
      </c>
      <c r="F96" s="35"/>
      <c r="G96" s="35" t="s">
        <v>192</v>
      </c>
      <c r="H96" s="35" t="s">
        <v>192</v>
      </c>
      <c r="I96" s="37" t="str">
        <f t="shared" si="28"/>
        <v>X</v>
      </c>
      <c r="J96" s="35"/>
      <c r="K96" s="35"/>
      <c r="L96" s="35"/>
      <c r="M96" s="35"/>
      <c r="N96" s="37" t="str">
        <f t="shared" si="29"/>
        <v/>
      </c>
      <c r="O96" s="35"/>
      <c r="P96" s="35"/>
      <c r="Q96" s="35"/>
      <c r="R96" s="35"/>
      <c r="S96" s="37" t="str">
        <f t="shared" si="30"/>
        <v/>
      </c>
      <c r="T96" s="35"/>
      <c r="U96" s="35"/>
      <c r="V96" s="35"/>
      <c r="W96" s="35"/>
      <c r="X96" s="37" t="str">
        <f t="shared" si="31"/>
        <v/>
      </c>
      <c r="Z96" t="b">
        <f t="shared" si="32"/>
        <v>0</v>
      </c>
      <c r="AA96" t="b">
        <f t="shared" si="33"/>
        <v>1</v>
      </c>
      <c r="AB96" t="b">
        <f t="shared" si="34"/>
        <v>0</v>
      </c>
      <c r="AC96" t="b">
        <f t="shared" si="35"/>
        <v>1</v>
      </c>
      <c r="AD96" t="b">
        <f t="shared" si="36"/>
        <v>0</v>
      </c>
      <c r="AE96" t="b">
        <f t="shared" si="37"/>
        <v>1</v>
      </c>
      <c r="AF96" t="b">
        <f t="shared" si="38"/>
        <v>0</v>
      </c>
      <c r="AG96" t="b">
        <f t="shared" si="39"/>
        <v>0</v>
      </c>
      <c r="AH96" t="b">
        <f t="shared" si="40"/>
        <v>0</v>
      </c>
      <c r="AI96" t="b">
        <f t="shared" si="41"/>
        <v>0</v>
      </c>
      <c r="AJ96" t="b">
        <f t="shared" si="42"/>
        <v>0</v>
      </c>
      <c r="AK96" t="b">
        <f t="shared" si="43"/>
        <v>0</v>
      </c>
      <c r="AM96" t="b">
        <f t="shared" si="44"/>
        <v>0</v>
      </c>
      <c r="AN96" t="b">
        <f t="shared" si="45"/>
        <v>1</v>
      </c>
      <c r="AO96" t="b">
        <f t="shared" si="46"/>
        <v>0</v>
      </c>
      <c r="AP96" t="b">
        <f t="shared" si="47"/>
        <v>1</v>
      </c>
      <c r="AQ96" t="b">
        <f t="shared" si="48"/>
        <v>0</v>
      </c>
      <c r="AR96" t="b">
        <f t="shared" si="49"/>
        <v>1</v>
      </c>
      <c r="AS96" t="b">
        <f t="shared" si="50"/>
        <v>0</v>
      </c>
      <c r="AT96" t="b">
        <f t="shared" si="51"/>
        <v>0</v>
      </c>
      <c r="AU96" t="b">
        <f t="shared" si="52"/>
        <v>0</v>
      </c>
      <c r="AV96" t="b">
        <f t="shared" si="53"/>
        <v>0</v>
      </c>
      <c r="AW96" t="b">
        <f t="shared" si="54"/>
        <v>0</v>
      </c>
      <c r="AX96" t="b">
        <f t="shared" si="55"/>
        <v>0</v>
      </c>
    </row>
    <row r="97" spans="1:50">
      <c r="A97" s="3" t="s">
        <v>487</v>
      </c>
      <c r="B97" s="6" t="s">
        <v>193</v>
      </c>
      <c r="C97" s="6"/>
      <c r="D97" s="34"/>
      <c r="E97" s="35"/>
      <c r="F97" s="35"/>
      <c r="G97" s="35"/>
      <c r="H97" s="35"/>
      <c r="I97" s="37" t="str">
        <f t="shared" si="28"/>
        <v/>
      </c>
      <c r="J97" s="35"/>
      <c r="K97" s="35"/>
      <c r="L97" s="35"/>
      <c r="M97" s="35"/>
      <c r="N97" s="37" t="str">
        <f t="shared" si="29"/>
        <v/>
      </c>
      <c r="O97" s="35"/>
      <c r="P97" s="35"/>
      <c r="Q97" s="35"/>
      <c r="R97" s="35"/>
      <c r="S97" s="37" t="str">
        <f t="shared" si="30"/>
        <v/>
      </c>
      <c r="T97" s="35"/>
      <c r="U97" s="35"/>
      <c r="V97" s="35"/>
      <c r="W97" s="35"/>
      <c r="X97" s="37" t="str">
        <f t="shared" si="31"/>
        <v/>
      </c>
      <c r="Z97" t="b">
        <f t="shared" si="32"/>
        <v>0</v>
      </c>
      <c r="AA97" t="b">
        <f t="shared" si="33"/>
        <v>0</v>
      </c>
      <c r="AB97" t="b">
        <f t="shared" si="34"/>
        <v>0</v>
      </c>
      <c r="AC97" t="b">
        <f t="shared" si="35"/>
        <v>0</v>
      </c>
      <c r="AD97" t="b">
        <f t="shared" si="36"/>
        <v>0</v>
      </c>
      <c r="AE97" t="b">
        <f t="shared" si="37"/>
        <v>0</v>
      </c>
      <c r="AF97" t="b">
        <f t="shared" si="38"/>
        <v>0</v>
      </c>
      <c r="AG97" t="b">
        <f t="shared" si="39"/>
        <v>0</v>
      </c>
      <c r="AH97" t="b">
        <f t="shared" si="40"/>
        <v>0</v>
      </c>
      <c r="AI97" t="b">
        <f t="shared" si="41"/>
        <v>0</v>
      </c>
      <c r="AJ97" t="b">
        <f t="shared" si="42"/>
        <v>0</v>
      </c>
      <c r="AK97" t="b">
        <f t="shared" si="43"/>
        <v>0</v>
      </c>
      <c r="AM97" t="b">
        <f t="shared" si="44"/>
        <v>0</v>
      </c>
      <c r="AN97" t="b">
        <f t="shared" si="45"/>
        <v>0</v>
      </c>
      <c r="AO97" t="b">
        <f t="shared" si="46"/>
        <v>0</v>
      </c>
      <c r="AP97" t="b">
        <f t="shared" si="47"/>
        <v>0</v>
      </c>
      <c r="AQ97" t="b">
        <f t="shared" si="48"/>
        <v>0</v>
      </c>
      <c r="AR97" t="b">
        <f t="shared" si="49"/>
        <v>0</v>
      </c>
      <c r="AS97" t="b">
        <f t="shared" si="50"/>
        <v>0</v>
      </c>
      <c r="AT97" t="b">
        <f t="shared" si="51"/>
        <v>0</v>
      </c>
      <c r="AU97" t="b">
        <f t="shared" si="52"/>
        <v>0</v>
      </c>
      <c r="AV97" t="b">
        <f t="shared" si="53"/>
        <v>0</v>
      </c>
      <c r="AW97" t="b">
        <f t="shared" si="54"/>
        <v>0</v>
      </c>
      <c r="AX97" t="b">
        <f t="shared" si="55"/>
        <v>0</v>
      </c>
    </row>
    <row r="98" spans="1:50">
      <c r="A98" s="3" t="s">
        <v>488</v>
      </c>
      <c r="B98" s="6" t="s">
        <v>193</v>
      </c>
      <c r="C98" s="6"/>
      <c r="D98" s="34"/>
      <c r="E98" s="35"/>
      <c r="F98" s="35"/>
      <c r="G98" s="35"/>
      <c r="H98" s="35"/>
      <c r="I98" s="37" t="str">
        <f t="shared" si="28"/>
        <v/>
      </c>
      <c r="J98" s="35"/>
      <c r="K98" s="35"/>
      <c r="L98" s="35"/>
      <c r="M98" s="35"/>
      <c r="N98" s="37" t="str">
        <f t="shared" si="29"/>
        <v/>
      </c>
      <c r="O98" s="35"/>
      <c r="P98" s="35"/>
      <c r="Q98" s="35"/>
      <c r="R98" s="35"/>
      <c r="S98" s="37" t="str">
        <f t="shared" si="30"/>
        <v/>
      </c>
      <c r="T98" s="35"/>
      <c r="U98" s="35"/>
      <c r="V98" s="35"/>
      <c r="W98" s="35"/>
      <c r="X98" s="37" t="str">
        <f t="shared" si="31"/>
        <v/>
      </c>
      <c r="Z98" t="b">
        <f t="shared" si="32"/>
        <v>0</v>
      </c>
      <c r="AA98" t="b">
        <f t="shared" si="33"/>
        <v>0</v>
      </c>
      <c r="AB98" t="b">
        <f t="shared" si="34"/>
        <v>0</v>
      </c>
      <c r="AC98" t="b">
        <f t="shared" si="35"/>
        <v>0</v>
      </c>
      <c r="AD98" t="b">
        <f t="shared" si="36"/>
        <v>0</v>
      </c>
      <c r="AE98" t="b">
        <f t="shared" si="37"/>
        <v>0</v>
      </c>
      <c r="AF98" t="b">
        <f t="shared" si="38"/>
        <v>0</v>
      </c>
      <c r="AG98" t="b">
        <f t="shared" si="39"/>
        <v>0</v>
      </c>
      <c r="AH98" t="b">
        <f t="shared" si="40"/>
        <v>0</v>
      </c>
      <c r="AI98" t="b">
        <f t="shared" si="41"/>
        <v>0</v>
      </c>
      <c r="AJ98" t="b">
        <f t="shared" si="42"/>
        <v>0</v>
      </c>
      <c r="AK98" t="b">
        <f t="shared" si="43"/>
        <v>0</v>
      </c>
      <c r="AM98" t="b">
        <f t="shared" si="44"/>
        <v>0</v>
      </c>
      <c r="AN98" t="b">
        <f t="shared" si="45"/>
        <v>0</v>
      </c>
      <c r="AO98" t="b">
        <f t="shared" si="46"/>
        <v>0</v>
      </c>
      <c r="AP98" t="b">
        <f t="shared" si="47"/>
        <v>0</v>
      </c>
      <c r="AQ98" t="b">
        <f t="shared" si="48"/>
        <v>0</v>
      </c>
      <c r="AR98" t="b">
        <f t="shared" si="49"/>
        <v>0</v>
      </c>
      <c r="AS98" t="b">
        <f t="shared" si="50"/>
        <v>0</v>
      </c>
      <c r="AT98" t="b">
        <f t="shared" si="51"/>
        <v>0</v>
      </c>
      <c r="AU98" t="b">
        <f t="shared" si="52"/>
        <v>0</v>
      </c>
      <c r="AV98" t="b">
        <f t="shared" si="53"/>
        <v>0</v>
      </c>
      <c r="AW98" t="b">
        <f t="shared" si="54"/>
        <v>0</v>
      </c>
      <c r="AX98" t="b">
        <f t="shared" si="55"/>
        <v>0</v>
      </c>
    </row>
    <row r="99" spans="1:50">
      <c r="A99" s="3" t="s">
        <v>238</v>
      </c>
      <c r="B99" s="6" t="s">
        <v>193</v>
      </c>
      <c r="C99" s="6"/>
      <c r="D99" s="34"/>
      <c r="E99" s="35"/>
      <c r="F99" s="35"/>
      <c r="G99" s="35" t="s">
        <v>192</v>
      </c>
      <c r="H99" s="35"/>
      <c r="I99" s="37" t="str">
        <f t="shared" si="28"/>
        <v>X</v>
      </c>
      <c r="J99" s="35"/>
      <c r="K99" s="35"/>
      <c r="L99" s="35"/>
      <c r="M99" s="35"/>
      <c r="N99" s="37" t="str">
        <f t="shared" si="29"/>
        <v/>
      </c>
      <c r="O99" s="35"/>
      <c r="P99" s="35"/>
      <c r="Q99" s="35"/>
      <c r="R99" s="35"/>
      <c r="S99" s="37" t="str">
        <f t="shared" si="30"/>
        <v/>
      </c>
      <c r="T99" s="35"/>
      <c r="U99" s="35"/>
      <c r="V99" s="35"/>
      <c r="W99" s="35"/>
      <c r="X99" s="37" t="str">
        <f t="shared" si="31"/>
        <v/>
      </c>
      <c r="Z99" t="b">
        <f t="shared" si="32"/>
        <v>0</v>
      </c>
      <c r="AA99" t="b">
        <f t="shared" si="33"/>
        <v>1</v>
      </c>
      <c r="AB99" t="b">
        <f t="shared" si="34"/>
        <v>0</v>
      </c>
      <c r="AC99" t="b">
        <f t="shared" si="35"/>
        <v>1</v>
      </c>
      <c r="AD99" t="b">
        <f t="shared" si="36"/>
        <v>0</v>
      </c>
      <c r="AE99" t="b">
        <f t="shared" si="37"/>
        <v>1</v>
      </c>
      <c r="AF99" t="b">
        <f t="shared" si="38"/>
        <v>0</v>
      </c>
      <c r="AG99" t="b">
        <f t="shared" si="39"/>
        <v>0</v>
      </c>
      <c r="AH99" t="b">
        <f t="shared" si="40"/>
        <v>0</v>
      </c>
      <c r="AI99" t="b">
        <f t="shared" si="41"/>
        <v>0</v>
      </c>
      <c r="AJ99" t="b">
        <f t="shared" si="42"/>
        <v>0</v>
      </c>
      <c r="AK99" t="b">
        <f t="shared" si="43"/>
        <v>0</v>
      </c>
      <c r="AM99" t="b">
        <f t="shared" si="44"/>
        <v>0</v>
      </c>
      <c r="AN99" t="b">
        <f t="shared" si="45"/>
        <v>1</v>
      </c>
      <c r="AO99" t="b">
        <f t="shared" si="46"/>
        <v>0</v>
      </c>
      <c r="AP99" t="b">
        <f t="shared" si="47"/>
        <v>1</v>
      </c>
      <c r="AQ99" t="b">
        <f t="shared" si="48"/>
        <v>0</v>
      </c>
      <c r="AR99" t="b">
        <f t="shared" si="49"/>
        <v>1</v>
      </c>
      <c r="AS99" t="b">
        <f t="shared" si="50"/>
        <v>0</v>
      </c>
      <c r="AT99" t="b">
        <f t="shared" si="51"/>
        <v>0</v>
      </c>
      <c r="AU99" t="b">
        <f t="shared" si="52"/>
        <v>0</v>
      </c>
      <c r="AV99" t="b">
        <f t="shared" si="53"/>
        <v>0</v>
      </c>
      <c r="AW99" t="b">
        <f t="shared" si="54"/>
        <v>0</v>
      </c>
      <c r="AX99" t="b">
        <f t="shared" si="55"/>
        <v>0</v>
      </c>
    </row>
    <row r="100" spans="1:50">
      <c r="A100" s="3" t="s">
        <v>239</v>
      </c>
      <c r="B100" s="6" t="s">
        <v>193</v>
      </c>
      <c r="C100" s="6"/>
      <c r="D100" s="34"/>
      <c r="E100" s="35"/>
      <c r="F100" s="35"/>
      <c r="G100" s="35"/>
      <c r="H100" s="35"/>
      <c r="I100" s="37" t="str">
        <f t="shared" si="28"/>
        <v/>
      </c>
      <c r="J100" s="35"/>
      <c r="K100" s="35"/>
      <c r="L100" s="35"/>
      <c r="M100" s="35"/>
      <c r="N100" s="37" t="str">
        <f t="shared" si="29"/>
        <v/>
      </c>
      <c r="O100" s="35"/>
      <c r="P100" s="35"/>
      <c r="Q100" s="35"/>
      <c r="R100" s="35"/>
      <c r="S100" s="37" t="str">
        <f t="shared" si="30"/>
        <v/>
      </c>
      <c r="T100" s="35"/>
      <c r="U100" s="35"/>
      <c r="V100" s="35"/>
      <c r="W100" s="35"/>
      <c r="X100" s="37" t="str">
        <f t="shared" si="31"/>
        <v/>
      </c>
      <c r="Z100" t="b">
        <f t="shared" si="32"/>
        <v>0</v>
      </c>
      <c r="AA100" t="b">
        <f t="shared" si="33"/>
        <v>0</v>
      </c>
      <c r="AB100" t="b">
        <f t="shared" si="34"/>
        <v>0</v>
      </c>
      <c r="AC100" t="b">
        <f t="shared" si="35"/>
        <v>0</v>
      </c>
      <c r="AD100" t="b">
        <f t="shared" si="36"/>
        <v>0</v>
      </c>
      <c r="AE100" t="b">
        <f t="shared" si="37"/>
        <v>0</v>
      </c>
      <c r="AF100" t="b">
        <f t="shared" si="38"/>
        <v>0</v>
      </c>
      <c r="AG100" t="b">
        <f t="shared" si="39"/>
        <v>0</v>
      </c>
      <c r="AH100" t="b">
        <f t="shared" si="40"/>
        <v>0</v>
      </c>
      <c r="AI100" t="b">
        <f t="shared" si="41"/>
        <v>0</v>
      </c>
      <c r="AJ100" t="b">
        <f t="shared" si="42"/>
        <v>0</v>
      </c>
      <c r="AK100" t="b">
        <f t="shared" si="43"/>
        <v>0</v>
      </c>
      <c r="AM100" t="b">
        <f t="shared" si="44"/>
        <v>0</v>
      </c>
      <c r="AN100" t="b">
        <f t="shared" si="45"/>
        <v>0</v>
      </c>
      <c r="AO100" t="b">
        <f t="shared" si="46"/>
        <v>0</v>
      </c>
      <c r="AP100" t="b">
        <f t="shared" si="47"/>
        <v>0</v>
      </c>
      <c r="AQ100" t="b">
        <f t="shared" si="48"/>
        <v>0</v>
      </c>
      <c r="AR100" t="b">
        <f t="shared" si="49"/>
        <v>0</v>
      </c>
      <c r="AS100" t="b">
        <f t="shared" si="50"/>
        <v>0</v>
      </c>
      <c r="AT100" t="b">
        <f t="shared" si="51"/>
        <v>0</v>
      </c>
      <c r="AU100" t="b">
        <f t="shared" si="52"/>
        <v>0</v>
      </c>
      <c r="AV100" t="b">
        <f t="shared" si="53"/>
        <v>0</v>
      </c>
      <c r="AW100" t="b">
        <f t="shared" si="54"/>
        <v>0</v>
      </c>
      <c r="AX100" t="b">
        <f t="shared" si="55"/>
        <v>0</v>
      </c>
    </row>
    <row r="101" spans="1:50">
      <c r="A101" s="3" t="s">
        <v>489</v>
      </c>
      <c r="B101" s="6" t="s">
        <v>193</v>
      </c>
      <c r="C101" s="6"/>
      <c r="D101" s="34"/>
      <c r="E101" s="35"/>
      <c r="F101" s="35"/>
      <c r="G101" s="35"/>
      <c r="H101" s="35"/>
      <c r="I101" s="37" t="str">
        <f t="shared" si="28"/>
        <v/>
      </c>
      <c r="J101" s="35"/>
      <c r="K101" s="35"/>
      <c r="L101" s="35"/>
      <c r="M101" s="35"/>
      <c r="N101" s="37" t="str">
        <f t="shared" si="29"/>
        <v/>
      </c>
      <c r="O101" s="35"/>
      <c r="P101" s="35"/>
      <c r="Q101" s="35"/>
      <c r="R101" s="35"/>
      <c r="S101" s="37" t="str">
        <f t="shared" si="30"/>
        <v/>
      </c>
      <c r="T101" s="35"/>
      <c r="U101" s="35"/>
      <c r="V101" s="35"/>
      <c r="W101" s="35"/>
      <c r="X101" s="37" t="str">
        <f t="shared" si="31"/>
        <v/>
      </c>
      <c r="Z101" t="b">
        <f t="shared" si="32"/>
        <v>0</v>
      </c>
      <c r="AA101" t="b">
        <f t="shared" si="33"/>
        <v>0</v>
      </c>
      <c r="AB101" t="b">
        <f t="shared" si="34"/>
        <v>0</v>
      </c>
      <c r="AC101" t="b">
        <f t="shared" si="35"/>
        <v>0</v>
      </c>
      <c r="AD101" t="b">
        <f t="shared" si="36"/>
        <v>0</v>
      </c>
      <c r="AE101" t="b">
        <f t="shared" si="37"/>
        <v>0</v>
      </c>
      <c r="AF101" t="b">
        <f t="shared" si="38"/>
        <v>0</v>
      </c>
      <c r="AG101" t="b">
        <f t="shared" si="39"/>
        <v>0</v>
      </c>
      <c r="AH101" t="b">
        <f t="shared" si="40"/>
        <v>0</v>
      </c>
      <c r="AI101" t="b">
        <f t="shared" si="41"/>
        <v>0</v>
      </c>
      <c r="AJ101" t="b">
        <f t="shared" si="42"/>
        <v>0</v>
      </c>
      <c r="AK101" t="b">
        <f t="shared" si="43"/>
        <v>0</v>
      </c>
      <c r="AM101" t="b">
        <f t="shared" si="44"/>
        <v>0</v>
      </c>
      <c r="AN101" t="b">
        <f t="shared" si="45"/>
        <v>0</v>
      </c>
      <c r="AO101" t="b">
        <f t="shared" si="46"/>
        <v>0</v>
      </c>
      <c r="AP101" t="b">
        <f t="shared" si="47"/>
        <v>0</v>
      </c>
      <c r="AQ101" t="b">
        <f t="shared" si="48"/>
        <v>0</v>
      </c>
      <c r="AR101" t="b">
        <f t="shared" si="49"/>
        <v>0</v>
      </c>
      <c r="AS101" t="b">
        <f t="shared" si="50"/>
        <v>0</v>
      </c>
      <c r="AT101" t="b">
        <f t="shared" si="51"/>
        <v>0</v>
      </c>
      <c r="AU101" t="b">
        <f t="shared" si="52"/>
        <v>0</v>
      </c>
      <c r="AV101" t="b">
        <f t="shared" si="53"/>
        <v>0</v>
      </c>
      <c r="AW101" t="b">
        <f t="shared" si="54"/>
        <v>0</v>
      </c>
      <c r="AX101" t="b">
        <f t="shared" si="55"/>
        <v>0</v>
      </c>
    </row>
    <row r="102" spans="1:50">
      <c r="A102" s="3" t="s">
        <v>293</v>
      </c>
      <c r="B102" s="6" t="s">
        <v>196</v>
      </c>
      <c r="C102" t="s">
        <v>110</v>
      </c>
      <c r="D102" s="34"/>
      <c r="E102" s="35"/>
      <c r="F102" s="35" t="s">
        <v>192</v>
      </c>
      <c r="G102" s="35"/>
      <c r="H102" s="35"/>
      <c r="I102" s="37" t="str">
        <f t="shared" si="28"/>
        <v>X</v>
      </c>
      <c r="J102" s="35"/>
      <c r="K102" s="35"/>
      <c r="L102" s="35"/>
      <c r="M102" s="35"/>
      <c r="N102" s="37" t="str">
        <f t="shared" si="29"/>
        <v/>
      </c>
      <c r="O102" s="35"/>
      <c r="P102" s="35"/>
      <c r="Q102" s="35"/>
      <c r="R102" s="35"/>
      <c r="S102" s="37" t="str">
        <f t="shared" si="30"/>
        <v/>
      </c>
      <c r="T102" s="35"/>
      <c r="U102" s="35"/>
      <c r="V102" s="35"/>
      <c r="W102" s="35"/>
      <c r="X102" s="37" t="str">
        <f t="shared" si="31"/>
        <v/>
      </c>
      <c r="Z102" t="b">
        <f t="shared" si="32"/>
        <v>0</v>
      </c>
      <c r="AA102" t="b">
        <f t="shared" si="33"/>
        <v>1</v>
      </c>
      <c r="AB102" t="b">
        <f t="shared" si="34"/>
        <v>0</v>
      </c>
      <c r="AC102" t="b">
        <f t="shared" si="35"/>
        <v>1</v>
      </c>
      <c r="AD102" t="b">
        <f t="shared" si="36"/>
        <v>0</v>
      </c>
      <c r="AE102" t="b">
        <f t="shared" si="37"/>
        <v>1</v>
      </c>
      <c r="AF102" t="b">
        <f t="shared" si="38"/>
        <v>0</v>
      </c>
      <c r="AG102" t="b">
        <f t="shared" si="39"/>
        <v>0</v>
      </c>
      <c r="AH102" t="b">
        <f t="shared" si="40"/>
        <v>0</v>
      </c>
      <c r="AI102" t="b">
        <f t="shared" si="41"/>
        <v>0</v>
      </c>
      <c r="AJ102" t="b">
        <f t="shared" si="42"/>
        <v>0</v>
      </c>
      <c r="AK102" t="b">
        <f t="shared" si="43"/>
        <v>0</v>
      </c>
      <c r="AM102" t="b">
        <f t="shared" si="44"/>
        <v>0</v>
      </c>
      <c r="AN102" t="b">
        <f t="shared" si="45"/>
        <v>0</v>
      </c>
      <c r="AO102" t="b">
        <f t="shared" si="46"/>
        <v>0</v>
      </c>
      <c r="AP102" t="b">
        <f t="shared" si="47"/>
        <v>0</v>
      </c>
      <c r="AQ102" t="b">
        <f t="shared" si="48"/>
        <v>0</v>
      </c>
      <c r="AR102" t="b">
        <f t="shared" si="49"/>
        <v>0</v>
      </c>
      <c r="AS102" t="b">
        <f t="shared" si="50"/>
        <v>0</v>
      </c>
      <c r="AT102" t="b">
        <f t="shared" si="51"/>
        <v>0</v>
      </c>
      <c r="AU102" t="b">
        <f t="shared" si="52"/>
        <v>0</v>
      </c>
      <c r="AV102" t="b">
        <f t="shared" si="53"/>
        <v>0</v>
      </c>
      <c r="AW102" t="b">
        <f t="shared" si="54"/>
        <v>0</v>
      </c>
      <c r="AX102" t="b">
        <f t="shared" si="55"/>
        <v>0</v>
      </c>
    </row>
    <row r="103" spans="1:50">
      <c r="A103" s="3" t="s">
        <v>294</v>
      </c>
      <c r="B103" s="6" t="s">
        <v>196</v>
      </c>
      <c r="C103" t="s">
        <v>111</v>
      </c>
      <c r="D103" s="34"/>
      <c r="E103" s="35"/>
      <c r="F103" s="35"/>
      <c r="G103" s="35" t="s">
        <v>192</v>
      </c>
      <c r="H103" s="35"/>
      <c r="I103" s="37" t="str">
        <f t="shared" si="28"/>
        <v>X</v>
      </c>
      <c r="J103" s="35"/>
      <c r="K103" s="35"/>
      <c r="L103" s="35"/>
      <c r="M103" s="35"/>
      <c r="N103" s="37" t="str">
        <f t="shared" si="29"/>
        <v/>
      </c>
      <c r="O103" s="35"/>
      <c r="P103" s="35"/>
      <c r="Q103" s="35"/>
      <c r="R103" s="35"/>
      <c r="S103" s="37" t="str">
        <f t="shared" si="30"/>
        <v/>
      </c>
      <c r="T103" s="35"/>
      <c r="U103" s="35"/>
      <c r="V103" s="35"/>
      <c r="W103" s="35"/>
      <c r="X103" s="37" t="str">
        <f t="shared" si="31"/>
        <v/>
      </c>
      <c r="Z103" t="b">
        <f t="shared" si="32"/>
        <v>0</v>
      </c>
      <c r="AA103" t="b">
        <f t="shared" si="33"/>
        <v>1</v>
      </c>
      <c r="AB103" t="b">
        <f t="shared" si="34"/>
        <v>0</v>
      </c>
      <c r="AC103" t="b">
        <f t="shared" si="35"/>
        <v>1</v>
      </c>
      <c r="AD103" t="b">
        <f t="shared" si="36"/>
        <v>0</v>
      </c>
      <c r="AE103" t="b">
        <f t="shared" si="37"/>
        <v>1</v>
      </c>
      <c r="AF103" t="b">
        <f t="shared" si="38"/>
        <v>0</v>
      </c>
      <c r="AG103" t="b">
        <f t="shared" si="39"/>
        <v>0</v>
      </c>
      <c r="AH103" t="b">
        <f t="shared" si="40"/>
        <v>0</v>
      </c>
      <c r="AI103" t="b">
        <f t="shared" si="41"/>
        <v>0</v>
      </c>
      <c r="AJ103" t="b">
        <f t="shared" si="42"/>
        <v>0</v>
      </c>
      <c r="AK103" t="b">
        <f t="shared" si="43"/>
        <v>0</v>
      </c>
      <c r="AM103" t="b">
        <f t="shared" si="44"/>
        <v>0</v>
      </c>
      <c r="AN103" t="b">
        <f t="shared" si="45"/>
        <v>0</v>
      </c>
      <c r="AO103" t="b">
        <f t="shared" si="46"/>
        <v>0</v>
      </c>
      <c r="AP103" t="b">
        <f t="shared" si="47"/>
        <v>0</v>
      </c>
      <c r="AQ103" t="b">
        <f t="shared" si="48"/>
        <v>0</v>
      </c>
      <c r="AR103" t="b">
        <f t="shared" si="49"/>
        <v>0</v>
      </c>
      <c r="AS103" t="b">
        <f t="shared" si="50"/>
        <v>0</v>
      </c>
      <c r="AT103" t="b">
        <f t="shared" si="51"/>
        <v>0</v>
      </c>
      <c r="AU103" t="b">
        <f t="shared" si="52"/>
        <v>0</v>
      </c>
      <c r="AV103" t="b">
        <f t="shared" si="53"/>
        <v>0</v>
      </c>
      <c r="AW103" t="b">
        <f t="shared" si="54"/>
        <v>0</v>
      </c>
      <c r="AX103" t="b">
        <f t="shared" si="55"/>
        <v>0</v>
      </c>
    </row>
    <row r="104" spans="1:50">
      <c r="A104" s="3" t="s">
        <v>490</v>
      </c>
      <c r="B104" s="6" t="s">
        <v>196</v>
      </c>
      <c r="C104" t="s">
        <v>111</v>
      </c>
      <c r="D104" s="34"/>
      <c r="E104" s="35"/>
      <c r="F104" s="35"/>
      <c r="G104" s="35" t="s">
        <v>192</v>
      </c>
      <c r="H104" s="35"/>
      <c r="I104" s="37" t="str">
        <f t="shared" si="28"/>
        <v>X</v>
      </c>
      <c r="J104" s="35"/>
      <c r="K104" s="35"/>
      <c r="L104" s="35"/>
      <c r="M104" s="35"/>
      <c r="N104" s="37" t="str">
        <f t="shared" si="29"/>
        <v/>
      </c>
      <c r="O104" s="35"/>
      <c r="P104" s="35" t="s">
        <v>192</v>
      </c>
      <c r="Q104" s="35"/>
      <c r="R104" s="35"/>
      <c r="S104" s="37" t="str">
        <f t="shared" si="30"/>
        <v>X</v>
      </c>
      <c r="T104" s="35"/>
      <c r="U104" s="35"/>
      <c r="V104" s="35"/>
      <c r="W104" s="35"/>
      <c r="X104" s="37" t="str">
        <f t="shared" si="31"/>
        <v/>
      </c>
      <c r="Z104" t="b">
        <f t="shared" si="32"/>
        <v>0</v>
      </c>
      <c r="AA104" t="b">
        <f t="shared" si="33"/>
        <v>1</v>
      </c>
      <c r="AB104" t="b">
        <f t="shared" si="34"/>
        <v>1</v>
      </c>
      <c r="AC104" t="b">
        <f t="shared" si="35"/>
        <v>1</v>
      </c>
      <c r="AD104" t="b">
        <f t="shared" si="36"/>
        <v>0</v>
      </c>
      <c r="AE104" t="b">
        <f t="shared" si="37"/>
        <v>1</v>
      </c>
      <c r="AF104" t="b">
        <f t="shared" si="38"/>
        <v>0</v>
      </c>
      <c r="AG104" t="b">
        <f t="shared" si="39"/>
        <v>1</v>
      </c>
      <c r="AH104" t="b">
        <f t="shared" si="40"/>
        <v>0</v>
      </c>
      <c r="AI104" t="b">
        <f t="shared" si="41"/>
        <v>0</v>
      </c>
      <c r="AJ104" t="b">
        <f t="shared" si="42"/>
        <v>0</v>
      </c>
      <c r="AK104" t="b">
        <f t="shared" si="43"/>
        <v>1</v>
      </c>
      <c r="AM104" t="b">
        <f t="shared" si="44"/>
        <v>0</v>
      </c>
      <c r="AN104" t="b">
        <f t="shared" si="45"/>
        <v>0</v>
      </c>
      <c r="AO104" t="b">
        <f t="shared" si="46"/>
        <v>0</v>
      </c>
      <c r="AP104" t="b">
        <f t="shared" si="47"/>
        <v>0</v>
      </c>
      <c r="AQ104" t="b">
        <f t="shared" si="48"/>
        <v>0</v>
      </c>
      <c r="AR104" t="b">
        <f t="shared" si="49"/>
        <v>0</v>
      </c>
      <c r="AS104" t="b">
        <f t="shared" si="50"/>
        <v>0</v>
      </c>
      <c r="AT104" t="b">
        <f t="shared" si="51"/>
        <v>0</v>
      </c>
      <c r="AU104" t="b">
        <f t="shared" si="52"/>
        <v>0</v>
      </c>
      <c r="AV104" t="b">
        <f t="shared" si="53"/>
        <v>0</v>
      </c>
      <c r="AW104" t="b">
        <f t="shared" si="54"/>
        <v>0</v>
      </c>
      <c r="AX104" t="b">
        <f t="shared" si="55"/>
        <v>0</v>
      </c>
    </row>
    <row r="105" spans="1:50">
      <c r="A105" s="3" t="s">
        <v>491</v>
      </c>
      <c r="B105" s="6" t="s">
        <v>196</v>
      </c>
      <c r="C105" t="s">
        <v>110</v>
      </c>
      <c r="D105" s="34"/>
      <c r="E105" s="35"/>
      <c r="F105" s="35"/>
      <c r="G105" s="35" t="s">
        <v>192</v>
      </c>
      <c r="H105" s="35"/>
      <c r="I105" s="37" t="str">
        <f t="shared" si="28"/>
        <v>X</v>
      </c>
      <c r="J105" s="35"/>
      <c r="K105" s="35"/>
      <c r="L105" s="35" t="s">
        <v>192</v>
      </c>
      <c r="M105" s="35"/>
      <c r="N105" s="37" t="str">
        <f t="shared" si="29"/>
        <v>X</v>
      </c>
      <c r="O105" s="35"/>
      <c r="P105" s="35"/>
      <c r="Q105" s="35"/>
      <c r="R105" s="35"/>
      <c r="S105" s="37" t="str">
        <f t="shared" si="30"/>
        <v/>
      </c>
      <c r="T105" s="35"/>
      <c r="U105" s="35"/>
      <c r="V105" s="35"/>
      <c r="W105" s="35"/>
      <c r="X105" s="37" t="str">
        <f t="shared" si="31"/>
        <v/>
      </c>
      <c r="Z105" t="b">
        <f t="shared" si="32"/>
        <v>1</v>
      </c>
      <c r="AA105" t="b">
        <f t="shared" si="33"/>
        <v>1</v>
      </c>
      <c r="AB105" t="b">
        <f t="shared" si="34"/>
        <v>0</v>
      </c>
      <c r="AC105" t="b">
        <f t="shared" si="35"/>
        <v>1</v>
      </c>
      <c r="AD105" t="b">
        <f t="shared" si="36"/>
        <v>0</v>
      </c>
      <c r="AE105" t="b">
        <f t="shared" si="37"/>
        <v>1</v>
      </c>
      <c r="AF105" t="b">
        <f t="shared" si="38"/>
        <v>0</v>
      </c>
      <c r="AG105" t="b">
        <f t="shared" si="39"/>
        <v>1</v>
      </c>
      <c r="AH105" t="b">
        <f t="shared" si="40"/>
        <v>0</v>
      </c>
      <c r="AI105" t="b">
        <f t="shared" si="41"/>
        <v>1</v>
      </c>
      <c r="AJ105" t="b">
        <f t="shared" si="42"/>
        <v>0</v>
      </c>
      <c r="AK105" t="b">
        <f t="shared" si="43"/>
        <v>0</v>
      </c>
      <c r="AM105" t="b">
        <f t="shared" si="44"/>
        <v>0</v>
      </c>
      <c r="AN105" t="b">
        <f t="shared" si="45"/>
        <v>0</v>
      </c>
      <c r="AO105" t="b">
        <f t="shared" si="46"/>
        <v>0</v>
      </c>
      <c r="AP105" t="b">
        <f t="shared" si="47"/>
        <v>0</v>
      </c>
      <c r="AQ105" t="b">
        <f t="shared" si="48"/>
        <v>0</v>
      </c>
      <c r="AR105" t="b">
        <f t="shared" si="49"/>
        <v>0</v>
      </c>
      <c r="AS105" t="b">
        <f t="shared" si="50"/>
        <v>0</v>
      </c>
      <c r="AT105" t="b">
        <f t="shared" si="51"/>
        <v>0</v>
      </c>
      <c r="AU105" t="b">
        <f t="shared" si="52"/>
        <v>0</v>
      </c>
      <c r="AV105" t="b">
        <f t="shared" si="53"/>
        <v>0</v>
      </c>
      <c r="AW105" t="b">
        <f t="shared" si="54"/>
        <v>0</v>
      </c>
      <c r="AX105" t="b">
        <f t="shared" si="55"/>
        <v>0</v>
      </c>
    </row>
    <row r="106" spans="1:50">
      <c r="A106" s="3" t="s">
        <v>393</v>
      </c>
      <c r="B106" s="6" t="s">
        <v>196</v>
      </c>
      <c r="C106" t="s">
        <v>114</v>
      </c>
      <c r="D106" s="34"/>
      <c r="E106" s="35"/>
      <c r="F106" s="35"/>
      <c r="G106" s="35"/>
      <c r="H106" s="35"/>
      <c r="I106" s="37" t="str">
        <f t="shared" si="28"/>
        <v/>
      </c>
      <c r="J106" s="35"/>
      <c r="K106" s="35"/>
      <c r="L106" s="35"/>
      <c r="M106" s="35"/>
      <c r="N106" s="37" t="str">
        <f t="shared" si="29"/>
        <v/>
      </c>
      <c r="O106" s="35"/>
      <c r="P106" s="35" t="s">
        <v>192</v>
      </c>
      <c r="Q106" s="35"/>
      <c r="R106" s="35"/>
      <c r="S106" s="37" t="str">
        <f t="shared" si="30"/>
        <v>X</v>
      </c>
      <c r="T106" s="35"/>
      <c r="U106" s="35"/>
      <c r="V106" s="35"/>
      <c r="W106" s="35"/>
      <c r="X106" s="37" t="str">
        <f t="shared" si="31"/>
        <v/>
      </c>
      <c r="Z106" t="b">
        <f t="shared" si="32"/>
        <v>0</v>
      </c>
      <c r="AA106" t="b">
        <f t="shared" si="33"/>
        <v>0</v>
      </c>
      <c r="AB106" t="b">
        <f t="shared" si="34"/>
        <v>0</v>
      </c>
      <c r="AC106" t="b">
        <f t="shared" si="35"/>
        <v>1</v>
      </c>
      <c r="AD106" t="b">
        <f t="shared" si="36"/>
        <v>0</v>
      </c>
      <c r="AE106" t="b">
        <f t="shared" si="37"/>
        <v>0</v>
      </c>
      <c r="AF106" t="b">
        <f t="shared" si="38"/>
        <v>0</v>
      </c>
      <c r="AG106" t="b">
        <f t="shared" si="39"/>
        <v>1</v>
      </c>
      <c r="AH106" t="b">
        <f t="shared" si="40"/>
        <v>0</v>
      </c>
      <c r="AI106" t="b">
        <f t="shared" si="41"/>
        <v>0</v>
      </c>
      <c r="AJ106" t="b">
        <f t="shared" si="42"/>
        <v>0</v>
      </c>
      <c r="AK106" t="b">
        <f t="shared" si="43"/>
        <v>1</v>
      </c>
      <c r="AM106" t="b">
        <f t="shared" si="44"/>
        <v>0</v>
      </c>
      <c r="AN106" t="b">
        <f t="shared" si="45"/>
        <v>0</v>
      </c>
      <c r="AO106" t="b">
        <f t="shared" si="46"/>
        <v>0</v>
      </c>
      <c r="AP106" t="b">
        <f t="shared" si="47"/>
        <v>0</v>
      </c>
      <c r="AQ106" t="b">
        <f t="shared" si="48"/>
        <v>0</v>
      </c>
      <c r="AR106" t="b">
        <f t="shared" si="49"/>
        <v>0</v>
      </c>
      <c r="AS106" t="b">
        <f t="shared" si="50"/>
        <v>0</v>
      </c>
      <c r="AT106" t="b">
        <f t="shared" si="51"/>
        <v>0</v>
      </c>
      <c r="AU106" t="b">
        <f t="shared" si="52"/>
        <v>0</v>
      </c>
      <c r="AV106" t="b">
        <f t="shared" si="53"/>
        <v>0</v>
      </c>
      <c r="AW106" t="b">
        <f t="shared" si="54"/>
        <v>0</v>
      </c>
      <c r="AX106" t="b">
        <f t="shared" si="55"/>
        <v>0</v>
      </c>
    </row>
    <row r="107" spans="1:50">
      <c r="A107" s="3" t="s">
        <v>395</v>
      </c>
      <c r="B107" s="6" t="s">
        <v>196</v>
      </c>
      <c r="C107" t="s">
        <v>111</v>
      </c>
      <c r="D107" s="34"/>
      <c r="E107" s="35"/>
      <c r="F107" s="35"/>
      <c r="G107" s="35"/>
      <c r="H107" s="35"/>
      <c r="I107" s="37" t="str">
        <f t="shared" si="28"/>
        <v/>
      </c>
      <c r="J107" s="35"/>
      <c r="K107" s="35"/>
      <c r="L107" s="35"/>
      <c r="M107" s="35"/>
      <c r="N107" s="37" t="str">
        <f t="shared" si="29"/>
        <v/>
      </c>
      <c r="O107" s="35"/>
      <c r="P107" s="35" t="s">
        <v>192</v>
      </c>
      <c r="Q107" s="35"/>
      <c r="R107" s="35"/>
      <c r="S107" s="37" t="str">
        <f t="shared" si="30"/>
        <v>X</v>
      </c>
      <c r="T107" s="35"/>
      <c r="U107" s="35"/>
      <c r="V107" s="35"/>
      <c r="W107" s="35"/>
      <c r="X107" s="37" t="str">
        <f t="shared" si="31"/>
        <v/>
      </c>
      <c r="Z107" t="b">
        <f t="shared" si="32"/>
        <v>0</v>
      </c>
      <c r="AA107" t="b">
        <f t="shared" si="33"/>
        <v>0</v>
      </c>
      <c r="AB107" t="b">
        <f t="shared" si="34"/>
        <v>0</v>
      </c>
      <c r="AC107" t="b">
        <f t="shared" si="35"/>
        <v>1</v>
      </c>
      <c r="AD107" t="b">
        <f t="shared" si="36"/>
        <v>0</v>
      </c>
      <c r="AE107" t="b">
        <f t="shared" si="37"/>
        <v>0</v>
      </c>
      <c r="AF107" t="b">
        <f t="shared" si="38"/>
        <v>0</v>
      </c>
      <c r="AG107" t="b">
        <f t="shared" si="39"/>
        <v>1</v>
      </c>
      <c r="AH107" t="b">
        <f t="shared" si="40"/>
        <v>0</v>
      </c>
      <c r="AI107" t="b">
        <f t="shared" si="41"/>
        <v>0</v>
      </c>
      <c r="AJ107" t="b">
        <f t="shared" si="42"/>
        <v>0</v>
      </c>
      <c r="AK107" t="b">
        <f t="shared" si="43"/>
        <v>1</v>
      </c>
      <c r="AM107" t="b">
        <f t="shared" si="44"/>
        <v>0</v>
      </c>
      <c r="AN107" t="b">
        <f t="shared" si="45"/>
        <v>0</v>
      </c>
      <c r="AO107" t="b">
        <f t="shared" si="46"/>
        <v>0</v>
      </c>
      <c r="AP107" t="b">
        <f t="shared" si="47"/>
        <v>0</v>
      </c>
      <c r="AQ107" t="b">
        <f t="shared" si="48"/>
        <v>0</v>
      </c>
      <c r="AR107" t="b">
        <f t="shared" si="49"/>
        <v>0</v>
      </c>
      <c r="AS107" t="b">
        <f t="shared" si="50"/>
        <v>0</v>
      </c>
      <c r="AT107" t="b">
        <f t="shared" si="51"/>
        <v>0</v>
      </c>
      <c r="AU107" t="b">
        <f t="shared" si="52"/>
        <v>0</v>
      </c>
      <c r="AV107" t="b">
        <f t="shared" si="53"/>
        <v>0</v>
      </c>
      <c r="AW107" t="b">
        <f t="shared" si="54"/>
        <v>0</v>
      </c>
      <c r="AX107" t="b">
        <f t="shared" si="55"/>
        <v>0</v>
      </c>
    </row>
    <row r="108" spans="1:50">
      <c r="A108" s="3" t="s">
        <v>396</v>
      </c>
      <c r="B108" s="6" t="s">
        <v>196</v>
      </c>
      <c r="C108" t="s">
        <v>111</v>
      </c>
      <c r="D108" s="34"/>
      <c r="E108" s="35"/>
      <c r="F108" s="35"/>
      <c r="G108" s="35"/>
      <c r="H108" s="35"/>
      <c r="I108" s="37" t="str">
        <f t="shared" si="28"/>
        <v/>
      </c>
      <c r="J108" s="35"/>
      <c r="K108" s="35"/>
      <c r="L108" s="35"/>
      <c r="M108" s="35"/>
      <c r="N108" s="37" t="str">
        <f t="shared" si="29"/>
        <v/>
      </c>
      <c r="O108" s="35"/>
      <c r="P108" s="35"/>
      <c r="Q108" s="35"/>
      <c r="R108" s="35" t="s">
        <v>192</v>
      </c>
      <c r="S108" s="37" t="str">
        <f t="shared" si="30"/>
        <v>X</v>
      </c>
      <c r="T108" s="35"/>
      <c r="U108" s="35"/>
      <c r="V108" s="35"/>
      <c r="W108" s="35"/>
      <c r="X108" s="37" t="str">
        <f t="shared" si="31"/>
        <v/>
      </c>
      <c r="Z108" t="b">
        <f t="shared" si="32"/>
        <v>0</v>
      </c>
      <c r="AA108" t="b">
        <f t="shared" si="33"/>
        <v>0</v>
      </c>
      <c r="AB108" t="b">
        <f t="shared" si="34"/>
        <v>0</v>
      </c>
      <c r="AC108" t="b">
        <f t="shared" si="35"/>
        <v>1</v>
      </c>
      <c r="AD108" t="b">
        <f t="shared" si="36"/>
        <v>0</v>
      </c>
      <c r="AE108" t="b">
        <f t="shared" si="37"/>
        <v>0</v>
      </c>
      <c r="AF108" t="b">
        <f t="shared" si="38"/>
        <v>0</v>
      </c>
      <c r="AG108" t="b">
        <f t="shared" si="39"/>
        <v>1</v>
      </c>
      <c r="AH108" t="b">
        <f t="shared" si="40"/>
        <v>0</v>
      </c>
      <c r="AI108" t="b">
        <f t="shared" si="41"/>
        <v>0</v>
      </c>
      <c r="AJ108" t="b">
        <f t="shared" si="42"/>
        <v>0</v>
      </c>
      <c r="AK108" t="b">
        <f t="shared" si="43"/>
        <v>1</v>
      </c>
      <c r="AM108" t="b">
        <f t="shared" si="44"/>
        <v>0</v>
      </c>
      <c r="AN108" t="b">
        <f t="shared" si="45"/>
        <v>0</v>
      </c>
      <c r="AO108" t="b">
        <f t="shared" si="46"/>
        <v>0</v>
      </c>
      <c r="AP108" t="b">
        <f t="shared" si="47"/>
        <v>0</v>
      </c>
      <c r="AQ108" t="b">
        <f t="shared" si="48"/>
        <v>0</v>
      </c>
      <c r="AR108" t="b">
        <f t="shared" si="49"/>
        <v>0</v>
      </c>
      <c r="AS108" t="b">
        <f t="shared" si="50"/>
        <v>0</v>
      </c>
      <c r="AT108" t="b">
        <f t="shared" si="51"/>
        <v>0</v>
      </c>
      <c r="AU108" t="b">
        <f t="shared" si="52"/>
        <v>0</v>
      </c>
      <c r="AV108" t="b">
        <f t="shared" si="53"/>
        <v>0</v>
      </c>
      <c r="AW108" t="b">
        <f t="shared" si="54"/>
        <v>0</v>
      </c>
      <c r="AX108" t="b">
        <f t="shared" si="55"/>
        <v>0</v>
      </c>
    </row>
    <row r="109" spans="1:50">
      <c r="A109" s="3" t="s">
        <v>397</v>
      </c>
      <c r="B109" s="6" t="s">
        <v>196</v>
      </c>
      <c r="C109" t="s">
        <v>111</v>
      </c>
      <c r="D109" s="34"/>
      <c r="E109" s="35"/>
      <c r="F109" s="35"/>
      <c r="G109" s="35"/>
      <c r="H109" s="35"/>
      <c r="I109" s="37" t="str">
        <f t="shared" si="28"/>
        <v/>
      </c>
      <c r="J109" s="35"/>
      <c r="K109" s="35"/>
      <c r="L109" s="35"/>
      <c r="M109" s="35"/>
      <c r="N109" s="37" t="str">
        <f t="shared" si="29"/>
        <v/>
      </c>
      <c r="O109" s="35"/>
      <c r="P109" s="35"/>
      <c r="Q109" s="35"/>
      <c r="R109" s="35" t="s">
        <v>192</v>
      </c>
      <c r="S109" s="37" t="str">
        <f t="shared" si="30"/>
        <v>X</v>
      </c>
      <c r="T109" s="35"/>
      <c r="U109" s="35"/>
      <c r="V109" s="35"/>
      <c r="W109" s="35"/>
      <c r="X109" s="37" t="str">
        <f t="shared" si="31"/>
        <v/>
      </c>
      <c r="Z109" t="b">
        <f t="shared" si="32"/>
        <v>0</v>
      </c>
      <c r="AA109" t="b">
        <f t="shared" si="33"/>
        <v>0</v>
      </c>
      <c r="AB109" t="b">
        <f t="shared" si="34"/>
        <v>0</v>
      </c>
      <c r="AC109" t="b">
        <f t="shared" si="35"/>
        <v>1</v>
      </c>
      <c r="AD109" t="b">
        <f t="shared" si="36"/>
        <v>0</v>
      </c>
      <c r="AE109" t="b">
        <f t="shared" si="37"/>
        <v>0</v>
      </c>
      <c r="AF109" t="b">
        <f t="shared" si="38"/>
        <v>0</v>
      </c>
      <c r="AG109" t="b">
        <f t="shared" si="39"/>
        <v>1</v>
      </c>
      <c r="AH109" t="b">
        <f t="shared" si="40"/>
        <v>0</v>
      </c>
      <c r="AI109" t="b">
        <f t="shared" si="41"/>
        <v>0</v>
      </c>
      <c r="AJ109" t="b">
        <f t="shared" si="42"/>
        <v>0</v>
      </c>
      <c r="AK109" t="b">
        <f t="shared" si="43"/>
        <v>1</v>
      </c>
      <c r="AM109" t="b">
        <f t="shared" si="44"/>
        <v>0</v>
      </c>
      <c r="AN109" t="b">
        <f t="shared" si="45"/>
        <v>0</v>
      </c>
      <c r="AO109" t="b">
        <f t="shared" si="46"/>
        <v>0</v>
      </c>
      <c r="AP109" t="b">
        <f t="shared" si="47"/>
        <v>0</v>
      </c>
      <c r="AQ109" t="b">
        <f t="shared" si="48"/>
        <v>0</v>
      </c>
      <c r="AR109" t="b">
        <f t="shared" si="49"/>
        <v>0</v>
      </c>
      <c r="AS109" t="b">
        <f t="shared" si="50"/>
        <v>0</v>
      </c>
      <c r="AT109" t="b">
        <f t="shared" si="51"/>
        <v>0</v>
      </c>
      <c r="AU109" t="b">
        <f t="shared" si="52"/>
        <v>0</v>
      </c>
      <c r="AV109" t="b">
        <f t="shared" si="53"/>
        <v>0</v>
      </c>
      <c r="AW109" t="b">
        <f t="shared" si="54"/>
        <v>0</v>
      </c>
      <c r="AX109" t="b">
        <f t="shared" si="55"/>
        <v>0</v>
      </c>
    </row>
    <row r="110" spans="1:50">
      <c r="A110" s="3" t="s">
        <v>347</v>
      </c>
      <c r="B110" s="6" t="s">
        <v>196</v>
      </c>
      <c r="C110" t="s">
        <v>111</v>
      </c>
      <c r="D110" s="34"/>
      <c r="E110" s="35"/>
      <c r="F110" s="35"/>
      <c r="G110" s="35"/>
      <c r="H110" s="35"/>
      <c r="I110" s="37" t="str">
        <f t="shared" si="28"/>
        <v/>
      </c>
      <c r="J110" s="35"/>
      <c r="K110" s="35"/>
      <c r="L110" s="35" t="s">
        <v>192</v>
      </c>
      <c r="M110" s="35"/>
      <c r="N110" s="37" t="str">
        <f t="shared" si="29"/>
        <v>X</v>
      </c>
      <c r="O110" s="35"/>
      <c r="P110" s="35"/>
      <c r="Q110" s="35"/>
      <c r="R110" s="35"/>
      <c r="S110" s="37" t="str">
        <f t="shared" si="30"/>
        <v/>
      </c>
      <c r="T110" s="35"/>
      <c r="U110" s="35"/>
      <c r="V110" s="35"/>
      <c r="W110" s="35"/>
      <c r="X110" s="37" t="str">
        <f t="shared" si="31"/>
        <v/>
      </c>
      <c r="Z110" t="b">
        <f t="shared" si="32"/>
        <v>0</v>
      </c>
      <c r="AA110" t="b">
        <f t="shared" si="33"/>
        <v>1</v>
      </c>
      <c r="AB110" t="b">
        <f t="shared" si="34"/>
        <v>0</v>
      </c>
      <c r="AC110" t="b">
        <f t="shared" si="35"/>
        <v>0</v>
      </c>
      <c r="AD110" t="b">
        <f t="shared" si="36"/>
        <v>0</v>
      </c>
      <c r="AE110" t="b">
        <f t="shared" si="37"/>
        <v>0</v>
      </c>
      <c r="AF110" t="b">
        <f t="shared" si="38"/>
        <v>0</v>
      </c>
      <c r="AG110" t="b">
        <f t="shared" si="39"/>
        <v>1</v>
      </c>
      <c r="AH110" t="b">
        <f t="shared" si="40"/>
        <v>0</v>
      </c>
      <c r="AI110" t="b">
        <f t="shared" si="41"/>
        <v>1</v>
      </c>
      <c r="AJ110" t="b">
        <f t="shared" si="42"/>
        <v>0</v>
      </c>
      <c r="AK110" t="b">
        <f t="shared" si="43"/>
        <v>0</v>
      </c>
      <c r="AM110" t="b">
        <f t="shared" si="44"/>
        <v>0</v>
      </c>
      <c r="AN110" t="b">
        <f t="shared" si="45"/>
        <v>0</v>
      </c>
      <c r="AO110" t="b">
        <f t="shared" si="46"/>
        <v>0</v>
      </c>
      <c r="AP110" t="b">
        <f t="shared" si="47"/>
        <v>0</v>
      </c>
      <c r="AQ110" t="b">
        <f t="shared" si="48"/>
        <v>0</v>
      </c>
      <c r="AR110" t="b">
        <f t="shared" si="49"/>
        <v>0</v>
      </c>
      <c r="AS110" t="b">
        <f t="shared" si="50"/>
        <v>0</v>
      </c>
      <c r="AT110" t="b">
        <f t="shared" si="51"/>
        <v>0</v>
      </c>
      <c r="AU110" t="b">
        <f t="shared" si="52"/>
        <v>0</v>
      </c>
      <c r="AV110" t="b">
        <f t="shared" si="53"/>
        <v>0</v>
      </c>
      <c r="AW110" t="b">
        <f t="shared" si="54"/>
        <v>0</v>
      </c>
      <c r="AX110" t="b">
        <f t="shared" si="55"/>
        <v>0</v>
      </c>
    </row>
    <row r="111" spans="1:50">
      <c r="A111" s="3" t="s">
        <v>492</v>
      </c>
      <c r="B111" s="6" t="s">
        <v>193</v>
      </c>
      <c r="C111" s="6"/>
      <c r="D111" s="34" t="s">
        <v>240</v>
      </c>
      <c r="E111" s="27" t="s">
        <v>192</v>
      </c>
      <c r="F111" s="27" t="s">
        <v>192</v>
      </c>
      <c r="G111" s="27" t="s">
        <v>192</v>
      </c>
      <c r="H111" s="27" t="s">
        <v>192</v>
      </c>
      <c r="I111" s="37" t="str">
        <f t="shared" si="28"/>
        <v>X</v>
      </c>
      <c r="J111" s="27" t="s">
        <v>192</v>
      </c>
      <c r="K111" s="27" t="s">
        <v>192</v>
      </c>
      <c r="L111" s="27" t="s">
        <v>192</v>
      </c>
      <c r="M111" s="27" t="s">
        <v>192</v>
      </c>
      <c r="N111" s="37" t="str">
        <f t="shared" si="29"/>
        <v>X</v>
      </c>
      <c r="O111" s="27" t="s">
        <v>192</v>
      </c>
      <c r="P111" s="27" t="s">
        <v>192</v>
      </c>
      <c r="Q111" s="27" t="s">
        <v>192</v>
      </c>
      <c r="R111" s="27" t="s">
        <v>192</v>
      </c>
      <c r="S111" s="37" t="str">
        <f t="shared" si="30"/>
        <v>X</v>
      </c>
      <c r="T111" s="27" t="s">
        <v>192</v>
      </c>
      <c r="U111" s="27" t="s">
        <v>192</v>
      </c>
      <c r="V111" s="27" t="s">
        <v>192</v>
      </c>
      <c r="W111" s="27" t="s">
        <v>192</v>
      </c>
      <c r="X111" s="37" t="str">
        <f t="shared" si="31"/>
        <v>X</v>
      </c>
      <c r="Z111" t="b">
        <f t="shared" si="32"/>
        <v>1</v>
      </c>
      <c r="AA111" t="b">
        <f t="shared" si="33"/>
        <v>1</v>
      </c>
      <c r="AB111" t="b">
        <f t="shared" si="34"/>
        <v>1</v>
      </c>
      <c r="AC111" t="b">
        <f t="shared" si="35"/>
        <v>1</v>
      </c>
      <c r="AD111" t="b">
        <f t="shared" si="36"/>
        <v>1</v>
      </c>
      <c r="AE111" t="b">
        <f t="shared" si="37"/>
        <v>1</v>
      </c>
      <c r="AF111" t="b">
        <f t="shared" si="38"/>
        <v>1</v>
      </c>
      <c r="AG111" t="b">
        <f t="shared" si="39"/>
        <v>1</v>
      </c>
      <c r="AH111" t="b">
        <f t="shared" si="40"/>
        <v>1</v>
      </c>
      <c r="AI111" t="b">
        <f t="shared" si="41"/>
        <v>1</v>
      </c>
      <c r="AJ111" t="b">
        <f t="shared" si="42"/>
        <v>1</v>
      </c>
      <c r="AK111" t="b">
        <f t="shared" si="43"/>
        <v>1</v>
      </c>
      <c r="AM111" t="b">
        <f t="shared" si="44"/>
        <v>1</v>
      </c>
      <c r="AN111" t="b">
        <f t="shared" si="45"/>
        <v>1</v>
      </c>
      <c r="AO111" t="b">
        <f t="shared" si="46"/>
        <v>1</v>
      </c>
      <c r="AP111" t="b">
        <f t="shared" si="47"/>
        <v>1</v>
      </c>
      <c r="AQ111" t="b">
        <f t="shared" si="48"/>
        <v>1</v>
      </c>
      <c r="AR111" t="b">
        <f t="shared" si="49"/>
        <v>1</v>
      </c>
      <c r="AS111" t="b">
        <f t="shared" si="50"/>
        <v>1</v>
      </c>
      <c r="AT111" t="b">
        <f t="shared" si="51"/>
        <v>1</v>
      </c>
      <c r="AU111" t="b">
        <f t="shared" si="52"/>
        <v>1</v>
      </c>
      <c r="AV111" t="b">
        <f t="shared" si="53"/>
        <v>1</v>
      </c>
      <c r="AW111" t="b">
        <f t="shared" si="54"/>
        <v>1</v>
      </c>
      <c r="AX111" t="b">
        <f t="shared" si="55"/>
        <v>1</v>
      </c>
    </row>
    <row r="112" spans="1:50">
      <c r="A112" s="3" t="s">
        <v>241</v>
      </c>
      <c r="B112" s="6" t="s">
        <v>193</v>
      </c>
      <c r="C112" s="6"/>
      <c r="D112" s="34"/>
      <c r="E112" s="35" t="s">
        <v>192</v>
      </c>
      <c r="F112" s="35" t="s">
        <v>192</v>
      </c>
      <c r="G112" s="35" t="s">
        <v>192</v>
      </c>
      <c r="H112" s="35" t="s">
        <v>192</v>
      </c>
      <c r="I112" s="37" t="str">
        <f t="shared" si="28"/>
        <v>X</v>
      </c>
      <c r="J112" s="35"/>
      <c r="K112" s="35"/>
      <c r="L112" s="35"/>
      <c r="M112" s="35"/>
      <c r="N112" s="37" t="str">
        <f t="shared" si="29"/>
        <v/>
      </c>
      <c r="O112" s="35"/>
      <c r="P112" s="35"/>
      <c r="Q112" s="35"/>
      <c r="R112" s="35"/>
      <c r="S112" s="37" t="str">
        <f t="shared" si="30"/>
        <v/>
      </c>
      <c r="T112" s="35"/>
      <c r="U112" s="35"/>
      <c r="V112" s="35"/>
      <c r="W112" s="35"/>
      <c r="X112" s="37" t="str">
        <f t="shared" si="31"/>
        <v/>
      </c>
      <c r="Z112" t="b">
        <f t="shared" si="32"/>
        <v>0</v>
      </c>
      <c r="AA112" t="b">
        <f t="shared" si="33"/>
        <v>1</v>
      </c>
      <c r="AB112" t="b">
        <f t="shared" si="34"/>
        <v>0</v>
      </c>
      <c r="AC112" t="b">
        <f t="shared" si="35"/>
        <v>1</v>
      </c>
      <c r="AD112" t="b">
        <f t="shared" si="36"/>
        <v>0</v>
      </c>
      <c r="AE112" t="b">
        <f t="shared" si="37"/>
        <v>1</v>
      </c>
      <c r="AF112" t="b">
        <f t="shared" si="38"/>
        <v>0</v>
      </c>
      <c r="AG112" t="b">
        <f t="shared" si="39"/>
        <v>0</v>
      </c>
      <c r="AH112" t="b">
        <f t="shared" si="40"/>
        <v>0</v>
      </c>
      <c r="AI112" t="b">
        <f t="shared" si="41"/>
        <v>0</v>
      </c>
      <c r="AJ112" t="b">
        <f t="shared" si="42"/>
        <v>0</v>
      </c>
      <c r="AK112" t="b">
        <f t="shared" si="43"/>
        <v>0</v>
      </c>
      <c r="AM112" t="b">
        <f t="shared" si="44"/>
        <v>0</v>
      </c>
      <c r="AN112" t="b">
        <f t="shared" si="45"/>
        <v>1</v>
      </c>
      <c r="AO112" t="b">
        <f t="shared" si="46"/>
        <v>0</v>
      </c>
      <c r="AP112" t="b">
        <f t="shared" si="47"/>
        <v>1</v>
      </c>
      <c r="AQ112" t="b">
        <f t="shared" si="48"/>
        <v>0</v>
      </c>
      <c r="AR112" t="b">
        <f t="shared" si="49"/>
        <v>1</v>
      </c>
      <c r="AS112" t="b">
        <f t="shared" si="50"/>
        <v>0</v>
      </c>
      <c r="AT112" t="b">
        <f t="shared" si="51"/>
        <v>0</v>
      </c>
      <c r="AU112" t="b">
        <f t="shared" si="52"/>
        <v>0</v>
      </c>
      <c r="AV112" t="b">
        <f t="shared" si="53"/>
        <v>0</v>
      </c>
      <c r="AW112" t="b">
        <f t="shared" si="54"/>
        <v>0</v>
      </c>
      <c r="AX112" t="b">
        <f t="shared" si="55"/>
        <v>0</v>
      </c>
    </row>
    <row r="113" spans="1:50">
      <c r="A113" s="3" t="s">
        <v>242</v>
      </c>
      <c r="B113" s="6" t="s">
        <v>193</v>
      </c>
      <c r="C113" s="6"/>
      <c r="D113" s="34"/>
      <c r="E113" s="35"/>
      <c r="F113" s="35"/>
      <c r="G113" s="35"/>
      <c r="H113" s="35"/>
      <c r="I113" s="37" t="str">
        <f t="shared" si="28"/>
        <v/>
      </c>
      <c r="J113" s="35"/>
      <c r="K113" s="35"/>
      <c r="L113" s="35"/>
      <c r="M113" s="35"/>
      <c r="N113" s="37" t="str">
        <f t="shared" si="29"/>
        <v/>
      </c>
      <c r="O113" s="35"/>
      <c r="P113" s="35"/>
      <c r="Q113" s="35"/>
      <c r="R113" s="35"/>
      <c r="S113" s="37" t="str">
        <f t="shared" si="30"/>
        <v/>
      </c>
      <c r="T113" s="35"/>
      <c r="U113" s="35"/>
      <c r="V113" s="35"/>
      <c r="W113" s="35"/>
      <c r="X113" s="37" t="str">
        <f t="shared" si="31"/>
        <v/>
      </c>
      <c r="Z113" t="b">
        <f t="shared" si="32"/>
        <v>0</v>
      </c>
      <c r="AA113" t="b">
        <f t="shared" si="33"/>
        <v>0</v>
      </c>
      <c r="AB113" t="b">
        <f t="shared" si="34"/>
        <v>0</v>
      </c>
      <c r="AC113" t="b">
        <f t="shared" si="35"/>
        <v>0</v>
      </c>
      <c r="AD113" t="b">
        <f t="shared" si="36"/>
        <v>0</v>
      </c>
      <c r="AE113" t="b">
        <f t="shared" si="37"/>
        <v>0</v>
      </c>
      <c r="AF113" t="b">
        <f t="shared" si="38"/>
        <v>0</v>
      </c>
      <c r="AG113" t="b">
        <f t="shared" si="39"/>
        <v>0</v>
      </c>
      <c r="AH113" t="b">
        <f t="shared" si="40"/>
        <v>0</v>
      </c>
      <c r="AI113" t="b">
        <f t="shared" si="41"/>
        <v>0</v>
      </c>
      <c r="AJ113" t="b">
        <f t="shared" si="42"/>
        <v>0</v>
      </c>
      <c r="AK113" t="b">
        <f t="shared" si="43"/>
        <v>0</v>
      </c>
      <c r="AM113" t="b">
        <f t="shared" si="44"/>
        <v>0</v>
      </c>
      <c r="AN113" t="b">
        <f t="shared" si="45"/>
        <v>0</v>
      </c>
      <c r="AO113" t="b">
        <f t="shared" si="46"/>
        <v>0</v>
      </c>
      <c r="AP113" t="b">
        <f t="shared" si="47"/>
        <v>0</v>
      </c>
      <c r="AQ113" t="b">
        <f t="shared" si="48"/>
        <v>0</v>
      </c>
      <c r="AR113" t="b">
        <f t="shared" si="49"/>
        <v>0</v>
      </c>
      <c r="AS113" t="b">
        <f t="shared" si="50"/>
        <v>0</v>
      </c>
      <c r="AT113" t="b">
        <f t="shared" si="51"/>
        <v>0</v>
      </c>
      <c r="AU113" t="b">
        <f t="shared" si="52"/>
        <v>0</v>
      </c>
      <c r="AV113" t="b">
        <f t="shared" si="53"/>
        <v>0</v>
      </c>
      <c r="AW113" t="b">
        <f t="shared" si="54"/>
        <v>0</v>
      </c>
      <c r="AX113" t="b">
        <f t="shared" si="55"/>
        <v>0</v>
      </c>
    </row>
    <row r="114" spans="1:50">
      <c r="A114" s="3" t="s">
        <v>297</v>
      </c>
      <c r="B114" s="6" t="s">
        <v>196</v>
      </c>
      <c r="C114" t="s">
        <v>110</v>
      </c>
      <c r="D114" s="34"/>
      <c r="E114" s="35"/>
      <c r="F114" s="35"/>
      <c r="G114" s="35" t="s">
        <v>192</v>
      </c>
      <c r="H114" s="35"/>
      <c r="I114" s="37" t="str">
        <f t="shared" si="28"/>
        <v>X</v>
      </c>
      <c r="J114" s="35"/>
      <c r="K114" s="35"/>
      <c r="L114" s="35"/>
      <c r="M114" s="35"/>
      <c r="N114" s="37" t="str">
        <f t="shared" si="29"/>
        <v/>
      </c>
      <c r="O114" s="35"/>
      <c r="P114" s="35"/>
      <c r="Q114" s="35"/>
      <c r="R114" s="35"/>
      <c r="S114" s="37" t="str">
        <f t="shared" si="30"/>
        <v/>
      </c>
      <c r="T114" s="35"/>
      <c r="U114" s="35"/>
      <c r="V114" s="35"/>
      <c r="W114" s="35"/>
      <c r="X114" s="37" t="str">
        <f t="shared" si="31"/>
        <v/>
      </c>
      <c r="Z114" t="b">
        <f t="shared" si="32"/>
        <v>0</v>
      </c>
      <c r="AA114" t="b">
        <f t="shared" si="33"/>
        <v>1</v>
      </c>
      <c r="AB114" t="b">
        <f t="shared" si="34"/>
        <v>0</v>
      </c>
      <c r="AC114" t="b">
        <f t="shared" si="35"/>
        <v>1</v>
      </c>
      <c r="AD114" t="b">
        <f t="shared" si="36"/>
        <v>0</v>
      </c>
      <c r="AE114" t="b">
        <f t="shared" si="37"/>
        <v>1</v>
      </c>
      <c r="AF114" t="b">
        <f t="shared" si="38"/>
        <v>0</v>
      </c>
      <c r="AG114" t="b">
        <f t="shared" si="39"/>
        <v>0</v>
      </c>
      <c r="AH114" t="b">
        <f t="shared" si="40"/>
        <v>0</v>
      </c>
      <c r="AI114" t="b">
        <f t="shared" si="41"/>
        <v>0</v>
      </c>
      <c r="AJ114" t="b">
        <f t="shared" si="42"/>
        <v>0</v>
      </c>
      <c r="AK114" t="b">
        <f t="shared" si="43"/>
        <v>0</v>
      </c>
      <c r="AM114" t="b">
        <f t="shared" si="44"/>
        <v>0</v>
      </c>
      <c r="AN114" t="b">
        <f t="shared" si="45"/>
        <v>0</v>
      </c>
      <c r="AO114" t="b">
        <f t="shared" si="46"/>
        <v>0</v>
      </c>
      <c r="AP114" t="b">
        <f t="shared" si="47"/>
        <v>0</v>
      </c>
      <c r="AQ114" t="b">
        <f t="shared" si="48"/>
        <v>0</v>
      </c>
      <c r="AR114" t="b">
        <f t="shared" si="49"/>
        <v>0</v>
      </c>
      <c r="AS114" t="b">
        <f t="shared" si="50"/>
        <v>0</v>
      </c>
      <c r="AT114" t="b">
        <f t="shared" si="51"/>
        <v>0</v>
      </c>
      <c r="AU114" t="b">
        <f t="shared" si="52"/>
        <v>0</v>
      </c>
      <c r="AV114" t="b">
        <f t="shared" si="53"/>
        <v>0</v>
      </c>
      <c r="AW114" t="b">
        <f t="shared" si="54"/>
        <v>0</v>
      </c>
      <c r="AX114" t="b">
        <f t="shared" si="55"/>
        <v>0</v>
      </c>
    </row>
    <row r="115" spans="1:50">
      <c r="A115" s="3" t="s">
        <v>398</v>
      </c>
      <c r="B115" s="6" t="s">
        <v>196</v>
      </c>
      <c r="C115" t="s">
        <v>114</v>
      </c>
      <c r="D115" s="34"/>
      <c r="E115" s="35"/>
      <c r="F115" s="35"/>
      <c r="G115" s="35"/>
      <c r="H115" s="35"/>
      <c r="I115" s="37" t="str">
        <f t="shared" si="28"/>
        <v/>
      </c>
      <c r="J115" s="35"/>
      <c r="K115" s="35"/>
      <c r="L115" s="35"/>
      <c r="M115" s="35"/>
      <c r="N115" s="37" t="str">
        <f t="shared" si="29"/>
        <v/>
      </c>
      <c r="O115" s="35"/>
      <c r="P115" s="35" t="s">
        <v>192</v>
      </c>
      <c r="Q115" s="35" t="s">
        <v>192</v>
      </c>
      <c r="R115" s="35"/>
      <c r="S115" s="37" t="str">
        <f t="shared" si="30"/>
        <v>X</v>
      </c>
      <c r="T115" s="35"/>
      <c r="U115" s="35"/>
      <c r="V115" s="35"/>
      <c r="W115" s="35"/>
      <c r="X115" s="37" t="str">
        <f t="shared" si="31"/>
        <v/>
      </c>
      <c r="Z115" t="b">
        <f t="shared" si="32"/>
        <v>0</v>
      </c>
      <c r="AA115" t="b">
        <f t="shared" si="33"/>
        <v>0</v>
      </c>
      <c r="AB115" t="b">
        <f t="shared" si="34"/>
        <v>0</v>
      </c>
      <c r="AC115" t="b">
        <f t="shared" si="35"/>
        <v>1</v>
      </c>
      <c r="AD115" t="b">
        <f t="shared" si="36"/>
        <v>0</v>
      </c>
      <c r="AE115" t="b">
        <f t="shared" si="37"/>
        <v>0</v>
      </c>
      <c r="AF115" t="b">
        <f t="shared" si="38"/>
        <v>0</v>
      </c>
      <c r="AG115" t="b">
        <f t="shared" si="39"/>
        <v>1</v>
      </c>
      <c r="AH115" t="b">
        <f t="shared" si="40"/>
        <v>0</v>
      </c>
      <c r="AI115" t="b">
        <f t="shared" si="41"/>
        <v>0</v>
      </c>
      <c r="AJ115" t="b">
        <f t="shared" si="42"/>
        <v>0</v>
      </c>
      <c r="AK115" t="b">
        <f t="shared" si="43"/>
        <v>1</v>
      </c>
      <c r="AM115" t="b">
        <f t="shared" si="44"/>
        <v>0</v>
      </c>
      <c r="AN115" t="b">
        <f t="shared" si="45"/>
        <v>0</v>
      </c>
      <c r="AO115" t="b">
        <f t="shared" si="46"/>
        <v>0</v>
      </c>
      <c r="AP115" t="b">
        <f t="shared" si="47"/>
        <v>0</v>
      </c>
      <c r="AQ115" t="b">
        <f t="shared" si="48"/>
        <v>0</v>
      </c>
      <c r="AR115" t="b">
        <f t="shared" si="49"/>
        <v>0</v>
      </c>
      <c r="AS115" t="b">
        <f t="shared" si="50"/>
        <v>0</v>
      </c>
      <c r="AT115" t="b">
        <f t="shared" si="51"/>
        <v>0</v>
      </c>
      <c r="AU115" t="b">
        <f t="shared" si="52"/>
        <v>0</v>
      </c>
      <c r="AV115" t="b">
        <f t="shared" si="53"/>
        <v>0</v>
      </c>
      <c r="AW115" t="b">
        <f t="shared" si="54"/>
        <v>0</v>
      </c>
      <c r="AX115" t="b">
        <f t="shared" si="55"/>
        <v>0</v>
      </c>
    </row>
    <row r="116" spans="1:50">
      <c r="A116" s="3" t="s">
        <v>399</v>
      </c>
      <c r="B116" s="6" t="s">
        <v>196</v>
      </c>
      <c r="C116" t="s">
        <v>114</v>
      </c>
      <c r="D116" s="34"/>
      <c r="E116" s="35"/>
      <c r="F116" s="35"/>
      <c r="G116" s="35"/>
      <c r="H116" s="35"/>
      <c r="I116" s="37" t="str">
        <f t="shared" si="28"/>
        <v/>
      </c>
      <c r="J116" s="35"/>
      <c r="K116" s="35"/>
      <c r="L116" s="35"/>
      <c r="M116" s="35"/>
      <c r="N116" s="37" t="str">
        <f t="shared" si="29"/>
        <v/>
      </c>
      <c r="O116" s="35"/>
      <c r="P116" s="35" t="s">
        <v>192</v>
      </c>
      <c r="Q116" s="35"/>
      <c r="R116" s="35"/>
      <c r="S116" s="37" t="str">
        <f t="shared" si="30"/>
        <v>X</v>
      </c>
      <c r="T116" s="35"/>
      <c r="U116" s="35"/>
      <c r="V116" s="35"/>
      <c r="W116" s="35"/>
      <c r="X116" s="37" t="str">
        <f t="shared" si="31"/>
        <v/>
      </c>
      <c r="Z116" t="b">
        <f t="shared" si="32"/>
        <v>0</v>
      </c>
      <c r="AA116" t="b">
        <f t="shared" si="33"/>
        <v>0</v>
      </c>
      <c r="AB116" t="b">
        <f t="shared" si="34"/>
        <v>0</v>
      </c>
      <c r="AC116" t="b">
        <f t="shared" si="35"/>
        <v>1</v>
      </c>
      <c r="AD116" t="b">
        <f t="shared" si="36"/>
        <v>0</v>
      </c>
      <c r="AE116" t="b">
        <f t="shared" si="37"/>
        <v>0</v>
      </c>
      <c r="AF116" t="b">
        <f t="shared" si="38"/>
        <v>0</v>
      </c>
      <c r="AG116" t="b">
        <f t="shared" si="39"/>
        <v>1</v>
      </c>
      <c r="AH116" t="b">
        <f t="shared" si="40"/>
        <v>0</v>
      </c>
      <c r="AI116" t="b">
        <f t="shared" si="41"/>
        <v>0</v>
      </c>
      <c r="AJ116" t="b">
        <f t="shared" si="42"/>
        <v>0</v>
      </c>
      <c r="AK116" t="b">
        <f t="shared" si="43"/>
        <v>1</v>
      </c>
      <c r="AM116" t="b">
        <f t="shared" si="44"/>
        <v>0</v>
      </c>
      <c r="AN116" t="b">
        <f t="shared" si="45"/>
        <v>0</v>
      </c>
      <c r="AO116" t="b">
        <f t="shared" si="46"/>
        <v>0</v>
      </c>
      <c r="AP116" t="b">
        <f t="shared" si="47"/>
        <v>0</v>
      </c>
      <c r="AQ116" t="b">
        <f t="shared" si="48"/>
        <v>0</v>
      </c>
      <c r="AR116" t="b">
        <f t="shared" si="49"/>
        <v>0</v>
      </c>
      <c r="AS116" t="b">
        <f t="shared" si="50"/>
        <v>0</v>
      </c>
      <c r="AT116" t="b">
        <f t="shared" si="51"/>
        <v>0</v>
      </c>
      <c r="AU116" t="b">
        <f t="shared" si="52"/>
        <v>0</v>
      </c>
      <c r="AV116" t="b">
        <f t="shared" si="53"/>
        <v>0</v>
      </c>
      <c r="AW116" t="b">
        <f t="shared" si="54"/>
        <v>0</v>
      </c>
      <c r="AX116" t="b">
        <f t="shared" si="55"/>
        <v>0</v>
      </c>
    </row>
    <row r="117" spans="1:50">
      <c r="A117" s="3" t="s">
        <v>400</v>
      </c>
      <c r="B117" s="6" t="s">
        <v>196</v>
      </c>
      <c r="C117" t="s">
        <v>114</v>
      </c>
      <c r="D117" s="34"/>
      <c r="E117" s="35"/>
      <c r="F117" s="35"/>
      <c r="G117" s="35"/>
      <c r="H117" s="35"/>
      <c r="I117" s="37" t="str">
        <f t="shared" si="28"/>
        <v/>
      </c>
      <c r="J117" s="35"/>
      <c r="K117" s="35"/>
      <c r="L117" s="35"/>
      <c r="M117" s="35"/>
      <c r="N117" s="37" t="str">
        <f t="shared" si="29"/>
        <v/>
      </c>
      <c r="O117" s="35"/>
      <c r="P117" s="35" t="s">
        <v>192</v>
      </c>
      <c r="Q117" s="35"/>
      <c r="R117" s="35"/>
      <c r="S117" s="37" t="str">
        <f t="shared" si="30"/>
        <v>X</v>
      </c>
      <c r="T117" s="35"/>
      <c r="U117" s="35"/>
      <c r="V117" s="35"/>
      <c r="W117" s="35"/>
      <c r="X117" s="37" t="str">
        <f t="shared" si="31"/>
        <v/>
      </c>
      <c r="Z117" t="b">
        <f t="shared" si="32"/>
        <v>0</v>
      </c>
      <c r="AA117" t="b">
        <f t="shared" si="33"/>
        <v>0</v>
      </c>
      <c r="AB117" t="b">
        <f t="shared" si="34"/>
        <v>0</v>
      </c>
      <c r="AC117" t="b">
        <f t="shared" si="35"/>
        <v>1</v>
      </c>
      <c r="AD117" t="b">
        <f t="shared" si="36"/>
        <v>0</v>
      </c>
      <c r="AE117" t="b">
        <f t="shared" si="37"/>
        <v>0</v>
      </c>
      <c r="AF117" t="b">
        <f t="shared" si="38"/>
        <v>0</v>
      </c>
      <c r="AG117" t="b">
        <f t="shared" si="39"/>
        <v>1</v>
      </c>
      <c r="AH117" t="b">
        <f t="shared" si="40"/>
        <v>0</v>
      </c>
      <c r="AI117" t="b">
        <f t="shared" si="41"/>
        <v>0</v>
      </c>
      <c r="AJ117" t="b">
        <f t="shared" si="42"/>
        <v>0</v>
      </c>
      <c r="AK117" t="b">
        <f t="shared" si="43"/>
        <v>1</v>
      </c>
      <c r="AM117" t="b">
        <f t="shared" si="44"/>
        <v>0</v>
      </c>
      <c r="AN117" t="b">
        <f t="shared" si="45"/>
        <v>0</v>
      </c>
      <c r="AO117" t="b">
        <f t="shared" si="46"/>
        <v>0</v>
      </c>
      <c r="AP117" t="b">
        <f t="shared" si="47"/>
        <v>0</v>
      </c>
      <c r="AQ117" t="b">
        <f t="shared" si="48"/>
        <v>0</v>
      </c>
      <c r="AR117" t="b">
        <f t="shared" si="49"/>
        <v>0</v>
      </c>
      <c r="AS117" t="b">
        <f t="shared" si="50"/>
        <v>0</v>
      </c>
      <c r="AT117" t="b">
        <f t="shared" si="51"/>
        <v>0</v>
      </c>
      <c r="AU117" t="b">
        <f t="shared" si="52"/>
        <v>0</v>
      </c>
      <c r="AV117" t="b">
        <f t="shared" si="53"/>
        <v>0</v>
      </c>
      <c r="AW117" t="b">
        <f t="shared" si="54"/>
        <v>0</v>
      </c>
      <c r="AX117" t="b">
        <f t="shared" si="55"/>
        <v>0</v>
      </c>
    </row>
    <row r="118" spans="1:50">
      <c r="A118" s="3" t="s">
        <v>401</v>
      </c>
      <c r="B118" s="6" t="s">
        <v>196</v>
      </c>
      <c r="C118" t="s">
        <v>114</v>
      </c>
      <c r="D118" s="34"/>
      <c r="E118" s="35"/>
      <c r="F118" s="35"/>
      <c r="G118" s="35"/>
      <c r="H118" s="35"/>
      <c r="I118" s="37" t="str">
        <f t="shared" si="28"/>
        <v/>
      </c>
      <c r="J118" s="35"/>
      <c r="K118" s="35"/>
      <c r="L118" s="35"/>
      <c r="M118" s="35"/>
      <c r="N118" s="37" t="str">
        <f t="shared" si="29"/>
        <v/>
      </c>
      <c r="O118" s="35"/>
      <c r="P118" s="35" t="s">
        <v>192</v>
      </c>
      <c r="Q118" s="35"/>
      <c r="R118" s="35"/>
      <c r="S118" s="37" t="str">
        <f t="shared" si="30"/>
        <v>X</v>
      </c>
      <c r="T118" s="35"/>
      <c r="U118" s="35"/>
      <c r="V118" s="35"/>
      <c r="W118" s="35"/>
      <c r="X118" s="37" t="str">
        <f t="shared" si="31"/>
        <v/>
      </c>
      <c r="Z118" t="b">
        <f t="shared" si="32"/>
        <v>0</v>
      </c>
      <c r="AA118" t="b">
        <f t="shared" si="33"/>
        <v>0</v>
      </c>
      <c r="AB118" t="b">
        <f t="shared" si="34"/>
        <v>0</v>
      </c>
      <c r="AC118" t="b">
        <f t="shared" si="35"/>
        <v>1</v>
      </c>
      <c r="AD118" t="b">
        <f t="shared" si="36"/>
        <v>0</v>
      </c>
      <c r="AE118" t="b">
        <f t="shared" si="37"/>
        <v>0</v>
      </c>
      <c r="AF118" t="b">
        <f t="shared" si="38"/>
        <v>0</v>
      </c>
      <c r="AG118" t="b">
        <f t="shared" si="39"/>
        <v>1</v>
      </c>
      <c r="AH118" t="b">
        <f t="shared" si="40"/>
        <v>0</v>
      </c>
      <c r="AI118" t="b">
        <f t="shared" si="41"/>
        <v>0</v>
      </c>
      <c r="AJ118" t="b">
        <f t="shared" si="42"/>
        <v>0</v>
      </c>
      <c r="AK118" t="b">
        <f t="shared" si="43"/>
        <v>1</v>
      </c>
      <c r="AM118" t="b">
        <f t="shared" si="44"/>
        <v>0</v>
      </c>
      <c r="AN118" t="b">
        <f t="shared" si="45"/>
        <v>0</v>
      </c>
      <c r="AO118" t="b">
        <f t="shared" si="46"/>
        <v>0</v>
      </c>
      <c r="AP118" t="b">
        <f t="shared" si="47"/>
        <v>0</v>
      </c>
      <c r="AQ118" t="b">
        <f t="shared" si="48"/>
        <v>0</v>
      </c>
      <c r="AR118" t="b">
        <f t="shared" si="49"/>
        <v>0</v>
      </c>
      <c r="AS118" t="b">
        <f t="shared" si="50"/>
        <v>0</v>
      </c>
      <c r="AT118" t="b">
        <f t="shared" si="51"/>
        <v>0</v>
      </c>
      <c r="AU118" t="b">
        <f t="shared" si="52"/>
        <v>0</v>
      </c>
      <c r="AV118" t="b">
        <f t="shared" si="53"/>
        <v>0</v>
      </c>
      <c r="AW118" t="b">
        <f t="shared" si="54"/>
        <v>0</v>
      </c>
      <c r="AX118" t="b">
        <f t="shared" si="55"/>
        <v>0</v>
      </c>
    </row>
    <row r="119" spans="1:50">
      <c r="A119" s="3" t="s">
        <v>402</v>
      </c>
      <c r="B119" s="6" t="s">
        <v>196</v>
      </c>
      <c r="C119" t="s">
        <v>110</v>
      </c>
      <c r="D119" s="34"/>
      <c r="E119" s="35"/>
      <c r="F119" s="35"/>
      <c r="G119" s="35"/>
      <c r="H119" s="35"/>
      <c r="I119" s="37" t="str">
        <f t="shared" si="28"/>
        <v/>
      </c>
      <c r="J119" s="35"/>
      <c r="K119" s="35"/>
      <c r="L119" s="35"/>
      <c r="M119" s="35"/>
      <c r="N119" s="37" t="str">
        <f t="shared" si="29"/>
        <v/>
      </c>
      <c r="O119" s="35"/>
      <c r="P119" s="35"/>
      <c r="Q119" s="35" t="s">
        <v>192</v>
      </c>
      <c r="R119" s="35"/>
      <c r="S119" s="37" t="str">
        <f t="shared" si="30"/>
        <v>X</v>
      </c>
      <c r="T119" s="35"/>
      <c r="U119" s="35"/>
      <c r="V119" s="35"/>
      <c r="W119" s="35"/>
      <c r="X119" s="37" t="str">
        <f t="shared" si="31"/>
        <v/>
      </c>
      <c r="Z119" t="b">
        <f t="shared" si="32"/>
        <v>0</v>
      </c>
      <c r="AA119" t="b">
        <f t="shared" si="33"/>
        <v>0</v>
      </c>
      <c r="AB119" t="b">
        <f t="shared" si="34"/>
        <v>0</v>
      </c>
      <c r="AC119" t="b">
        <f t="shared" si="35"/>
        <v>1</v>
      </c>
      <c r="AD119" t="b">
        <f t="shared" si="36"/>
        <v>0</v>
      </c>
      <c r="AE119" t="b">
        <f t="shared" si="37"/>
        <v>0</v>
      </c>
      <c r="AF119" t="b">
        <f t="shared" si="38"/>
        <v>0</v>
      </c>
      <c r="AG119" t="b">
        <f t="shared" si="39"/>
        <v>1</v>
      </c>
      <c r="AH119" t="b">
        <f t="shared" si="40"/>
        <v>0</v>
      </c>
      <c r="AI119" t="b">
        <f t="shared" si="41"/>
        <v>0</v>
      </c>
      <c r="AJ119" t="b">
        <f t="shared" si="42"/>
        <v>0</v>
      </c>
      <c r="AK119" t="b">
        <f t="shared" si="43"/>
        <v>1</v>
      </c>
      <c r="AM119" t="b">
        <f t="shared" si="44"/>
        <v>0</v>
      </c>
      <c r="AN119" t="b">
        <f t="shared" si="45"/>
        <v>0</v>
      </c>
      <c r="AO119" t="b">
        <f t="shared" si="46"/>
        <v>0</v>
      </c>
      <c r="AP119" t="b">
        <f t="shared" si="47"/>
        <v>0</v>
      </c>
      <c r="AQ119" t="b">
        <f t="shared" si="48"/>
        <v>0</v>
      </c>
      <c r="AR119" t="b">
        <f t="shared" si="49"/>
        <v>0</v>
      </c>
      <c r="AS119" t="b">
        <f t="shared" si="50"/>
        <v>0</v>
      </c>
      <c r="AT119" t="b">
        <f t="shared" si="51"/>
        <v>0</v>
      </c>
      <c r="AU119" t="b">
        <f t="shared" si="52"/>
        <v>0</v>
      </c>
      <c r="AV119" t="b">
        <f t="shared" si="53"/>
        <v>0</v>
      </c>
      <c r="AW119" t="b">
        <f t="shared" si="54"/>
        <v>0</v>
      </c>
      <c r="AX119" t="b">
        <f t="shared" si="55"/>
        <v>0</v>
      </c>
    </row>
    <row r="120" spans="1:50">
      <c r="A120" s="3" t="s">
        <v>403</v>
      </c>
      <c r="B120" s="6" t="s">
        <v>196</v>
      </c>
      <c r="C120" t="s">
        <v>114</v>
      </c>
      <c r="D120" s="34"/>
      <c r="E120" s="35"/>
      <c r="F120" s="35"/>
      <c r="G120" s="35"/>
      <c r="H120" s="35"/>
      <c r="I120" s="37" t="str">
        <f t="shared" si="28"/>
        <v/>
      </c>
      <c r="J120" s="35"/>
      <c r="K120" s="35"/>
      <c r="L120" s="35"/>
      <c r="M120" s="35"/>
      <c r="N120" s="37" t="str">
        <f t="shared" si="29"/>
        <v/>
      </c>
      <c r="O120" s="35"/>
      <c r="P120" s="35"/>
      <c r="Q120" s="35"/>
      <c r="R120" s="35" t="s">
        <v>192</v>
      </c>
      <c r="S120" s="37" t="str">
        <f t="shared" si="30"/>
        <v>X</v>
      </c>
      <c r="T120" s="35"/>
      <c r="U120" s="35"/>
      <c r="V120" s="35"/>
      <c r="W120" s="35"/>
      <c r="X120" s="37" t="str">
        <f t="shared" si="31"/>
        <v/>
      </c>
      <c r="Z120" t="b">
        <f t="shared" si="32"/>
        <v>0</v>
      </c>
      <c r="AA120" t="b">
        <f t="shared" si="33"/>
        <v>0</v>
      </c>
      <c r="AB120" t="b">
        <f t="shared" si="34"/>
        <v>0</v>
      </c>
      <c r="AC120" t="b">
        <f t="shared" si="35"/>
        <v>1</v>
      </c>
      <c r="AD120" t="b">
        <f t="shared" si="36"/>
        <v>0</v>
      </c>
      <c r="AE120" t="b">
        <f t="shared" si="37"/>
        <v>0</v>
      </c>
      <c r="AF120" t="b">
        <f t="shared" si="38"/>
        <v>0</v>
      </c>
      <c r="AG120" t="b">
        <f t="shared" si="39"/>
        <v>1</v>
      </c>
      <c r="AH120" t="b">
        <f t="shared" si="40"/>
        <v>0</v>
      </c>
      <c r="AI120" t="b">
        <f t="shared" si="41"/>
        <v>0</v>
      </c>
      <c r="AJ120" t="b">
        <f t="shared" si="42"/>
        <v>0</v>
      </c>
      <c r="AK120" t="b">
        <f t="shared" si="43"/>
        <v>1</v>
      </c>
      <c r="AM120" t="b">
        <f t="shared" si="44"/>
        <v>0</v>
      </c>
      <c r="AN120" t="b">
        <f t="shared" si="45"/>
        <v>0</v>
      </c>
      <c r="AO120" t="b">
        <f t="shared" si="46"/>
        <v>0</v>
      </c>
      <c r="AP120" t="b">
        <f t="shared" si="47"/>
        <v>0</v>
      </c>
      <c r="AQ120" t="b">
        <f t="shared" si="48"/>
        <v>0</v>
      </c>
      <c r="AR120" t="b">
        <f t="shared" si="49"/>
        <v>0</v>
      </c>
      <c r="AS120" t="b">
        <f t="shared" si="50"/>
        <v>0</v>
      </c>
      <c r="AT120" t="b">
        <f t="shared" si="51"/>
        <v>0</v>
      </c>
      <c r="AU120" t="b">
        <f t="shared" si="52"/>
        <v>0</v>
      </c>
      <c r="AV120" t="b">
        <f t="shared" si="53"/>
        <v>0</v>
      </c>
      <c r="AW120" t="b">
        <f t="shared" si="54"/>
        <v>0</v>
      </c>
      <c r="AX120" t="b">
        <f t="shared" si="55"/>
        <v>0</v>
      </c>
    </row>
    <row r="121" spans="1:50">
      <c r="A121" s="3" t="s">
        <v>404</v>
      </c>
      <c r="B121" s="6" t="s">
        <v>196</v>
      </c>
      <c r="C121" t="s">
        <v>114</v>
      </c>
      <c r="D121" s="34"/>
      <c r="E121" s="35"/>
      <c r="F121" s="35"/>
      <c r="G121" s="35"/>
      <c r="H121" s="35"/>
      <c r="I121" s="37" t="str">
        <f t="shared" si="28"/>
        <v/>
      </c>
      <c r="J121" s="35"/>
      <c r="K121" s="35"/>
      <c r="L121" s="35"/>
      <c r="M121" s="35"/>
      <c r="N121" s="37" t="str">
        <f t="shared" si="29"/>
        <v/>
      </c>
      <c r="O121" s="35"/>
      <c r="P121" s="35"/>
      <c r="Q121" s="35"/>
      <c r="R121" s="35" t="s">
        <v>192</v>
      </c>
      <c r="S121" s="37" t="str">
        <f t="shared" si="30"/>
        <v>X</v>
      </c>
      <c r="T121" s="35"/>
      <c r="U121" s="35"/>
      <c r="V121" s="35"/>
      <c r="W121" s="35"/>
      <c r="X121" s="37" t="str">
        <f t="shared" si="31"/>
        <v/>
      </c>
      <c r="Z121" t="b">
        <f t="shared" si="32"/>
        <v>0</v>
      </c>
      <c r="AA121" t="b">
        <f t="shared" si="33"/>
        <v>0</v>
      </c>
      <c r="AB121" t="b">
        <f t="shared" si="34"/>
        <v>0</v>
      </c>
      <c r="AC121" t="b">
        <f t="shared" si="35"/>
        <v>1</v>
      </c>
      <c r="AD121" t="b">
        <f t="shared" si="36"/>
        <v>0</v>
      </c>
      <c r="AE121" t="b">
        <f t="shared" si="37"/>
        <v>0</v>
      </c>
      <c r="AF121" t="b">
        <f t="shared" si="38"/>
        <v>0</v>
      </c>
      <c r="AG121" t="b">
        <f t="shared" si="39"/>
        <v>1</v>
      </c>
      <c r="AH121" t="b">
        <f t="shared" si="40"/>
        <v>0</v>
      </c>
      <c r="AI121" t="b">
        <f t="shared" si="41"/>
        <v>0</v>
      </c>
      <c r="AJ121" t="b">
        <f t="shared" si="42"/>
        <v>0</v>
      </c>
      <c r="AK121" t="b">
        <f t="shared" si="43"/>
        <v>1</v>
      </c>
      <c r="AM121" t="b">
        <f t="shared" si="44"/>
        <v>0</v>
      </c>
      <c r="AN121" t="b">
        <f t="shared" si="45"/>
        <v>0</v>
      </c>
      <c r="AO121" t="b">
        <f t="shared" si="46"/>
        <v>0</v>
      </c>
      <c r="AP121" t="b">
        <f t="shared" si="47"/>
        <v>0</v>
      </c>
      <c r="AQ121" t="b">
        <f t="shared" si="48"/>
        <v>0</v>
      </c>
      <c r="AR121" t="b">
        <f t="shared" si="49"/>
        <v>0</v>
      </c>
      <c r="AS121" t="b">
        <f t="shared" si="50"/>
        <v>0</v>
      </c>
      <c r="AT121" t="b">
        <f t="shared" si="51"/>
        <v>0</v>
      </c>
      <c r="AU121" t="b">
        <f t="shared" si="52"/>
        <v>0</v>
      </c>
      <c r="AV121" t="b">
        <f t="shared" si="53"/>
        <v>0</v>
      </c>
      <c r="AW121" t="b">
        <f t="shared" si="54"/>
        <v>0</v>
      </c>
      <c r="AX121" t="b">
        <f t="shared" si="55"/>
        <v>0</v>
      </c>
    </row>
    <row r="122" spans="1:50">
      <c r="A122" s="3" t="s">
        <v>493</v>
      </c>
      <c r="B122" s="6" t="s">
        <v>193</v>
      </c>
      <c r="C122" s="6"/>
      <c r="D122" s="34" t="s">
        <v>246</v>
      </c>
      <c r="E122" s="27" t="s">
        <v>192</v>
      </c>
      <c r="F122" s="27" t="s">
        <v>192</v>
      </c>
      <c r="G122" s="27" t="s">
        <v>192</v>
      </c>
      <c r="H122" s="27" t="s">
        <v>192</v>
      </c>
      <c r="I122" s="37" t="str">
        <f t="shared" si="28"/>
        <v>X</v>
      </c>
      <c r="J122" s="27" t="s">
        <v>192</v>
      </c>
      <c r="K122" s="27" t="s">
        <v>192</v>
      </c>
      <c r="L122" s="27" t="s">
        <v>192</v>
      </c>
      <c r="M122" s="27" t="s">
        <v>192</v>
      </c>
      <c r="N122" s="37" t="str">
        <f t="shared" si="29"/>
        <v>X</v>
      </c>
      <c r="O122" s="27" t="s">
        <v>192</v>
      </c>
      <c r="P122" s="27" t="s">
        <v>192</v>
      </c>
      <c r="Q122" s="27" t="s">
        <v>220</v>
      </c>
      <c r="R122" s="27" t="s">
        <v>192</v>
      </c>
      <c r="S122" s="37" t="str">
        <f t="shared" si="30"/>
        <v>X</v>
      </c>
      <c r="T122" s="27" t="s">
        <v>192</v>
      </c>
      <c r="U122" s="27" t="s">
        <v>192</v>
      </c>
      <c r="V122" s="27" t="s">
        <v>192</v>
      </c>
      <c r="W122" s="27" t="s">
        <v>192</v>
      </c>
      <c r="X122" s="37" t="str">
        <f t="shared" si="31"/>
        <v>X</v>
      </c>
      <c r="Z122" t="b">
        <f t="shared" si="32"/>
        <v>1</v>
      </c>
      <c r="AA122" t="b">
        <f t="shared" si="33"/>
        <v>1</v>
      </c>
      <c r="AB122" t="b">
        <f t="shared" si="34"/>
        <v>1</v>
      </c>
      <c r="AC122" t="b">
        <f t="shared" si="35"/>
        <v>1</v>
      </c>
      <c r="AD122" t="b">
        <f t="shared" si="36"/>
        <v>1</v>
      </c>
      <c r="AE122" t="b">
        <f t="shared" si="37"/>
        <v>1</v>
      </c>
      <c r="AF122" t="b">
        <f t="shared" si="38"/>
        <v>1</v>
      </c>
      <c r="AG122" t="b">
        <f t="shared" si="39"/>
        <v>1</v>
      </c>
      <c r="AH122" t="b">
        <f t="shared" si="40"/>
        <v>1</v>
      </c>
      <c r="AI122" t="b">
        <f t="shared" si="41"/>
        <v>1</v>
      </c>
      <c r="AJ122" t="b">
        <f t="shared" si="42"/>
        <v>1</v>
      </c>
      <c r="AK122" t="b">
        <f t="shared" si="43"/>
        <v>1</v>
      </c>
      <c r="AM122" t="b">
        <f t="shared" si="44"/>
        <v>1</v>
      </c>
      <c r="AN122" t="b">
        <f t="shared" si="45"/>
        <v>1</v>
      </c>
      <c r="AO122" t="b">
        <f t="shared" si="46"/>
        <v>1</v>
      </c>
      <c r="AP122" t="b">
        <f t="shared" si="47"/>
        <v>1</v>
      </c>
      <c r="AQ122" t="b">
        <f t="shared" si="48"/>
        <v>1</v>
      </c>
      <c r="AR122" t="b">
        <f t="shared" si="49"/>
        <v>1</v>
      </c>
      <c r="AS122" t="b">
        <f t="shared" si="50"/>
        <v>1</v>
      </c>
      <c r="AT122" t="b">
        <f t="shared" si="51"/>
        <v>1</v>
      </c>
      <c r="AU122" t="b">
        <f t="shared" si="52"/>
        <v>1</v>
      </c>
      <c r="AV122" t="b">
        <f t="shared" si="53"/>
        <v>1</v>
      </c>
      <c r="AW122" t="b">
        <f t="shared" si="54"/>
        <v>1</v>
      </c>
      <c r="AX122" t="b">
        <f t="shared" si="55"/>
        <v>1</v>
      </c>
    </row>
    <row r="123" spans="1:50">
      <c r="A123" s="3" t="s">
        <v>494</v>
      </c>
      <c r="B123" s="6" t="s">
        <v>193</v>
      </c>
      <c r="C123" s="6"/>
      <c r="D123" s="34" t="s">
        <v>247</v>
      </c>
      <c r="E123" s="27" t="s">
        <v>192</v>
      </c>
      <c r="F123" s="27" t="s">
        <v>192</v>
      </c>
      <c r="G123" s="27" t="s">
        <v>192</v>
      </c>
      <c r="H123" s="27" t="s">
        <v>192</v>
      </c>
      <c r="I123" s="37" t="str">
        <f t="shared" si="28"/>
        <v>X</v>
      </c>
      <c r="J123" s="27" t="s">
        <v>192</v>
      </c>
      <c r="N123" s="37" t="str">
        <f t="shared" si="29"/>
        <v>X</v>
      </c>
      <c r="O123" s="27" t="s">
        <v>220</v>
      </c>
      <c r="S123" s="37" t="str">
        <f t="shared" si="30"/>
        <v>X</v>
      </c>
      <c r="T123" s="35"/>
      <c r="U123" s="35"/>
      <c r="V123" s="35"/>
      <c r="W123" s="35"/>
      <c r="X123" s="37" t="str">
        <f t="shared" si="31"/>
        <v/>
      </c>
      <c r="Z123" t="b">
        <f t="shared" si="32"/>
        <v>1</v>
      </c>
      <c r="AA123" t="b">
        <f t="shared" si="33"/>
        <v>1</v>
      </c>
      <c r="AB123" t="b">
        <f t="shared" si="34"/>
        <v>1</v>
      </c>
      <c r="AC123" t="b">
        <f t="shared" si="35"/>
        <v>1</v>
      </c>
      <c r="AD123" t="b">
        <f t="shared" si="36"/>
        <v>0</v>
      </c>
      <c r="AE123" t="b">
        <f t="shared" si="37"/>
        <v>1</v>
      </c>
      <c r="AF123" t="b">
        <f t="shared" si="38"/>
        <v>1</v>
      </c>
      <c r="AG123" t="b">
        <f t="shared" si="39"/>
        <v>1</v>
      </c>
      <c r="AH123" t="b">
        <f t="shared" si="40"/>
        <v>0</v>
      </c>
      <c r="AI123" t="b">
        <f t="shared" si="41"/>
        <v>1</v>
      </c>
      <c r="AJ123" t="b">
        <f t="shared" si="42"/>
        <v>0</v>
      </c>
      <c r="AK123" t="b">
        <f t="shared" si="43"/>
        <v>1</v>
      </c>
      <c r="AM123" t="b">
        <f t="shared" si="44"/>
        <v>1</v>
      </c>
      <c r="AN123" t="b">
        <f t="shared" si="45"/>
        <v>1</v>
      </c>
      <c r="AO123" t="b">
        <f t="shared" si="46"/>
        <v>1</v>
      </c>
      <c r="AP123" t="b">
        <f t="shared" si="47"/>
        <v>1</v>
      </c>
      <c r="AQ123" t="b">
        <f t="shared" si="48"/>
        <v>0</v>
      </c>
      <c r="AR123" t="b">
        <f t="shared" si="49"/>
        <v>1</v>
      </c>
      <c r="AS123" t="b">
        <f t="shared" si="50"/>
        <v>1</v>
      </c>
      <c r="AT123" t="b">
        <f t="shared" si="51"/>
        <v>1</v>
      </c>
      <c r="AU123" t="b">
        <f t="shared" si="52"/>
        <v>0</v>
      </c>
      <c r="AV123" t="b">
        <f t="shared" si="53"/>
        <v>1</v>
      </c>
      <c r="AW123" t="b">
        <f t="shared" si="54"/>
        <v>0</v>
      </c>
      <c r="AX123" t="b">
        <f t="shared" si="55"/>
        <v>1</v>
      </c>
    </row>
    <row r="124" spans="1:50">
      <c r="A124" s="3" t="s">
        <v>495</v>
      </c>
      <c r="B124" s="6" t="s">
        <v>193</v>
      </c>
      <c r="C124" s="6"/>
      <c r="D124" s="34" t="s">
        <v>248</v>
      </c>
      <c r="E124" s="27" t="s">
        <v>192</v>
      </c>
      <c r="F124" s="27" t="s">
        <v>192</v>
      </c>
      <c r="G124" s="27" t="s">
        <v>192</v>
      </c>
      <c r="H124" s="27" t="s">
        <v>192</v>
      </c>
      <c r="I124" s="37" t="str">
        <f t="shared" si="28"/>
        <v>X</v>
      </c>
      <c r="J124" s="27" t="s">
        <v>192</v>
      </c>
      <c r="K124" s="27" t="s">
        <v>192</v>
      </c>
      <c r="L124" s="27" t="s">
        <v>192</v>
      </c>
      <c r="M124" s="27" t="s">
        <v>192</v>
      </c>
      <c r="N124" s="37" t="str">
        <f t="shared" si="29"/>
        <v>X</v>
      </c>
      <c r="O124" s="27" t="s">
        <v>192</v>
      </c>
      <c r="P124" s="27" t="s">
        <v>192</v>
      </c>
      <c r="Q124" s="27" t="s">
        <v>192</v>
      </c>
      <c r="R124" s="27" t="s">
        <v>192</v>
      </c>
      <c r="S124" s="37" t="str">
        <f t="shared" si="30"/>
        <v>X</v>
      </c>
      <c r="T124" s="27" t="s">
        <v>192</v>
      </c>
      <c r="U124" s="27" t="s">
        <v>192</v>
      </c>
      <c r="V124" s="27" t="s">
        <v>192</v>
      </c>
      <c r="W124" s="27" t="s">
        <v>192</v>
      </c>
      <c r="X124" s="37" t="str">
        <f t="shared" si="31"/>
        <v>X</v>
      </c>
      <c r="Z124" t="b">
        <f t="shared" si="32"/>
        <v>1</v>
      </c>
      <c r="AA124" t="b">
        <f t="shared" si="33"/>
        <v>1</v>
      </c>
      <c r="AB124" t="b">
        <f t="shared" si="34"/>
        <v>1</v>
      </c>
      <c r="AC124" t="b">
        <f t="shared" si="35"/>
        <v>1</v>
      </c>
      <c r="AD124" t="b">
        <f t="shared" si="36"/>
        <v>1</v>
      </c>
      <c r="AE124" t="b">
        <f t="shared" si="37"/>
        <v>1</v>
      </c>
      <c r="AF124" t="b">
        <f t="shared" si="38"/>
        <v>1</v>
      </c>
      <c r="AG124" t="b">
        <f t="shared" si="39"/>
        <v>1</v>
      </c>
      <c r="AH124" t="b">
        <f t="shared" si="40"/>
        <v>1</v>
      </c>
      <c r="AI124" t="b">
        <f t="shared" si="41"/>
        <v>1</v>
      </c>
      <c r="AJ124" t="b">
        <f t="shared" si="42"/>
        <v>1</v>
      </c>
      <c r="AK124" t="b">
        <f t="shared" si="43"/>
        <v>1</v>
      </c>
      <c r="AM124" t="b">
        <f t="shared" si="44"/>
        <v>1</v>
      </c>
      <c r="AN124" t="b">
        <f t="shared" si="45"/>
        <v>1</v>
      </c>
      <c r="AO124" t="b">
        <f t="shared" si="46"/>
        <v>1</v>
      </c>
      <c r="AP124" t="b">
        <f t="shared" si="47"/>
        <v>1</v>
      </c>
      <c r="AQ124" t="b">
        <f t="shared" si="48"/>
        <v>1</v>
      </c>
      <c r="AR124" t="b">
        <f t="shared" si="49"/>
        <v>1</v>
      </c>
      <c r="AS124" t="b">
        <f t="shared" si="50"/>
        <v>1</v>
      </c>
      <c r="AT124" t="b">
        <f t="shared" si="51"/>
        <v>1</v>
      </c>
      <c r="AU124" t="b">
        <f t="shared" si="52"/>
        <v>1</v>
      </c>
      <c r="AV124" t="b">
        <f t="shared" si="53"/>
        <v>1</v>
      </c>
      <c r="AW124" t="b">
        <f t="shared" si="54"/>
        <v>1</v>
      </c>
      <c r="AX124" t="b">
        <f t="shared" si="55"/>
        <v>1</v>
      </c>
    </row>
    <row r="125" spans="1:50">
      <c r="A125" s="3" t="s">
        <v>249</v>
      </c>
      <c r="B125" s="6" t="s">
        <v>193</v>
      </c>
      <c r="C125" s="6"/>
      <c r="D125" s="34"/>
      <c r="E125" s="35" t="s">
        <v>192</v>
      </c>
      <c r="F125" s="35" t="s">
        <v>192</v>
      </c>
      <c r="G125" s="35" t="s">
        <v>192</v>
      </c>
      <c r="H125" s="35" t="s">
        <v>192</v>
      </c>
      <c r="I125" s="37" t="str">
        <f t="shared" si="28"/>
        <v>X</v>
      </c>
      <c r="J125" s="35"/>
      <c r="K125" s="35"/>
      <c r="L125" s="35"/>
      <c r="M125" s="35"/>
      <c r="N125" s="37" t="str">
        <f t="shared" si="29"/>
        <v/>
      </c>
      <c r="O125" s="35"/>
      <c r="P125" s="35"/>
      <c r="Q125" s="35"/>
      <c r="R125" s="35"/>
      <c r="S125" s="37" t="str">
        <f t="shared" si="30"/>
        <v/>
      </c>
      <c r="T125" s="35"/>
      <c r="U125" s="35"/>
      <c r="V125" s="35"/>
      <c r="W125" s="35"/>
      <c r="X125" s="37" t="str">
        <f t="shared" si="31"/>
        <v/>
      </c>
      <c r="Z125" t="b">
        <f t="shared" si="32"/>
        <v>0</v>
      </c>
      <c r="AA125" t="b">
        <f t="shared" si="33"/>
        <v>1</v>
      </c>
      <c r="AB125" t="b">
        <f t="shared" si="34"/>
        <v>0</v>
      </c>
      <c r="AC125" t="b">
        <f t="shared" si="35"/>
        <v>1</v>
      </c>
      <c r="AD125" t="b">
        <f t="shared" si="36"/>
        <v>0</v>
      </c>
      <c r="AE125" t="b">
        <f t="shared" si="37"/>
        <v>1</v>
      </c>
      <c r="AF125" t="b">
        <f t="shared" si="38"/>
        <v>0</v>
      </c>
      <c r="AG125" t="b">
        <f t="shared" si="39"/>
        <v>0</v>
      </c>
      <c r="AH125" t="b">
        <f t="shared" si="40"/>
        <v>0</v>
      </c>
      <c r="AI125" t="b">
        <f t="shared" si="41"/>
        <v>0</v>
      </c>
      <c r="AJ125" t="b">
        <f t="shared" si="42"/>
        <v>0</v>
      </c>
      <c r="AK125" t="b">
        <f t="shared" si="43"/>
        <v>0</v>
      </c>
      <c r="AM125" t="b">
        <f t="shared" si="44"/>
        <v>0</v>
      </c>
      <c r="AN125" t="b">
        <f t="shared" si="45"/>
        <v>1</v>
      </c>
      <c r="AO125" t="b">
        <f t="shared" si="46"/>
        <v>0</v>
      </c>
      <c r="AP125" t="b">
        <f t="shared" si="47"/>
        <v>1</v>
      </c>
      <c r="AQ125" t="b">
        <f t="shared" si="48"/>
        <v>0</v>
      </c>
      <c r="AR125" t="b">
        <f t="shared" si="49"/>
        <v>1</v>
      </c>
      <c r="AS125" t="b">
        <f t="shared" si="50"/>
        <v>0</v>
      </c>
      <c r="AT125" t="b">
        <f t="shared" si="51"/>
        <v>0</v>
      </c>
      <c r="AU125" t="b">
        <f t="shared" si="52"/>
        <v>0</v>
      </c>
      <c r="AV125" t="b">
        <f t="shared" si="53"/>
        <v>0</v>
      </c>
      <c r="AW125" t="b">
        <f t="shared" si="54"/>
        <v>0</v>
      </c>
      <c r="AX125" t="b">
        <f t="shared" si="55"/>
        <v>0</v>
      </c>
    </row>
    <row r="126" spans="1:50">
      <c r="A126" s="3" t="s">
        <v>496</v>
      </c>
      <c r="B126" s="6" t="s">
        <v>193</v>
      </c>
      <c r="C126" s="6"/>
      <c r="D126" s="34"/>
      <c r="E126" s="35"/>
      <c r="F126" s="35"/>
      <c r="G126" s="35"/>
      <c r="H126" s="35"/>
      <c r="I126" s="37" t="str">
        <f t="shared" si="28"/>
        <v/>
      </c>
      <c r="J126" s="35"/>
      <c r="K126" s="35"/>
      <c r="L126" s="35"/>
      <c r="M126" s="35"/>
      <c r="N126" s="37" t="str">
        <f t="shared" si="29"/>
        <v/>
      </c>
      <c r="O126" s="35"/>
      <c r="P126" s="35"/>
      <c r="Q126" s="35"/>
      <c r="R126" s="35"/>
      <c r="S126" s="37" t="str">
        <f t="shared" si="30"/>
        <v/>
      </c>
      <c r="T126" s="35"/>
      <c r="U126" s="35"/>
      <c r="V126" s="35"/>
      <c r="W126" s="35"/>
      <c r="X126" s="37" t="str">
        <f t="shared" si="31"/>
        <v/>
      </c>
      <c r="Z126" t="b">
        <f t="shared" si="32"/>
        <v>0</v>
      </c>
      <c r="AA126" t="b">
        <f t="shared" si="33"/>
        <v>0</v>
      </c>
      <c r="AB126" t="b">
        <f t="shared" si="34"/>
        <v>0</v>
      </c>
      <c r="AC126" t="b">
        <f t="shared" si="35"/>
        <v>0</v>
      </c>
      <c r="AD126" t="b">
        <f t="shared" si="36"/>
        <v>0</v>
      </c>
      <c r="AE126" t="b">
        <f t="shared" si="37"/>
        <v>0</v>
      </c>
      <c r="AF126" t="b">
        <f t="shared" si="38"/>
        <v>0</v>
      </c>
      <c r="AG126" t="b">
        <f t="shared" si="39"/>
        <v>0</v>
      </c>
      <c r="AH126" t="b">
        <f t="shared" si="40"/>
        <v>0</v>
      </c>
      <c r="AI126" t="b">
        <f t="shared" si="41"/>
        <v>0</v>
      </c>
      <c r="AJ126" t="b">
        <f t="shared" si="42"/>
        <v>0</v>
      </c>
      <c r="AK126" t="b">
        <f t="shared" si="43"/>
        <v>0</v>
      </c>
      <c r="AM126" t="b">
        <f t="shared" si="44"/>
        <v>0</v>
      </c>
      <c r="AN126" t="b">
        <f t="shared" si="45"/>
        <v>0</v>
      </c>
      <c r="AO126" t="b">
        <f t="shared" si="46"/>
        <v>0</v>
      </c>
      <c r="AP126" t="b">
        <f t="shared" si="47"/>
        <v>0</v>
      </c>
      <c r="AQ126" t="b">
        <f t="shared" si="48"/>
        <v>0</v>
      </c>
      <c r="AR126" t="b">
        <f t="shared" si="49"/>
        <v>0</v>
      </c>
      <c r="AS126" t="b">
        <f t="shared" si="50"/>
        <v>0</v>
      </c>
      <c r="AT126" t="b">
        <f t="shared" si="51"/>
        <v>0</v>
      </c>
      <c r="AU126" t="b">
        <f t="shared" si="52"/>
        <v>0</v>
      </c>
      <c r="AV126" t="b">
        <f t="shared" si="53"/>
        <v>0</v>
      </c>
      <c r="AW126" t="b">
        <f t="shared" si="54"/>
        <v>0</v>
      </c>
      <c r="AX126" t="b">
        <f t="shared" si="55"/>
        <v>0</v>
      </c>
    </row>
    <row r="127" spans="1:50">
      <c r="A127" s="3" t="s">
        <v>250</v>
      </c>
      <c r="B127" s="6" t="s">
        <v>193</v>
      </c>
      <c r="C127" s="6"/>
      <c r="D127" s="34"/>
      <c r="E127" s="35"/>
      <c r="F127" s="35"/>
      <c r="G127" s="35"/>
      <c r="H127" s="35"/>
      <c r="I127" s="37" t="str">
        <f t="shared" si="28"/>
        <v/>
      </c>
      <c r="J127" s="35"/>
      <c r="K127" s="35"/>
      <c r="L127" s="35"/>
      <c r="M127" s="35"/>
      <c r="N127" s="37" t="str">
        <f t="shared" si="29"/>
        <v/>
      </c>
      <c r="O127" s="35"/>
      <c r="P127" s="35"/>
      <c r="Q127" s="35"/>
      <c r="R127" s="35"/>
      <c r="S127" s="37" t="str">
        <f t="shared" si="30"/>
        <v/>
      </c>
      <c r="T127" s="35" t="s">
        <v>192</v>
      </c>
      <c r="U127" s="35" t="s">
        <v>192</v>
      </c>
      <c r="V127" s="35" t="s">
        <v>192</v>
      </c>
      <c r="W127" s="35" t="s">
        <v>192</v>
      </c>
      <c r="X127" s="37" t="str">
        <f t="shared" si="31"/>
        <v>X</v>
      </c>
      <c r="Z127" t="b">
        <f t="shared" si="32"/>
        <v>0</v>
      </c>
      <c r="AA127" t="b">
        <f t="shared" si="33"/>
        <v>0</v>
      </c>
      <c r="AB127" t="b">
        <f t="shared" si="34"/>
        <v>0</v>
      </c>
      <c r="AC127" t="b">
        <f t="shared" si="35"/>
        <v>0</v>
      </c>
      <c r="AD127" t="b">
        <f t="shared" si="36"/>
        <v>0</v>
      </c>
      <c r="AE127" t="b">
        <f t="shared" si="37"/>
        <v>1</v>
      </c>
      <c r="AF127" t="b">
        <f t="shared" si="38"/>
        <v>0</v>
      </c>
      <c r="AG127" t="b">
        <f t="shared" si="39"/>
        <v>0</v>
      </c>
      <c r="AH127" t="b">
        <f t="shared" si="40"/>
        <v>0</v>
      </c>
      <c r="AI127" t="b">
        <f t="shared" si="41"/>
        <v>1</v>
      </c>
      <c r="AJ127" t="b">
        <f t="shared" si="42"/>
        <v>0</v>
      </c>
      <c r="AK127" t="b">
        <f t="shared" si="43"/>
        <v>1</v>
      </c>
      <c r="AM127" t="b">
        <f t="shared" si="44"/>
        <v>0</v>
      </c>
      <c r="AN127" t="b">
        <f t="shared" si="45"/>
        <v>0</v>
      </c>
      <c r="AO127" t="b">
        <f t="shared" si="46"/>
        <v>0</v>
      </c>
      <c r="AP127" t="b">
        <f t="shared" si="47"/>
        <v>0</v>
      </c>
      <c r="AQ127" t="b">
        <f t="shared" si="48"/>
        <v>0</v>
      </c>
      <c r="AR127" t="b">
        <f t="shared" si="49"/>
        <v>1</v>
      </c>
      <c r="AS127" t="b">
        <f t="shared" si="50"/>
        <v>0</v>
      </c>
      <c r="AT127" t="b">
        <f t="shared" si="51"/>
        <v>0</v>
      </c>
      <c r="AU127" t="b">
        <f t="shared" si="52"/>
        <v>0</v>
      </c>
      <c r="AV127" t="b">
        <f t="shared" si="53"/>
        <v>1</v>
      </c>
      <c r="AW127" t="b">
        <f t="shared" si="54"/>
        <v>0</v>
      </c>
      <c r="AX127" t="b">
        <f t="shared" si="55"/>
        <v>1</v>
      </c>
    </row>
    <row r="128" spans="1:50">
      <c r="A128" s="3" t="s">
        <v>251</v>
      </c>
      <c r="B128" s="6" t="s">
        <v>193</v>
      </c>
      <c r="C128" s="6"/>
      <c r="D128" s="34"/>
      <c r="E128" s="35"/>
      <c r="F128" s="35"/>
      <c r="G128" s="35"/>
      <c r="H128" s="35"/>
      <c r="I128" s="37" t="str">
        <f t="shared" si="28"/>
        <v/>
      </c>
      <c r="J128" s="35"/>
      <c r="K128" s="35"/>
      <c r="L128" s="35"/>
      <c r="M128" s="35"/>
      <c r="N128" s="37" t="str">
        <f t="shared" si="29"/>
        <v/>
      </c>
      <c r="O128" s="35"/>
      <c r="P128" s="35"/>
      <c r="Q128" s="35"/>
      <c r="R128" s="35"/>
      <c r="S128" s="37" t="str">
        <f t="shared" si="30"/>
        <v/>
      </c>
      <c r="T128" s="35"/>
      <c r="U128" s="35"/>
      <c r="V128" s="35"/>
      <c r="W128" s="35"/>
      <c r="X128" s="37" t="str">
        <f t="shared" si="31"/>
        <v/>
      </c>
      <c r="Z128" t="b">
        <f t="shared" si="32"/>
        <v>0</v>
      </c>
      <c r="AA128" t="b">
        <f t="shared" si="33"/>
        <v>0</v>
      </c>
      <c r="AB128" t="b">
        <f t="shared" si="34"/>
        <v>0</v>
      </c>
      <c r="AC128" t="b">
        <f t="shared" si="35"/>
        <v>0</v>
      </c>
      <c r="AD128" t="b">
        <f t="shared" si="36"/>
        <v>0</v>
      </c>
      <c r="AE128" t="b">
        <f t="shared" si="37"/>
        <v>0</v>
      </c>
      <c r="AF128" t="b">
        <f t="shared" si="38"/>
        <v>0</v>
      </c>
      <c r="AG128" t="b">
        <f t="shared" si="39"/>
        <v>0</v>
      </c>
      <c r="AH128" t="b">
        <f t="shared" si="40"/>
        <v>0</v>
      </c>
      <c r="AI128" t="b">
        <f t="shared" si="41"/>
        <v>0</v>
      </c>
      <c r="AJ128" t="b">
        <f t="shared" si="42"/>
        <v>0</v>
      </c>
      <c r="AK128" t="b">
        <f t="shared" si="43"/>
        <v>0</v>
      </c>
      <c r="AM128" t="b">
        <f t="shared" si="44"/>
        <v>0</v>
      </c>
      <c r="AN128" t="b">
        <f t="shared" si="45"/>
        <v>0</v>
      </c>
      <c r="AO128" t="b">
        <f t="shared" si="46"/>
        <v>0</v>
      </c>
      <c r="AP128" t="b">
        <f t="shared" si="47"/>
        <v>0</v>
      </c>
      <c r="AQ128" t="b">
        <f t="shared" si="48"/>
        <v>0</v>
      </c>
      <c r="AR128" t="b">
        <f t="shared" si="49"/>
        <v>0</v>
      </c>
      <c r="AS128" t="b">
        <f t="shared" si="50"/>
        <v>0</v>
      </c>
      <c r="AT128" t="b">
        <f t="shared" si="51"/>
        <v>0</v>
      </c>
      <c r="AU128" t="b">
        <f t="shared" si="52"/>
        <v>0</v>
      </c>
      <c r="AV128" t="b">
        <f t="shared" si="53"/>
        <v>0</v>
      </c>
      <c r="AW128" t="b">
        <f t="shared" si="54"/>
        <v>0</v>
      </c>
      <c r="AX128" t="b">
        <f t="shared" si="55"/>
        <v>0</v>
      </c>
    </row>
    <row r="129" spans="1:50">
      <c r="A129" s="3" t="s">
        <v>298</v>
      </c>
      <c r="B129" s="6" t="s">
        <v>193</v>
      </c>
      <c r="C129" s="6"/>
      <c r="D129" s="34"/>
      <c r="E129" s="35"/>
      <c r="F129" s="35" t="s">
        <v>192</v>
      </c>
      <c r="G129" s="35" t="s">
        <v>192</v>
      </c>
      <c r="H129" s="35"/>
      <c r="I129" s="37" t="str">
        <f t="shared" si="28"/>
        <v>X</v>
      </c>
      <c r="J129" s="35"/>
      <c r="K129" s="35"/>
      <c r="L129" s="35"/>
      <c r="M129" s="35"/>
      <c r="N129" s="37" t="str">
        <f t="shared" si="29"/>
        <v/>
      </c>
      <c r="O129" s="35"/>
      <c r="P129" s="35"/>
      <c r="Q129" s="35"/>
      <c r="R129" s="35"/>
      <c r="S129" s="37" t="str">
        <f t="shared" si="30"/>
        <v/>
      </c>
      <c r="T129" s="35" t="s">
        <v>192</v>
      </c>
      <c r="U129" s="35"/>
      <c r="V129" s="35"/>
      <c r="W129" s="35"/>
      <c r="X129" s="37" t="str">
        <f t="shared" si="31"/>
        <v>X</v>
      </c>
      <c r="Z129" t="b">
        <f t="shared" si="32"/>
        <v>0</v>
      </c>
      <c r="AA129" t="b">
        <f t="shared" si="33"/>
        <v>1</v>
      </c>
      <c r="AB129" t="b">
        <f t="shared" si="34"/>
        <v>0</v>
      </c>
      <c r="AC129" t="b">
        <f t="shared" si="35"/>
        <v>1</v>
      </c>
      <c r="AD129" t="b">
        <f t="shared" si="36"/>
        <v>1</v>
      </c>
      <c r="AE129" t="b">
        <f t="shared" si="37"/>
        <v>1</v>
      </c>
      <c r="AF129" t="b">
        <f t="shared" si="38"/>
        <v>0</v>
      </c>
      <c r="AG129" t="b">
        <f t="shared" si="39"/>
        <v>0</v>
      </c>
      <c r="AH129" t="b">
        <f t="shared" si="40"/>
        <v>0</v>
      </c>
      <c r="AI129" t="b">
        <f t="shared" si="41"/>
        <v>1</v>
      </c>
      <c r="AJ129" t="b">
        <f t="shared" si="42"/>
        <v>0</v>
      </c>
      <c r="AK129" t="b">
        <f t="shared" si="43"/>
        <v>1</v>
      </c>
      <c r="AM129" t="b">
        <f t="shared" si="44"/>
        <v>0</v>
      </c>
      <c r="AN129" t="b">
        <f t="shared" si="45"/>
        <v>1</v>
      </c>
      <c r="AO129" t="b">
        <f t="shared" si="46"/>
        <v>0</v>
      </c>
      <c r="AP129" t="b">
        <f t="shared" si="47"/>
        <v>1</v>
      </c>
      <c r="AQ129" t="b">
        <f t="shared" si="48"/>
        <v>1</v>
      </c>
      <c r="AR129" t="b">
        <f t="shared" si="49"/>
        <v>1</v>
      </c>
      <c r="AS129" t="b">
        <f t="shared" si="50"/>
        <v>0</v>
      </c>
      <c r="AT129" t="b">
        <f t="shared" si="51"/>
        <v>0</v>
      </c>
      <c r="AU129" t="b">
        <f t="shared" si="52"/>
        <v>0</v>
      </c>
      <c r="AV129" t="b">
        <f t="shared" si="53"/>
        <v>1</v>
      </c>
      <c r="AW129" t="b">
        <f t="shared" si="54"/>
        <v>0</v>
      </c>
      <c r="AX129" t="b">
        <f t="shared" si="55"/>
        <v>1</v>
      </c>
    </row>
    <row r="130" spans="1:50">
      <c r="A130" s="3" t="s">
        <v>349</v>
      </c>
      <c r="B130" s="6" t="s">
        <v>196</v>
      </c>
      <c r="C130" t="s">
        <v>110</v>
      </c>
      <c r="D130" s="34"/>
      <c r="E130" s="35"/>
      <c r="F130" s="35"/>
      <c r="G130" s="35"/>
      <c r="H130" s="35"/>
      <c r="I130" s="37" t="str">
        <f t="shared" si="28"/>
        <v/>
      </c>
      <c r="J130" s="35" t="s">
        <v>192</v>
      </c>
      <c r="K130" s="35"/>
      <c r="L130" s="35"/>
      <c r="M130" s="35"/>
      <c r="N130" s="37" t="str">
        <f t="shared" si="29"/>
        <v>X</v>
      </c>
      <c r="O130" s="35"/>
      <c r="P130" s="35"/>
      <c r="Q130" s="35"/>
      <c r="R130" s="35"/>
      <c r="S130" s="37" t="str">
        <f t="shared" si="30"/>
        <v/>
      </c>
      <c r="T130" s="35"/>
      <c r="U130" s="35"/>
      <c r="V130" s="35"/>
      <c r="W130" s="35"/>
      <c r="X130" s="37" t="str">
        <f t="shared" si="31"/>
        <v/>
      </c>
      <c r="Z130" t="b">
        <f t="shared" si="32"/>
        <v>0</v>
      </c>
      <c r="AA130" t="b">
        <f t="shared" si="33"/>
        <v>1</v>
      </c>
      <c r="AB130" t="b">
        <f t="shared" si="34"/>
        <v>0</v>
      </c>
      <c r="AC130" t="b">
        <f t="shared" si="35"/>
        <v>0</v>
      </c>
      <c r="AD130" t="b">
        <f t="shared" si="36"/>
        <v>0</v>
      </c>
      <c r="AE130" t="b">
        <f t="shared" si="37"/>
        <v>0</v>
      </c>
      <c r="AF130" t="b">
        <f t="shared" si="38"/>
        <v>0</v>
      </c>
      <c r="AG130" t="b">
        <f t="shared" si="39"/>
        <v>1</v>
      </c>
      <c r="AH130" t="b">
        <f t="shared" si="40"/>
        <v>0</v>
      </c>
      <c r="AI130" t="b">
        <f t="shared" si="41"/>
        <v>1</v>
      </c>
      <c r="AJ130" t="b">
        <f t="shared" si="42"/>
        <v>0</v>
      </c>
      <c r="AK130" t="b">
        <f t="shared" si="43"/>
        <v>0</v>
      </c>
      <c r="AM130" t="b">
        <f t="shared" si="44"/>
        <v>0</v>
      </c>
      <c r="AN130" t="b">
        <f t="shared" si="45"/>
        <v>0</v>
      </c>
      <c r="AO130" t="b">
        <f t="shared" si="46"/>
        <v>0</v>
      </c>
      <c r="AP130" t="b">
        <f t="shared" si="47"/>
        <v>0</v>
      </c>
      <c r="AQ130" t="b">
        <f t="shared" si="48"/>
        <v>0</v>
      </c>
      <c r="AR130" t="b">
        <f t="shared" si="49"/>
        <v>0</v>
      </c>
      <c r="AS130" t="b">
        <f t="shared" si="50"/>
        <v>0</v>
      </c>
      <c r="AT130" t="b">
        <f t="shared" si="51"/>
        <v>0</v>
      </c>
      <c r="AU130" t="b">
        <f t="shared" si="52"/>
        <v>0</v>
      </c>
      <c r="AV130" t="b">
        <f t="shared" si="53"/>
        <v>0</v>
      </c>
      <c r="AW130" t="b">
        <f t="shared" si="54"/>
        <v>0</v>
      </c>
      <c r="AX130" t="b">
        <f t="shared" si="55"/>
        <v>0</v>
      </c>
    </row>
    <row r="131" spans="1:50">
      <c r="A131" s="3" t="s">
        <v>350</v>
      </c>
      <c r="B131" s="6" t="s">
        <v>196</v>
      </c>
      <c r="C131" t="s">
        <v>110</v>
      </c>
      <c r="D131" s="34"/>
      <c r="E131" s="35"/>
      <c r="F131" s="35"/>
      <c r="G131" s="35"/>
      <c r="H131" s="35"/>
      <c r="I131" s="37" t="str">
        <f t="shared" ref="I131:I155" si="56">IF(COUNTA(E131:H131)&gt;0,"X","")</f>
        <v/>
      </c>
      <c r="J131" s="35"/>
      <c r="K131" s="35" t="s">
        <v>192</v>
      </c>
      <c r="L131" s="35"/>
      <c r="M131" s="35"/>
      <c r="N131" s="37" t="str">
        <f t="shared" ref="N131:N155" si="57">IF(COUNTA(J131:M131)&gt;0,"X","")</f>
        <v>X</v>
      </c>
      <c r="O131" s="35"/>
      <c r="P131" s="35"/>
      <c r="Q131" s="35"/>
      <c r="R131" s="35"/>
      <c r="S131" s="37" t="str">
        <f t="shared" ref="S131:S155" si="58">IF(COUNTA(O131:R131)&gt;0,"X","")</f>
        <v/>
      </c>
      <c r="T131" s="35"/>
      <c r="U131" s="35"/>
      <c r="V131" s="35"/>
      <c r="W131" s="35"/>
      <c r="X131" s="37" t="str">
        <f t="shared" ref="X131:X155" si="59">IF(COUNTA(T131:W131)&gt;0,"X","")</f>
        <v/>
      </c>
      <c r="Z131" t="b">
        <f t="shared" ref="Z131:Z155" si="60">AND(I131&lt;&gt;"",N131&lt;&gt;"")</f>
        <v>0</v>
      </c>
      <c r="AA131" t="b">
        <f t="shared" ref="AA131:AA155" si="61">OR(I131&lt;&gt;"",N131&lt;&gt;"")</f>
        <v>1</v>
      </c>
      <c r="AB131" t="b">
        <f t="shared" ref="AB131:AB155" si="62">AND(I131&lt;&gt;"",S131&lt;&gt;"")</f>
        <v>0</v>
      </c>
      <c r="AC131" t="b">
        <f t="shared" ref="AC131:AC155" si="63">OR(I131&lt;&gt;"",S131&lt;&gt;"")</f>
        <v>0</v>
      </c>
      <c r="AD131" t="b">
        <f t="shared" ref="AD131:AD155" si="64">AND(I131&lt;&gt;"",X131&lt;&gt;"")</f>
        <v>0</v>
      </c>
      <c r="AE131" t="b">
        <f t="shared" ref="AE131:AE155" si="65">OR(I131&lt;&gt;"",X131&lt;&gt;"")</f>
        <v>0</v>
      </c>
      <c r="AF131" t="b">
        <f t="shared" ref="AF131:AF155" si="66">AND(N131&lt;&gt;"",S131&lt;&gt;"")</f>
        <v>0</v>
      </c>
      <c r="AG131" t="b">
        <f t="shared" ref="AG131:AG155" si="67">OR(N131&lt;&gt;"",S131&lt;&gt;"")</f>
        <v>1</v>
      </c>
      <c r="AH131" t="b">
        <f t="shared" ref="AH131:AH155" si="68">AND(N131&lt;&gt;"",X131&lt;&gt;"")</f>
        <v>0</v>
      </c>
      <c r="AI131" t="b">
        <f t="shared" ref="AI131:AI155" si="69">OR(N131&lt;&gt;"",X131&lt;&gt;"")</f>
        <v>1</v>
      </c>
      <c r="AJ131" t="b">
        <f t="shared" ref="AJ131:AJ155" si="70">AND(S131&lt;&gt;"",X131&lt;&gt;"")</f>
        <v>0</v>
      </c>
      <c r="AK131" t="b">
        <f t="shared" ref="AK131:AK155" si="71">OR(S131&lt;&gt;"",X131&lt;&gt;"")</f>
        <v>0</v>
      </c>
      <c r="AM131" t="b">
        <f t="shared" ref="AM131:AM155" si="72">AND(I131&lt;&gt;"",N131&lt;&gt;"",B131="No")</f>
        <v>0</v>
      </c>
      <c r="AN131" t="b">
        <f t="shared" ref="AN131:AN155" si="73">AND(OR(I131&lt;&gt;"",N131&lt;&gt;""),B131="No")</f>
        <v>0</v>
      </c>
      <c r="AO131" t="b">
        <f t="shared" ref="AO131:AO155" si="74">AND(I131&lt;&gt;"",S131&lt;&gt;"",B131="No")</f>
        <v>0</v>
      </c>
      <c r="AP131" t="b">
        <f t="shared" ref="AP131:AP155" si="75">AND(OR(I131&lt;&gt;"",S131&lt;&gt;""),B131="No")</f>
        <v>0</v>
      </c>
      <c r="AQ131" t="b">
        <f t="shared" ref="AQ131:AQ155" si="76">AND(I131&lt;&gt;"",X131&lt;&gt;"",B131="No")</f>
        <v>0</v>
      </c>
      <c r="AR131" t="b">
        <f t="shared" ref="AR131:AR155" si="77">AND(OR(I131&lt;&gt;"",X131&lt;&gt;""),B131="No")</f>
        <v>0</v>
      </c>
      <c r="AS131" t="b">
        <f t="shared" ref="AS131:AS155" si="78">AND(N131&lt;&gt;"",S131&lt;&gt;"",B131="No")</f>
        <v>0</v>
      </c>
      <c r="AT131" t="b">
        <f t="shared" ref="AT131:AT155" si="79">AND(OR(N131&lt;&gt;"",S131&lt;&gt;""),B131="No")</f>
        <v>0</v>
      </c>
      <c r="AU131" t="b">
        <f t="shared" ref="AU131:AU155" si="80">AND(N131&lt;&gt;"",X131&lt;&gt;"",B131="No")</f>
        <v>0</v>
      </c>
      <c r="AV131" t="b">
        <f t="shared" ref="AV131:AV155" si="81">AND(OR(N131&lt;&gt;"",X131&lt;&gt;""),B131="No")</f>
        <v>0</v>
      </c>
      <c r="AW131" t="b">
        <f t="shared" ref="AW131:AW155" si="82">AND(S131&lt;&gt;"",X131&lt;&gt;"",B131="No")</f>
        <v>0</v>
      </c>
      <c r="AX131" t="b">
        <f t="shared" ref="AX131:AX155" si="83">AND(OR(S131&lt;&gt;"",X131&lt;&gt;""),B131="No")</f>
        <v>0</v>
      </c>
    </row>
    <row r="132" spans="1:50">
      <c r="A132" s="3" t="s">
        <v>497</v>
      </c>
      <c r="B132" s="6" t="s">
        <v>193</v>
      </c>
      <c r="C132" s="6"/>
      <c r="D132" s="34" t="s">
        <v>351</v>
      </c>
      <c r="E132" s="35"/>
      <c r="F132" s="35"/>
      <c r="G132" s="35"/>
      <c r="H132" s="35"/>
      <c r="I132" s="37" t="str">
        <f t="shared" si="56"/>
        <v/>
      </c>
      <c r="K132" s="27" t="s">
        <v>192</v>
      </c>
      <c r="L132" s="27" t="s">
        <v>192</v>
      </c>
      <c r="M132" s="27" t="s">
        <v>192</v>
      </c>
      <c r="N132" s="37" t="str">
        <f t="shared" si="57"/>
        <v>X</v>
      </c>
      <c r="O132" s="27" t="s">
        <v>192</v>
      </c>
      <c r="P132" s="27" t="s">
        <v>192</v>
      </c>
      <c r="Q132" s="27" t="s">
        <v>192</v>
      </c>
      <c r="R132" s="27" t="s">
        <v>192</v>
      </c>
      <c r="S132" s="37" t="str">
        <f t="shared" si="58"/>
        <v>X</v>
      </c>
      <c r="U132" s="27" t="s">
        <v>192</v>
      </c>
      <c r="W132" s="27" t="s">
        <v>192</v>
      </c>
      <c r="X132" s="37" t="str">
        <f t="shared" si="59"/>
        <v>X</v>
      </c>
      <c r="Z132" t="b">
        <f t="shared" si="60"/>
        <v>0</v>
      </c>
      <c r="AA132" t="b">
        <f t="shared" si="61"/>
        <v>1</v>
      </c>
      <c r="AB132" t="b">
        <f t="shared" si="62"/>
        <v>0</v>
      </c>
      <c r="AC132" t="b">
        <f t="shared" si="63"/>
        <v>1</v>
      </c>
      <c r="AD132" t="b">
        <f t="shared" si="64"/>
        <v>0</v>
      </c>
      <c r="AE132" t="b">
        <f t="shared" si="65"/>
        <v>1</v>
      </c>
      <c r="AF132" t="b">
        <f t="shared" si="66"/>
        <v>1</v>
      </c>
      <c r="AG132" t="b">
        <f t="shared" si="67"/>
        <v>1</v>
      </c>
      <c r="AH132" t="b">
        <f t="shared" si="68"/>
        <v>1</v>
      </c>
      <c r="AI132" t="b">
        <f t="shared" si="69"/>
        <v>1</v>
      </c>
      <c r="AJ132" t="b">
        <f t="shared" si="70"/>
        <v>1</v>
      </c>
      <c r="AK132" t="b">
        <f t="shared" si="71"/>
        <v>1</v>
      </c>
      <c r="AM132" t="b">
        <f t="shared" si="72"/>
        <v>0</v>
      </c>
      <c r="AN132" t="b">
        <f t="shared" si="73"/>
        <v>1</v>
      </c>
      <c r="AO132" t="b">
        <f t="shared" si="74"/>
        <v>0</v>
      </c>
      <c r="AP132" t="b">
        <f t="shared" si="75"/>
        <v>1</v>
      </c>
      <c r="AQ132" t="b">
        <f t="shared" si="76"/>
        <v>0</v>
      </c>
      <c r="AR132" t="b">
        <f t="shared" si="77"/>
        <v>1</v>
      </c>
      <c r="AS132" t="b">
        <f t="shared" si="78"/>
        <v>1</v>
      </c>
      <c r="AT132" t="b">
        <f t="shared" si="79"/>
        <v>1</v>
      </c>
      <c r="AU132" t="b">
        <f t="shared" si="80"/>
        <v>1</v>
      </c>
      <c r="AV132" t="b">
        <f t="shared" si="81"/>
        <v>1</v>
      </c>
      <c r="AW132" t="b">
        <f t="shared" si="82"/>
        <v>1</v>
      </c>
      <c r="AX132" t="b">
        <f t="shared" si="83"/>
        <v>1</v>
      </c>
    </row>
    <row r="133" spans="1:50">
      <c r="A133" s="3" t="s">
        <v>498</v>
      </c>
      <c r="B133" s="6" t="s">
        <v>193</v>
      </c>
      <c r="C133" s="6"/>
      <c r="D133" s="34" t="s">
        <v>253</v>
      </c>
      <c r="E133" s="27" t="s">
        <v>192</v>
      </c>
      <c r="F133" s="27" t="s">
        <v>220</v>
      </c>
      <c r="G133" s="27" t="s">
        <v>192</v>
      </c>
      <c r="H133" s="27" t="s">
        <v>192</v>
      </c>
      <c r="I133" s="37" t="str">
        <f t="shared" si="56"/>
        <v>X</v>
      </c>
      <c r="J133" s="35"/>
      <c r="K133" s="35"/>
      <c r="L133" s="35"/>
      <c r="M133" s="35"/>
      <c r="N133" s="37" t="str">
        <f t="shared" si="57"/>
        <v/>
      </c>
      <c r="O133" s="27" t="s">
        <v>192</v>
      </c>
      <c r="P133" s="27" t="s">
        <v>192</v>
      </c>
      <c r="Q133" s="27" t="s">
        <v>192</v>
      </c>
      <c r="S133" s="37" t="str">
        <f t="shared" si="58"/>
        <v>X</v>
      </c>
      <c r="T133" s="27" t="s">
        <v>220</v>
      </c>
      <c r="U133" s="27" t="s">
        <v>220</v>
      </c>
      <c r="V133" s="27" t="s">
        <v>220</v>
      </c>
      <c r="W133" s="27" t="s">
        <v>220</v>
      </c>
      <c r="X133" s="37" t="str">
        <f t="shared" si="59"/>
        <v>X</v>
      </c>
      <c r="Z133" t="b">
        <f t="shared" si="60"/>
        <v>0</v>
      </c>
      <c r="AA133" t="b">
        <f t="shared" si="61"/>
        <v>1</v>
      </c>
      <c r="AB133" t="b">
        <f t="shared" si="62"/>
        <v>1</v>
      </c>
      <c r="AC133" t="b">
        <f t="shared" si="63"/>
        <v>1</v>
      </c>
      <c r="AD133" t="b">
        <f t="shared" si="64"/>
        <v>1</v>
      </c>
      <c r="AE133" t="b">
        <f t="shared" si="65"/>
        <v>1</v>
      </c>
      <c r="AF133" t="b">
        <f t="shared" si="66"/>
        <v>0</v>
      </c>
      <c r="AG133" t="b">
        <f t="shared" si="67"/>
        <v>1</v>
      </c>
      <c r="AH133" t="b">
        <f t="shared" si="68"/>
        <v>0</v>
      </c>
      <c r="AI133" t="b">
        <f t="shared" si="69"/>
        <v>1</v>
      </c>
      <c r="AJ133" t="b">
        <f t="shared" si="70"/>
        <v>1</v>
      </c>
      <c r="AK133" t="b">
        <f t="shared" si="71"/>
        <v>1</v>
      </c>
      <c r="AM133" t="b">
        <f t="shared" si="72"/>
        <v>0</v>
      </c>
      <c r="AN133" t="b">
        <f t="shared" si="73"/>
        <v>1</v>
      </c>
      <c r="AO133" t="b">
        <f t="shared" si="74"/>
        <v>1</v>
      </c>
      <c r="AP133" t="b">
        <f t="shared" si="75"/>
        <v>1</v>
      </c>
      <c r="AQ133" t="b">
        <f t="shared" si="76"/>
        <v>1</v>
      </c>
      <c r="AR133" t="b">
        <f t="shared" si="77"/>
        <v>1</v>
      </c>
      <c r="AS133" t="b">
        <f t="shared" si="78"/>
        <v>0</v>
      </c>
      <c r="AT133" t="b">
        <f t="shared" si="79"/>
        <v>1</v>
      </c>
      <c r="AU133" t="b">
        <f t="shared" si="80"/>
        <v>0</v>
      </c>
      <c r="AV133" t="b">
        <f t="shared" si="81"/>
        <v>1</v>
      </c>
      <c r="AW133" t="b">
        <f t="shared" si="82"/>
        <v>1</v>
      </c>
      <c r="AX133" t="b">
        <f t="shared" si="83"/>
        <v>1</v>
      </c>
    </row>
    <row r="134" spans="1:50">
      <c r="A134" s="3" t="s">
        <v>499</v>
      </c>
      <c r="B134" s="6" t="s">
        <v>193</v>
      </c>
      <c r="C134" s="6"/>
      <c r="D134" s="34" t="s">
        <v>254</v>
      </c>
      <c r="E134" s="27" t="s">
        <v>192</v>
      </c>
      <c r="H134" s="27" t="s">
        <v>192</v>
      </c>
      <c r="I134" s="37" t="str">
        <f t="shared" si="56"/>
        <v>X</v>
      </c>
      <c r="J134" s="27" t="s">
        <v>192</v>
      </c>
      <c r="K134" s="35"/>
      <c r="L134" s="35"/>
      <c r="M134" s="35"/>
      <c r="N134" s="37" t="str">
        <f t="shared" si="57"/>
        <v>X</v>
      </c>
      <c r="O134" s="27" t="s">
        <v>220</v>
      </c>
      <c r="P134" s="27" t="s">
        <v>220</v>
      </c>
      <c r="S134" s="37" t="str">
        <f t="shared" si="58"/>
        <v>X</v>
      </c>
      <c r="T134" s="27" t="s">
        <v>192</v>
      </c>
      <c r="W134" s="27" t="s">
        <v>192</v>
      </c>
      <c r="X134" s="37" t="str">
        <f t="shared" si="59"/>
        <v>X</v>
      </c>
      <c r="Z134" t="b">
        <f t="shared" si="60"/>
        <v>1</v>
      </c>
      <c r="AA134" t="b">
        <f t="shared" si="61"/>
        <v>1</v>
      </c>
      <c r="AB134" t="b">
        <f t="shared" si="62"/>
        <v>1</v>
      </c>
      <c r="AC134" t="b">
        <f t="shared" si="63"/>
        <v>1</v>
      </c>
      <c r="AD134" t="b">
        <f t="shared" si="64"/>
        <v>1</v>
      </c>
      <c r="AE134" t="b">
        <f t="shared" si="65"/>
        <v>1</v>
      </c>
      <c r="AF134" t="b">
        <f t="shared" si="66"/>
        <v>1</v>
      </c>
      <c r="AG134" t="b">
        <f t="shared" si="67"/>
        <v>1</v>
      </c>
      <c r="AH134" t="b">
        <f t="shared" si="68"/>
        <v>1</v>
      </c>
      <c r="AI134" t="b">
        <f t="shared" si="69"/>
        <v>1</v>
      </c>
      <c r="AJ134" t="b">
        <f t="shared" si="70"/>
        <v>1</v>
      </c>
      <c r="AK134" t="b">
        <f t="shared" si="71"/>
        <v>1</v>
      </c>
      <c r="AM134" t="b">
        <f t="shared" si="72"/>
        <v>1</v>
      </c>
      <c r="AN134" t="b">
        <f t="shared" si="73"/>
        <v>1</v>
      </c>
      <c r="AO134" t="b">
        <f t="shared" si="74"/>
        <v>1</v>
      </c>
      <c r="AP134" t="b">
        <f t="shared" si="75"/>
        <v>1</v>
      </c>
      <c r="AQ134" t="b">
        <f t="shared" si="76"/>
        <v>1</v>
      </c>
      <c r="AR134" t="b">
        <f t="shared" si="77"/>
        <v>1</v>
      </c>
      <c r="AS134" t="b">
        <f t="shared" si="78"/>
        <v>1</v>
      </c>
      <c r="AT134" t="b">
        <f t="shared" si="79"/>
        <v>1</v>
      </c>
      <c r="AU134" t="b">
        <f t="shared" si="80"/>
        <v>1</v>
      </c>
      <c r="AV134" t="b">
        <f t="shared" si="81"/>
        <v>1</v>
      </c>
      <c r="AW134" t="b">
        <f t="shared" si="82"/>
        <v>1</v>
      </c>
      <c r="AX134" t="b">
        <f t="shared" si="83"/>
        <v>1</v>
      </c>
    </row>
    <row r="135" spans="1:50">
      <c r="A135" s="3" t="s">
        <v>299</v>
      </c>
      <c r="B135" s="6" t="s">
        <v>193</v>
      </c>
      <c r="C135" s="6"/>
      <c r="D135" s="34"/>
      <c r="E135" s="35" t="s">
        <v>192</v>
      </c>
      <c r="F135" s="35"/>
      <c r="G135" s="35"/>
      <c r="H135" s="35"/>
      <c r="I135" s="37" t="str">
        <f t="shared" si="56"/>
        <v>X</v>
      </c>
      <c r="J135" s="35"/>
      <c r="K135" s="35"/>
      <c r="L135" s="35"/>
      <c r="M135" s="35"/>
      <c r="N135" s="37" t="str">
        <f t="shared" si="57"/>
        <v/>
      </c>
      <c r="O135" s="35"/>
      <c r="P135" s="35"/>
      <c r="Q135" s="35"/>
      <c r="R135" s="35"/>
      <c r="S135" s="37" t="str">
        <f t="shared" si="58"/>
        <v/>
      </c>
      <c r="T135" s="35"/>
      <c r="U135" s="35"/>
      <c r="V135" s="35"/>
      <c r="W135" s="35"/>
      <c r="X135" s="37" t="str">
        <f t="shared" si="59"/>
        <v/>
      </c>
      <c r="Z135" t="b">
        <f t="shared" si="60"/>
        <v>0</v>
      </c>
      <c r="AA135" t="b">
        <f t="shared" si="61"/>
        <v>1</v>
      </c>
      <c r="AB135" t="b">
        <f t="shared" si="62"/>
        <v>0</v>
      </c>
      <c r="AC135" t="b">
        <f t="shared" si="63"/>
        <v>1</v>
      </c>
      <c r="AD135" t="b">
        <f t="shared" si="64"/>
        <v>0</v>
      </c>
      <c r="AE135" t="b">
        <f t="shared" si="65"/>
        <v>1</v>
      </c>
      <c r="AF135" t="b">
        <f t="shared" si="66"/>
        <v>0</v>
      </c>
      <c r="AG135" t="b">
        <f t="shared" si="67"/>
        <v>0</v>
      </c>
      <c r="AH135" t="b">
        <f t="shared" si="68"/>
        <v>0</v>
      </c>
      <c r="AI135" t="b">
        <f t="shared" si="69"/>
        <v>0</v>
      </c>
      <c r="AJ135" t="b">
        <f t="shared" si="70"/>
        <v>0</v>
      </c>
      <c r="AK135" t="b">
        <f t="shared" si="71"/>
        <v>0</v>
      </c>
      <c r="AM135" t="b">
        <f t="shared" si="72"/>
        <v>0</v>
      </c>
      <c r="AN135" t="b">
        <f t="shared" si="73"/>
        <v>1</v>
      </c>
      <c r="AO135" t="b">
        <f t="shared" si="74"/>
        <v>0</v>
      </c>
      <c r="AP135" t="b">
        <f t="shared" si="75"/>
        <v>1</v>
      </c>
      <c r="AQ135" t="b">
        <f t="shared" si="76"/>
        <v>0</v>
      </c>
      <c r="AR135" t="b">
        <f t="shared" si="77"/>
        <v>1</v>
      </c>
      <c r="AS135" t="b">
        <f t="shared" si="78"/>
        <v>0</v>
      </c>
      <c r="AT135" t="b">
        <f t="shared" si="79"/>
        <v>0</v>
      </c>
      <c r="AU135" t="b">
        <f t="shared" si="80"/>
        <v>0</v>
      </c>
      <c r="AV135" t="b">
        <f t="shared" si="81"/>
        <v>0</v>
      </c>
      <c r="AW135" t="b">
        <f t="shared" si="82"/>
        <v>0</v>
      </c>
      <c r="AX135" t="b">
        <f t="shared" si="83"/>
        <v>0</v>
      </c>
    </row>
    <row r="136" spans="1:50">
      <c r="A136" s="3" t="s">
        <v>255</v>
      </c>
      <c r="B136" s="6" t="s">
        <v>193</v>
      </c>
      <c r="C136" s="6"/>
      <c r="D136" s="34"/>
      <c r="E136" s="35"/>
      <c r="F136" s="35" t="s">
        <v>192</v>
      </c>
      <c r="G136" s="35" t="s">
        <v>192</v>
      </c>
      <c r="H136" s="35" t="s">
        <v>192</v>
      </c>
      <c r="I136" s="37" t="str">
        <f t="shared" si="56"/>
        <v>X</v>
      </c>
      <c r="J136" s="35"/>
      <c r="K136" s="35"/>
      <c r="L136" s="35"/>
      <c r="M136" s="35"/>
      <c r="N136" s="37" t="str">
        <f t="shared" si="57"/>
        <v/>
      </c>
      <c r="O136" s="35"/>
      <c r="P136" s="35"/>
      <c r="Q136" s="35"/>
      <c r="R136" s="35"/>
      <c r="S136" s="37" t="str">
        <f t="shared" si="58"/>
        <v/>
      </c>
      <c r="T136" s="35" t="s">
        <v>192</v>
      </c>
      <c r="U136" s="35" t="s">
        <v>192</v>
      </c>
      <c r="V136" s="35" t="s">
        <v>192</v>
      </c>
      <c r="W136" s="35" t="s">
        <v>192</v>
      </c>
      <c r="X136" s="37" t="str">
        <f t="shared" si="59"/>
        <v>X</v>
      </c>
      <c r="Z136" t="b">
        <f t="shared" si="60"/>
        <v>0</v>
      </c>
      <c r="AA136" t="b">
        <f t="shared" si="61"/>
        <v>1</v>
      </c>
      <c r="AB136" t="b">
        <f t="shared" si="62"/>
        <v>0</v>
      </c>
      <c r="AC136" t="b">
        <f t="shared" si="63"/>
        <v>1</v>
      </c>
      <c r="AD136" t="b">
        <f t="shared" si="64"/>
        <v>1</v>
      </c>
      <c r="AE136" t="b">
        <f t="shared" si="65"/>
        <v>1</v>
      </c>
      <c r="AF136" t="b">
        <f t="shared" si="66"/>
        <v>0</v>
      </c>
      <c r="AG136" t="b">
        <f t="shared" si="67"/>
        <v>0</v>
      </c>
      <c r="AH136" t="b">
        <f t="shared" si="68"/>
        <v>0</v>
      </c>
      <c r="AI136" t="b">
        <f t="shared" si="69"/>
        <v>1</v>
      </c>
      <c r="AJ136" t="b">
        <f t="shared" si="70"/>
        <v>0</v>
      </c>
      <c r="AK136" t="b">
        <f t="shared" si="71"/>
        <v>1</v>
      </c>
      <c r="AM136" t="b">
        <f t="shared" si="72"/>
        <v>0</v>
      </c>
      <c r="AN136" t="b">
        <f t="shared" si="73"/>
        <v>1</v>
      </c>
      <c r="AO136" t="b">
        <f t="shared" si="74"/>
        <v>0</v>
      </c>
      <c r="AP136" t="b">
        <f t="shared" si="75"/>
        <v>1</v>
      </c>
      <c r="AQ136" t="b">
        <f t="shared" si="76"/>
        <v>1</v>
      </c>
      <c r="AR136" t="b">
        <f t="shared" si="77"/>
        <v>1</v>
      </c>
      <c r="AS136" t="b">
        <f t="shared" si="78"/>
        <v>0</v>
      </c>
      <c r="AT136" t="b">
        <f t="shared" si="79"/>
        <v>0</v>
      </c>
      <c r="AU136" t="b">
        <f t="shared" si="80"/>
        <v>0</v>
      </c>
      <c r="AV136" t="b">
        <f t="shared" si="81"/>
        <v>1</v>
      </c>
      <c r="AW136" t="b">
        <f t="shared" si="82"/>
        <v>0</v>
      </c>
      <c r="AX136" t="b">
        <f t="shared" si="83"/>
        <v>1</v>
      </c>
    </row>
    <row r="137" spans="1:50">
      <c r="A137" s="3" t="s">
        <v>300</v>
      </c>
      <c r="B137" s="6" t="s">
        <v>193</v>
      </c>
      <c r="C137" s="6"/>
      <c r="D137" s="34"/>
      <c r="E137" s="35"/>
      <c r="F137" s="35"/>
      <c r="G137" s="35" t="s">
        <v>192</v>
      </c>
      <c r="H137" s="35"/>
      <c r="I137" s="37" t="str">
        <f t="shared" si="56"/>
        <v>X</v>
      </c>
      <c r="J137" s="35"/>
      <c r="K137" s="35"/>
      <c r="L137" s="35"/>
      <c r="M137" s="35"/>
      <c r="N137" s="37" t="str">
        <f t="shared" si="57"/>
        <v/>
      </c>
      <c r="O137" s="35" t="s">
        <v>192</v>
      </c>
      <c r="P137" s="35"/>
      <c r="Q137" s="35"/>
      <c r="R137" s="35"/>
      <c r="S137" s="37" t="str">
        <f t="shared" si="58"/>
        <v>X</v>
      </c>
      <c r="T137" s="35"/>
      <c r="U137" s="35"/>
      <c r="V137" s="35"/>
      <c r="W137" s="35"/>
      <c r="X137" s="37" t="str">
        <f t="shared" si="59"/>
        <v/>
      </c>
      <c r="Z137" t="b">
        <f t="shared" si="60"/>
        <v>0</v>
      </c>
      <c r="AA137" t="b">
        <f t="shared" si="61"/>
        <v>1</v>
      </c>
      <c r="AB137" t="b">
        <f t="shared" si="62"/>
        <v>1</v>
      </c>
      <c r="AC137" t="b">
        <f t="shared" si="63"/>
        <v>1</v>
      </c>
      <c r="AD137" t="b">
        <f t="shared" si="64"/>
        <v>0</v>
      </c>
      <c r="AE137" t="b">
        <f t="shared" si="65"/>
        <v>1</v>
      </c>
      <c r="AF137" t="b">
        <f t="shared" si="66"/>
        <v>0</v>
      </c>
      <c r="AG137" t="b">
        <f t="shared" si="67"/>
        <v>1</v>
      </c>
      <c r="AH137" t="b">
        <f t="shared" si="68"/>
        <v>0</v>
      </c>
      <c r="AI137" t="b">
        <f t="shared" si="69"/>
        <v>0</v>
      </c>
      <c r="AJ137" t="b">
        <f t="shared" si="70"/>
        <v>0</v>
      </c>
      <c r="AK137" t="b">
        <f t="shared" si="71"/>
        <v>1</v>
      </c>
      <c r="AM137" t="b">
        <f t="shared" si="72"/>
        <v>0</v>
      </c>
      <c r="AN137" t="b">
        <f t="shared" si="73"/>
        <v>1</v>
      </c>
      <c r="AO137" t="b">
        <f t="shared" si="74"/>
        <v>1</v>
      </c>
      <c r="AP137" t="b">
        <f t="shared" si="75"/>
        <v>1</v>
      </c>
      <c r="AQ137" t="b">
        <f t="shared" si="76"/>
        <v>0</v>
      </c>
      <c r="AR137" t="b">
        <f t="shared" si="77"/>
        <v>1</v>
      </c>
      <c r="AS137" t="b">
        <f t="shared" si="78"/>
        <v>0</v>
      </c>
      <c r="AT137" t="b">
        <f t="shared" si="79"/>
        <v>1</v>
      </c>
      <c r="AU137" t="b">
        <f t="shared" si="80"/>
        <v>0</v>
      </c>
      <c r="AV137" t="b">
        <f t="shared" si="81"/>
        <v>0</v>
      </c>
      <c r="AW137" t="b">
        <f t="shared" si="82"/>
        <v>0</v>
      </c>
      <c r="AX137" t="b">
        <f t="shared" si="83"/>
        <v>1</v>
      </c>
    </row>
    <row r="138" spans="1:50">
      <c r="A138" s="3" t="s">
        <v>500</v>
      </c>
      <c r="B138" s="6" t="s">
        <v>193</v>
      </c>
      <c r="C138" s="6"/>
      <c r="D138" s="34"/>
      <c r="E138" s="35"/>
      <c r="F138" s="35"/>
      <c r="G138" s="35"/>
      <c r="H138" s="35"/>
      <c r="I138" s="37" t="str">
        <f t="shared" si="56"/>
        <v/>
      </c>
      <c r="J138" s="35"/>
      <c r="K138" s="35"/>
      <c r="L138" s="35"/>
      <c r="M138" s="35"/>
      <c r="N138" s="37" t="str">
        <f t="shared" si="57"/>
        <v/>
      </c>
      <c r="O138" s="35"/>
      <c r="P138" s="35"/>
      <c r="Q138" s="35"/>
      <c r="R138" s="35"/>
      <c r="S138" s="37" t="str">
        <f t="shared" si="58"/>
        <v/>
      </c>
      <c r="T138" s="35"/>
      <c r="U138" s="35"/>
      <c r="V138" s="35"/>
      <c r="W138" s="35"/>
      <c r="X138" s="37" t="str">
        <f t="shared" si="59"/>
        <v/>
      </c>
      <c r="Z138" t="b">
        <f t="shared" si="60"/>
        <v>0</v>
      </c>
      <c r="AA138" t="b">
        <f t="shared" si="61"/>
        <v>0</v>
      </c>
      <c r="AB138" t="b">
        <f t="shared" si="62"/>
        <v>0</v>
      </c>
      <c r="AC138" t="b">
        <f t="shared" si="63"/>
        <v>0</v>
      </c>
      <c r="AD138" t="b">
        <f t="shared" si="64"/>
        <v>0</v>
      </c>
      <c r="AE138" t="b">
        <f t="shared" si="65"/>
        <v>0</v>
      </c>
      <c r="AF138" t="b">
        <f t="shared" si="66"/>
        <v>0</v>
      </c>
      <c r="AG138" t="b">
        <f t="shared" si="67"/>
        <v>0</v>
      </c>
      <c r="AH138" t="b">
        <f t="shared" si="68"/>
        <v>0</v>
      </c>
      <c r="AI138" t="b">
        <f t="shared" si="69"/>
        <v>0</v>
      </c>
      <c r="AJ138" t="b">
        <f t="shared" si="70"/>
        <v>0</v>
      </c>
      <c r="AK138" t="b">
        <f t="shared" si="71"/>
        <v>0</v>
      </c>
      <c r="AM138" t="b">
        <f t="shared" si="72"/>
        <v>0</v>
      </c>
      <c r="AN138" t="b">
        <f t="shared" si="73"/>
        <v>0</v>
      </c>
      <c r="AO138" t="b">
        <f t="shared" si="74"/>
        <v>0</v>
      </c>
      <c r="AP138" t="b">
        <f t="shared" si="75"/>
        <v>0</v>
      </c>
      <c r="AQ138" t="b">
        <f t="shared" si="76"/>
        <v>0</v>
      </c>
      <c r="AR138" t="b">
        <f t="shared" si="77"/>
        <v>0</v>
      </c>
      <c r="AS138" t="b">
        <f t="shared" si="78"/>
        <v>0</v>
      </c>
      <c r="AT138" t="b">
        <f t="shared" si="79"/>
        <v>0</v>
      </c>
      <c r="AU138" t="b">
        <f t="shared" si="80"/>
        <v>0</v>
      </c>
      <c r="AV138" t="b">
        <f t="shared" si="81"/>
        <v>0</v>
      </c>
      <c r="AW138" t="b">
        <f t="shared" si="82"/>
        <v>0</v>
      </c>
      <c r="AX138" t="b">
        <f t="shared" si="83"/>
        <v>0</v>
      </c>
    </row>
    <row r="139" spans="1:50">
      <c r="A139" s="3" t="s">
        <v>501</v>
      </c>
      <c r="B139" s="6" t="s">
        <v>193</v>
      </c>
      <c r="C139" s="6"/>
      <c r="D139" s="34"/>
      <c r="E139" s="35"/>
      <c r="F139" s="35"/>
      <c r="G139" s="35"/>
      <c r="H139" s="35"/>
      <c r="I139" s="37" t="str">
        <f t="shared" si="56"/>
        <v/>
      </c>
      <c r="J139" s="35"/>
      <c r="K139" s="35"/>
      <c r="L139" s="35"/>
      <c r="M139" s="35"/>
      <c r="N139" s="37" t="str">
        <f t="shared" si="57"/>
        <v/>
      </c>
      <c r="O139" s="35"/>
      <c r="P139" s="35"/>
      <c r="Q139" s="35"/>
      <c r="R139" s="35"/>
      <c r="S139" s="37" t="str">
        <f t="shared" si="58"/>
        <v/>
      </c>
      <c r="T139" s="35"/>
      <c r="U139" s="35"/>
      <c r="V139" s="35"/>
      <c r="W139" s="35"/>
      <c r="X139" s="37" t="str">
        <f t="shared" si="59"/>
        <v/>
      </c>
      <c r="Z139" t="b">
        <f t="shared" si="60"/>
        <v>0</v>
      </c>
      <c r="AA139" t="b">
        <f t="shared" si="61"/>
        <v>0</v>
      </c>
      <c r="AB139" t="b">
        <f t="shared" si="62"/>
        <v>0</v>
      </c>
      <c r="AC139" t="b">
        <f t="shared" si="63"/>
        <v>0</v>
      </c>
      <c r="AD139" t="b">
        <f t="shared" si="64"/>
        <v>0</v>
      </c>
      <c r="AE139" t="b">
        <f t="shared" si="65"/>
        <v>0</v>
      </c>
      <c r="AF139" t="b">
        <f t="shared" si="66"/>
        <v>0</v>
      </c>
      <c r="AG139" t="b">
        <f t="shared" si="67"/>
        <v>0</v>
      </c>
      <c r="AH139" t="b">
        <f t="shared" si="68"/>
        <v>0</v>
      </c>
      <c r="AI139" t="b">
        <f t="shared" si="69"/>
        <v>0</v>
      </c>
      <c r="AJ139" t="b">
        <f t="shared" si="70"/>
        <v>0</v>
      </c>
      <c r="AK139" t="b">
        <f t="shared" si="71"/>
        <v>0</v>
      </c>
      <c r="AM139" t="b">
        <f t="shared" si="72"/>
        <v>0</v>
      </c>
      <c r="AN139" t="b">
        <f t="shared" si="73"/>
        <v>0</v>
      </c>
      <c r="AO139" t="b">
        <f t="shared" si="74"/>
        <v>0</v>
      </c>
      <c r="AP139" t="b">
        <f t="shared" si="75"/>
        <v>0</v>
      </c>
      <c r="AQ139" t="b">
        <f t="shared" si="76"/>
        <v>0</v>
      </c>
      <c r="AR139" t="b">
        <f t="shared" si="77"/>
        <v>0</v>
      </c>
      <c r="AS139" t="b">
        <f t="shared" si="78"/>
        <v>0</v>
      </c>
      <c r="AT139" t="b">
        <f t="shared" si="79"/>
        <v>0</v>
      </c>
      <c r="AU139" t="b">
        <f t="shared" si="80"/>
        <v>0</v>
      </c>
      <c r="AV139" t="b">
        <f t="shared" si="81"/>
        <v>0</v>
      </c>
      <c r="AW139" t="b">
        <f t="shared" si="82"/>
        <v>0</v>
      </c>
      <c r="AX139" t="b">
        <f t="shared" si="83"/>
        <v>0</v>
      </c>
    </row>
    <row r="140" spans="1:50">
      <c r="A140" s="3" t="s">
        <v>405</v>
      </c>
      <c r="B140" s="6" t="s">
        <v>193</v>
      </c>
      <c r="C140" s="6"/>
      <c r="D140" s="34"/>
      <c r="E140" s="35"/>
      <c r="F140" s="35"/>
      <c r="G140" s="35"/>
      <c r="H140" s="35"/>
      <c r="I140" s="37" t="str">
        <f t="shared" si="56"/>
        <v/>
      </c>
      <c r="J140" s="35"/>
      <c r="K140" s="35"/>
      <c r="L140" s="35"/>
      <c r="M140" s="35"/>
      <c r="N140" s="37" t="str">
        <f t="shared" si="57"/>
        <v/>
      </c>
      <c r="O140" s="35" t="s">
        <v>192</v>
      </c>
      <c r="P140" s="35"/>
      <c r="Q140" s="35"/>
      <c r="R140" s="35"/>
      <c r="S140" s="37" t="str">
        <f t="shared" si="58"/>
        <v>X</v>
      </c>
      <c r="T140" s="35"/>
      <c r="U140" s="35"/>
      <c r="V140" s="35"/>
      <c r="W140" s="35"/>
      <c r="X140" s="37" t="str">
        <f t="shared" si="59"/>
        <v/>
      </c>
      <c r="Z140" t="b">
        <f t="shared" si="60"/>
        <v>0</v>
      </c>
      <c r="AA140" t="b">
        <f t="shared" si="61"/>
        <v>0</v>
      </c>
      <c r="AB140" t="b">
        <f t="shared" si="62"/>
        <v>0</v>
      </c>
      <c r="AC140" t="b">
        <f t="shared" si="63"/>
        <v>1</v>
      </c>
      <c r="AD140" t="b">
        <f t="shared" si="64"/>
        <v>0</v>
      </c>
      <c r="AE140" t="b">
        <f t="shared" si="65"/>
        <v>0</v>
      </c>
      <c r="AF140" t="b">
        <f t="shared" si="66"/>
        <v>0</v>
      </c>
      <c r="AG140" t="b">
        <f t="shared" si="67"/>
        <v>1</v>
      </c>
      <c r="AH140" t="b">
        <f t="shared" si="68"/>
        <v>0</v>
      </c>
      <c r="AI140" t="b">
        <f t="shared" si="69"/>
        <v>0</v>
      </c>
      <c r="AJ140" t="b">
        <f t="shared" si="70"/>
        <v>0</v>
      </c>
      <c r="AK140" t="b">
        <f t="shared" si="71"/>
        <v>1</v>
      </c>
      <c r="AM140" t="b">
        <f t="shared" si="72"/>
        <v>0</v>
      </c>
      <c r="AN140" t="b">
        <f t="shared" si="73"/>
        <v>0</v>
      </c>
      <c r="AO140" t="b">
        <f t="shared" si="74"/>
        <v>0</v>
      </c>
      <c r="AP140" t="b">
        <f t="shared" si="75"/>
        <v>1</v>
      </c>
      <c r="AQ140" t="b">
        <f t="shared" si="76"/>
        <v>0</v>
      </c>
      <c r="AR140" t="b">
        <f t="shared" si="77"/>
        <v>0</v>
      </c>
      <c r="AS140" t="b">
        <f t="shared" si="78"/>
        <v>0</v>
      </c>
      <c r="AT140" t="b">
        <f t="shared" si="79"/>
        <v>1</v>
      </c>
      <c r="AU140" t="b">
        <f t="shared" si="80"/>
        <v>0</v>
      </c>
      <c r="AV140" t="b">
        <f t="shared" si="81"/>
        <v>0</v>
      </c>
      <c r="AW140" t="b">
        <f t="shared" si="82"/>
        <v>0</v>
      </c>
      <c r="AX140" t="b">
        <f t="shared" si="83"/>
        <v>1</v>
      </c>
    </row>
    <row r="141" spans="1:50">
      <c r="A141" s="3" t="s">
        <v>406</v>
      </c>
      <c r="B141" s="6" t="s">
        <v>193</v>
      </c>
      <c r="C141" s="6"/>
      <c r="D141" s="34"/>
      <c r="E141" s="35"/>
      <c r="F141" s="35"/>
      <c r="G141" s="35"/>
      <c r="H141" s="35"/>
      <c r="I141" s="37" t="str">
        <f t="shared" si="56"/>
        <v/>
      </c>
      <c r="J141" s="35"/>
      <c r="K141" s="35"/>
      <c r="L141" s="35"/>
      <c r="M141" s="35"/>
      <c r="N141" s="37" t="str">
        <f t="shared" si="57"/>
        <v/>
      </c>
      <c r="O141" s="35" t="s">
        <v>192</v>
      </c>
      <c r="P141" s="35"/>
      <c r="Q141" s="35"/>
      <c r="R141" s="35"/>
      <c r="S141" s="37" t="str">
        <f t="shared" si="58"/>
        <v>X</v>
      </c>
      <c r="T141" s="35"/>
      <c r="U141" s="35"/>
      <c r="V141" s="35"/>
      <c r="W141" s="35"/>
      <c r="X141" s="37" t="str">
        <f t="shared" si="59"/>
        <v/>
      </c>
      <c r="Z141" t="b">
        <f t="shared" si="60"/>
        <v>0</v>
      </c>
      <c r="AA141" t="b">
        <f t="shared" si="61"/>
        <v>0</v>
      </c>
      <c r="AB141" t="b">
        <f t="shared" si="62"/>
        <v>0</v>
      </c>
      <c r="AC141" t="b">
        <f t="shared" si="63"/>
        <v>1</v>
      </c>
      <c r="AD141" t="b">
        <f t="shared" si="64"/>
        <v>0</v>
      </c>
      <c r="AE141" t="b">
        <f t="shared" si="65"/>
        <v>0</v>
      </c>
      <c r="AF141" t="b">
        <f t="shared" si="66"/>
        <v>0</v>
      </c>
      <c r="AG141" t="b">
        <f t="shared" si="67"/>
        <v>1</v>
      </c>
      <c r="AH141" t="b">
        <f t="shared" si="68"/>
        <v>0</v>
      </c>
      <c r="AI141" t="b">
        <f t="shared" si="69"/>
        <v>0</v>
      </c>
      <c r="AJ141" t="b">
        <f t="shared" si="70"/>
        <v>0</v>
      </c>
      <c r="AK141" t="b">
        <f t="shared" si="71"/>
        <v>1</v>
      </c>
      <c r="AM141" t="b">
        <f t="shared" si="72"/>
        <v>0</v>
      </c>
      <c r="AN141" t="b">
        <f t="shared" si="73"/>
        <v>0</v>
      </c>
      <c r="AO141" t="b">
        <f t="shared" si="74"/>
        <v>0</v>
      </c>
      <c r="AP141" t="b">
        <f t="shared" si="75"/>
        <v>1</v>
      </c>
      <c r="AQ141" t="b">
        <f t="shared" si="76"/>
        <v>0</v>
      </c>
      <c r="AR141" t="b">
        <f t="shared" si="77"/>
        <v>0</v>
      </c>
      <c r="AS141" t="b">
        <f t="shared" si="78"/>
        <v>0</v>
      </c>
      <c r="AT141" t="b">
        <f t="shared" si="79"/>
        <v>1</v>
      </c>
      <c r="AU141" t="b">
        <f t="shared" si="80"/>
        <v>0</v>
      </c>
      <c r="AV141" t="b">
        <f t="shared" si="81"/>
        <v>0</v>
      </c>
      <c r="AW141" t="b">
        <f t="shared" si="82"/>
        <v>0</v>
      </c>
      <c r="AX141" t="b">
        <f t="shared" si="83"/>
        <v>1</v>
      </c>
    </row>
    <row r="142" spans="1:50">
      <c r="A142" s="3" t="s">
        <v>301</v>
      </c>
      <c r="B142" s="6" t="s">
        <v>193</v>
      </c>
      <c r="C142" s="6"/>
      <c r="D142" s="34"/>
      <c r="E142" s="35" t="s">
        <v>192</v>
      </c>
      <c r="F142" s="35" t="s">
        <v>192</v>
      </c>
      <c r="G142" s="35" t="s">
        <v>192</v>
      </c>
      <c r="H142" s="35" t="s">
        <v>192</v>
      </c>
      <c r="I142" s="37" t="str">
        <f t="shared" si="56"/>
        <v>X</v>
      </c>
      <c r="J142" s="35"/>
      <c r="K142" s="35"/>
      <c r="L142" s="35"/>
      <c r="M142" s="35"/>
      <c r="N142" s="37" t="str">
        <f t="shared" si="57"/>
        <v/>
      </c>
      <c r="O142" s="35"/>
      <c r="P142" s="35"/>
      <c r="Q142" s="35"/>
      <c r="R142" s="35"/>
      <c r="S142" s="37" t="str">
        <f t="shared" si="58"/>
        <v/>
      </c>
      <c r="T142" s="35"/>
      <c r="U142" s="35"/>
      <c r="V142" s="35"/>
      <c r="W142" s="35"/>
      <c r="X142" s="37" t="str">
        <f t="shared" si="59"/>
        <v/>
      </c>
      <c r="Z142" t="b">
        <f t="shared" si="60"/>
        <v>0</v>
      </c>
      <c r="AA142" t="b">
        <f t="shared" si="61"/>
        <v>1</v>
      </c>
      <c r="AB142" t="b">
        <f t="shared" si="62"/>
        <v>0</v>
      </c>
      <c r="AC142" t="b">
        <f t="shared" si="63"/>
        <v>1</v>
      </c>
      <c r="AD142" t="b">
        <f t="shared" si="64"/>
        <v>0</v>
      </c>
      <c r="AE142" t="b">
        <f t="shared" si="65"/>
        <v>1</v>
      </c>
      <c r="AF142" t="b">
        <f t="shared" si="66"/>
        <v>0</v>
      </c>
      <c r="AG142" t="b">
        <f t="shared" si="67"/>
        <v>0</v>
      </c>
      <c r="AH142" t="b">
        <f t="shared" si="68"/>
        <v>0</v>
      </c>
      <c r="AI142" t="b">
        <f t="shared" si="69"/>
        <v>0</v>
      </c>
      <c r="AJ142" t="b">
        <f t="shared" si="70"/>
        <v>0</v>
      </c>
      <c r="AK142" t="b">
        <f t="shared" si="71"/>
        <v>0</v>
      </c>
      <c r="AM142" t="b">
        <f t="shared" si="72"/>
        <v>0</v>
      </c>
      <c r="AN142" t="b">
        <f t="shared" si="73"/>
        <v>1</v>
      </c>
      <c r="AO142" t="b">
        <f t="shared" si="74"/>
        <v>0</v>
      </c>
      <c r="AP142" t="b">
        <f t="shared" si="75"/>
        <v>1</v>
      </c>
      <c r="AQ142" t="b">
        <f t="shared" si="76"/>
        <v>0</v>
      </c>
      <c r="AR142" t="b">
        <f t="shared" si="77"/>
        <v>1</v>
      </c>
      <c r="AS142" t="b">
        <f t="shared" si="78"/>
        <v>0</v>
      </c>
      <c r="AT142" t="b">
        <f t="shared" si="79"/>
        <v>0</v>
      </c>
      <c r="AU142" t="b">
        <f t="shared" si="80"/>
        <v>0</v>
      </c>
      <c r="AV142" t="b">
        <f t="shared" si="81"/>
        <v>0</v>
      </c>
      <c r="AW142" t="b">
        <f t="shared" si="82"/>
        <v>0</v>
      </c>
      <c r="AX142" t="b">
        <f t="shared" si="83"/>
        <v>0</v>
      </c>
    </row>
    <row r="143" spans="1:50">
      <c r="A143" s="3" t="s">
        <v>302</v>
      </c>
      <c r="B143" s="6" t="s">
        <v>193</v>
      </c>
      <c r="C143" s="6"/>
      <c r="D143" s="34"/>
      <c r="E143" s="35"/>
      <c r="F143" s="35"/>
      <c r="G143" s="35" t="s">
        <v>192</v>
      </c>
      <c r="H143" s="35"/>
      <c r="I143" s="37" t="str">
        <f t="shared" si="56"/>
        <v>X</v>
      </c>
      <c r="J143" s="35"/>
      <c r="K143" s="35"/>
      <c r="L143" s="35"/>
      <c r="M143" s="35"/>
      <c r="N143" s="37" t="str">
        <f t="shared" si="57"/>
        <v/>
      </c>
      <c r="O143" s="35"/>
      <c r="P143" s="35"/>
      <c r="Q143" s="35"/>
      <c r="R143" s="35"/>
      <c r="S143" s="37" t="str">
        <f t="shared" si="58"/>
        <v/>
      </c>
      <c r="T143" s="35"/>
      <c r="U143" s="35"/>
      <c r="V143" s="35"/>
      <c r="W143" s="35"/>
      <c r="X143" s="37" t="str">
        <f t="shared" si="59"/>
        <v/>
      </c>
      <c r="Z143" t="b">
        <f t="shared" si="60"/>
        <v>0</v>
      </c>
      <c r="AA143" t="b">
        <f t="shared" si="61"/>
        <v>1</v>
      </c>
      <c r="AB143" t="b">
        <f t="shared" si="62"/>
        <v>0</v>
      </c>
      <c r="AC143" t="b">
        <f t="shared" si="63"/>
        <v>1</v>
      </c>
      <c r="AD143" t="b">
        <f t="shared" si="64"/>
        <v>0</v>
      </c>
      <c r="AE143" t="b">
        <f t="shared" si="65"/>
        <v>1</v>
      </c>
      <c r="AF143" t="b">
        <f t="shared" si="66"/>
        <v>0</v>
      </c>
      <c r="AG143" t="b">
        <f t="shared" si="67"/>
        <v>0</v>
      </c>
      <c r="AH143" t="b">
        <f t="shared" si="68"/>
        <v>0</v>
      </c>
      <c r="AI143" t="b">
        <f t="shared" si="69"/>
        <v>0</v>
      </c>
      <c r="AJ143" t="b">
        <f t="shared" si="70"/>
        <v>0</v>
      </c>
      <c r="AK143" t="b">
        <f t="shared" si="71"/>
        <v>0</v>
      </c>
      <c r="AM143" t="b">
        <f t="shared" si="72"/>
        <v>0</v>
      </c>
      <c r="AN143" t="b">
        <f t="shared" si="73"/>
        <v>1</v>
      </c>
      <c r="AO143" t="b">
        <f t="shared" si="74"/>
        <v>0</v>
      </c>
      <c r="AP143" t="b">
        <f t="shared" si="75"/>
        <v>1</v>
      </c>
      <c r="AQ143" t="b">
        <f t="shared" si="76"/>
        <v>0</v>
      </c>
      <c r="AR143" t="b">
        <f t="shared" si="77"/>
        <v>1</v>
      </c>
      <c r="AS143" t="b">
        <f t="shared" si="78"/>
        <v>0</v>
      </c>
      <c r="AT143" t="b">
        <f t="shared" si="79"/>
        <v>0</v>
      </c>
      <c r="AU143" t="b">
        <f t="shared" si="80"/>
        <v>0</v>
      </c>
      <c r="AV143" t="b">
        <f t="shared" si="81"/>
        <v>0</v>
      </c>
      <c r="AW143" t="b">
        <f t="shared" si="82"/>
        <v>0</v>
      </c>
      <c r="AX143" t="b">
        <f t="shared" si="83"/>
        <v>0</v>
      </c>
    </row>
    <row r="144" spans="1:50">
      <c r="A144" s="3" t="s">
        <v>304</v>
      </c>
      <c r="B144" s="6" t="s">
        <v>196</v>
      </c>
      <c r="C144" t="s">
        <v>110</v>
      </c>
      <c r="D144" s="34"/>
      <c r="E144" s="35"/>
      <c r="F144" s="35"/>
      <c r="G144" s="35"/>
      <c r="H144" s="35" t="s">
        <v>192</v>
      </c>
      <c r="I144" s="37" t="str">
        <f t="shared" si="56"/>
        <v>X</v>
      </c>
      <c r="J144" s="35"/>
      <c r="K144" s="35"/>
      <c r="L144" s="35"/>
      <c r="M144" s="35"/>
      <c r="N144" s="37" t="str">
        <f t="shared" si="57"/>
        <v/>
      </c>
      <c r="O144" s="35"/>
      <c r="P144" s="35"/>
      <c r="Q144" s="35"/>
      <c r="R144" s="35"/>
      <c r="S144" s="37" t="str">
        <f t="shared" si="58"/>
        <v/>
      </c>
      <c r="T144" s="35"/>
      <c r="U144" s="35"/>
      <c r="V144" s="35"/>
      <c r="W144" s="35"/>
      <c r="X144" s="37" t="str">
        <f t="shared" si="59"/>
        <v/>
      </c>
      <c r="Z144" t="b">
        <f t="shared" si="60"/>
        <v>0</v>
      </c>
      <c r="AA144" t="b">
        <f t="shared" si="61"/>
        <v>1</v>
      </c>
      <c r="AB144" t="b">
        <f t="shared" si="62"/>
        <v>0</v>
      </c>
      <c r="AC144" t="b">
        <f t="shared" si="63"/>
        <v>1</v>
      </c>
      <c r="AD144" t="b">
        <f t="shared" si="64"/>
        <v>0</v>
      </c>
      <c r="AE144" t="b">
        <f t="shared" si="65"/>
        <v>1</v>
      </c>
      <c r="AF144" t="b">
        <f t="shared" si="66"/>
        <v>0</v>
      </c>
      <c r="AG144" t="b">
        <f t="shared" si="67"/>
        <v>0</v>
      </c>
      <c r="AH144" t="b">
        <f t="shared" si="68"/>
        <v>0</v>
      </c>
      <c r="AI144" t="b">
        <f t="shared" si="69"/>
        <v>0</v>
      </c>
      <c r="AJ144" t="b">
        <f t="shared" si="70"/>
        <v>0</v>
      </c>
      <c r="AK144" t="b">
        <f t="shared" si="71"/>
        <v>0</v>
      </c>
      <c r="AM144" t="b">
        <f t="shared" si="72"/>
        <v>0</v>
      </c>
      <c r="AN144" t="b">
        <f t="shared" si="73"/>
        <v>0</v>
      </c>
      <c r="AO144" t="b">
        <f t="shared" si="74"/>
        <v>0</v>
      </c>
      <c r="AP144" t="b">
        <f t="shared" si="75"/>
        <v>0</v>
      </c>
      <c r="AQ144" t="b">
        <f t="shared" si="76"/>
        <v>0</v>
      </c>
      <c r="AR144" t="b">
        <f t="shared" si="77"/>
        <v>0</v>
      </c>
      <c r="AS144" t="b">
        <f t="shared" si="78"/>
        <v>0</v>
      </c>
      <c r="AT144" t="b">
        <f t="shared" si="79"/>
        <v>0</v>
      </c>
      <c r="AU144" t="b">
        <f t="shared" si="80"/>
        <v>0</v>
      </c>
      <c r="AV144" t="b">
        <f t="shared" si="81"/>
        <v>0</v>
      </c>
      <c r="AW144" t="b">
        <f t="shared" si="82"/>
        <v>0</v>
      </c>
      <c r="AX144" t="b">
        <f t="shared" si="83"/>
        <v>0</v>
      </c>
    </row>
    <row r="145" spans="1:51">
      <c r="A145" s="3" t="s">
        <v>352</v>
      </c>
      <c r="B145" s="6" t="s">
        <v>196</v>
      </c>
      <c r="C145" t="s">
        <v>110</v>
      </c>
      <c r="I145" s="37" t="str">
        <f t="shared" si="56"/>
        <v/>
      </c>
      <c r="J145" s="27" t="s">
        <v>192</v>
      </c>
      <c r="N145" s="37" t="str">
        <f t="shared" si="57"/>
        <v>X</v>
      </c>
      <c r="S145" s="37" t="str">
        <f t="shared" si="58"/>
        <v/>
      </c>
      <c r="X145" s="37" t="str">
        <f t="shared" si="59"/>
        <v/>
      </c>
      <c r="Z145" t="b">
        <f t="shared" si="60"/>
        <v>0</v>
      </c>
      <c r="AA145" t="b">
        <f t="shared" si="61"/>
        <v>1</v>
      </c>
      <c r="AB145" t="b">
        <f t="shared" si="62"/>
        <v>0</v>
      </c>
      <c r="AC145" t="b">
        <f t="shared" si="63"/>
        <v>0</v>
      </c>
      <c r="AD145" t="b">
        <f t="shared" si="64"/>
        <v>0</v>
      </c>
      <c r="AE145" t="b">
        <f t="shared" si="65"/>
        <v>0</v>
      </c>
      <c r="AF145" t="b">
        <f t="shared" si="66"/>
        <v>0</v>
      </c>
      <c r="AG145" t="b">
        <f t="shared" si="67"/>
        <v>1</v>
      </c>
      <c r="AH145" t="b">
        <f t="shared" si="68"/>
        <v>0</v>
      </c>
      <c r="AI145" t="b">
        <f t="shared" si="69"/>
        <v>1</v>
      </c>
      <c r="AJ145" t="b">
        <f t="shared" si="70"/>
        <v>0</v>
      </c>
      <c r="AK145" t="b">
        <f t="shared" si="71"/>
        <v>0</v>
      </c>
      <c r="AM145" t="b">
        <f t="shared" si="72"/>
        <v>0</v>
      </c>
      <c r="AN145" t="b">
        <f t="shared" si="73"/>
        <v>0</v>
      </c>
      <c r="AO145" t="b">
        <f t="shared" si="74"/>
        <v>0</v>
      </c>
      <c r="AP145" t="b">
        <f t="shared" si="75"/>
        <v>0</v>
      </c>
      <c r="AQ145" t="b">
        <f t="shared" si="76"/>
        <v>0</v>
      </c>
      <c r="AR145" t="b">
        <f t="shared" si="77"/>
        <v>0</v>
      </c>
      <c r="AS145" t="b">
        <f t="shared" si="78"/>
        <v>0</v>
      </c>
      <c r="AT145" t="b">
        <f t="shared" si="79"/>
        <v>0</v>
      </c>
      <c r="AU145" t="b">
        <f t="shared" si="80"/>
        <v>0</v>
      </c>
      <c r="AV145" t="b">
        <f t="shared" si="81"/>
        <v>0</v>
      </c>
      <c r="AW145" t="b">
        <f t="shared" si="82"/>
        <v>0</v>
      </c>
      <c r="AX145" t="b">
        <f t="shared" si="83"/>
        <v>0</v>
      </c>
    </row>
    <row r="146" spans="1:51">
      <c r="A146" s="3" t="s">
        <v>353</v>
      </c>
      <c r="B146" s="6" t="s">
        <v>196</v>
      </c>
      <c r="C146" t="s">
        <v>110</v>
      </c>
      <c r="I146" s="37" t="str">
        <f t="shared" si="56"/>
        <v/>
      </c>
      <c r="J146" s="27" t="s">
        <v>192</v>
      </c>
      <c r="N146" s="37" t="str">
        <f t="shared" si="57"/>
        <v>X</v>
      </c>
      <c r="S146" s="37" t="str">
        <f t="shared" si="58"/>
        <v/>
      </c>
      <c r="X146" s="37" t="str">
        <f t="shared" si="59"/>
        <v/>
      </c>
      <c r="Z146" t="b">
        <f t="shared" si="60"/>
        <v>0</v>
      </c>
      <c r="AA146" t="b">
        <f t="shared" si="61"/>
        <v>1</v>
      </c>
      <c r="AB146" t="b">
        <f t="shared" si="62"/>
        <v>0</v>
      </c>
      <c r="AC146" t="b">
        <f t="shared" si="63"/>
        <v>0</v>
      </c>
      <c r="AD146" t="b">
        <f t="shared" si="64"/>
        <v>0</v>
      </c>
      <c r="AE146" t="b">
        <f t="shared" si="65"/>
        <v>0</v>
      </c>
      <c r="AF146" t="b">
        <f t="shared" si="66"/>
        <v>0</v>
      </c>
      <c r="AG146" t="b">
        <f t="shared" si="67"/>
        <v>1</v>
      </c>
      <c r="AH146" t="b">
        <f t="shared" si="68"/>
        <v>0</v>
      </c>
      <c r="AI146" t="b">
        <f t="shared" si="69"/>
        <v>1</v>
      </c>
      <c r="AJ146" t="b">
        <f t="shared" si="70"/>
        <v>0</v>
      </c>
      <c r="AK146" t="b">
        <f t="shared" si="71"/>
        <v>0</v>
      </c>
      <c r="AM146" t="b">
        <f t="shared" si="72"/>
        <v>0</v>
      </c>
      <c r="AN146" t="b">
        <f t="shared" si="73"/>
        <v>0</v>
      </c>
      <c r="AO146" t="b">
        <f t="shared" si="74"/>
        <v>0</v>
      </c>
      <c r="AP146" t="b">
        <f t="shared" si="75"/>
        <v>0</v>
      </c>
      <c r="AQ146" t="b">
        <f t="shared" si="76"/>
        <v>0</v>
      </c>
      <c r="AR146" t="b">
        <f t="shared" si="77"/>
        <v>0</v>
      </c>
      <c r="AS146" t="b">
        <f t="shared" si="78"/>
        <v>0</v>
      </c>
      <c r="AT146" t="b">
        <f t="shared" si="79"/>
        <v>0</v>
      </c>
      <c r="AU146" t="b">
        <f t="shared" si="80"/>
        <v>0</v>
      </c>
      <c r="AV146" t="b">
        <f t="shared" si="81"/>
        <v>0</v>
      </c>
      <c r="AW146" t="b">
        <f t="shared" si="82"/>
        <v>0</v>
      </c>
      <c r="AX146" t="b">
        <f t="shared" si="83"/>
        <v>0</v>
      </c>
    </row>
    <row r="147" spans="1:51">
      <c r="A147" s="3" t="s">
        <v>354</v>
      </c>
      <c r="B147" s="6" t="s">
        <v>196</v>
      </c>
      <c r="C147" t="s">
        <v>110</v>
      </c>
      <c r="I147" s="37" t="str">
        <f t="shared" si="56"/>
        <v/>
      </c>
      <c r="J147" s="27" t="s">
        <v>192</v>
      </c>
      <c r="N147" s="37" t="str">
        <f t="shared" si="57"/>
        <v>X</v>
      </c>
      <c r="S147" s="37" t="str">
        <f t="shared" si="58"/>
        <v/>
      </c>
      <c r="X147" s="37" t="str">
        <f t="shared" si="59"/>
        <v/>
      </c>
      <c r="Z147" t="b">
        <f t="shared" si="60"/>
        <v>0</v>
      </c>
      <c r="AA147" t="b">
        <f t="shared" si="61"/>
        <v>1</v>
      </c>
      <c r="AB147" t="b">
        <f t="shared" si="62"/>
        <v>0</v>
      </c>
      <c r="AC147" t="b">
        <f t="shared" si="63"/>
        <v>0</v>
      </c>
      <c r="AD147" t="b">
        <f t="shared" si="64"/>
        <v>0</v>
      </c>
      <c r="AE147" t="b">
        <f t="shared" si="65"/>
        <v>0</v>
      </c>
      <c r="AF147" t="b">
        <f t="shared" si="66"/>
        <v>0</v>
      </c>
      <c r="AG147" t="b">
        <f t="shared" si="67"/>
        <v>1</v>
      </c>
      <c r="AH147" t="b">
        <f t="shared" si="68"/>
        <v>0</v>
      </c>
      <c r="AI147" t="b">
        <f t="shared" si="69"/>
        <v>1</v>
      </c>
      <c r="AJ147" t="b">
        <f t="shared" si="70"/>
        <v>0</v>
      </c>
      <c r="AK147" t="b">
        <f t="shared" si="71"/>
        <v>0</v>
      </c>
      <c r="AM147" t="b">
        <f t="shared" si="72"/>
        <v>0</v>
      </c>
      <c r="AN147" t="b">
        <f t="shared" si="73"/>
        <v>0</v>
      </c>
      <c r="AO147" t="b">
        <f t="shared" si="74"/>
        <v>0</v>
      </c>
      <c r="AP147" t="b">
        <f t="shared" si="75"/>
        <v>0</v>
      </c>
      <c r="AQ147" t="b">
        <f t="shared" si="76"/>
        <v>0</v>
      </c>
      <c r="AR147" t="b">
        <f t="shared" si="77"/>
        <v>0</v>
      </c>
      <c r="AS147" t="b">
        <f t="shared" si="78"/>
        <v>0</v>
      </c>
      <c r="AT147" t="b">
        <f t="shared" si="79"/>
        <v>0</v>
      </c>
      <c r="AU147" t="b">
        <f t="shared" si="80"/>
        <v>0</v>
      </c>
      <c r="AV147" t="b">
        <f t="shared" si="81"/>
        <v>0</v>
      </c>
      <c r="AW147" t="b">
        <f t="shared" si="82"/>
        <v>0</v>
      </c>
      <c r="AX147" t="b">
        <f t="shared" si="83"/>
        <v>0</v>
      </c>
    </row>
    <row r="148" spans="1:51">
      <c r="A148" s="3" t="s">
        <v>355</v>
      </c>
      <c r="B148" s="6" t="s">
        <v>196</v>
      </c>
      <c r="C148" t="s">
        <v>110</v>
      </c>
      <c r="I148" s="37" t="str">
        <f t="shared" si="56"/>
        <v/>
      </c>
      <c r="J148" s="27" t="s">
        <v>192</v>
      </c>
      <c r="N148" s="37" t="str">
        <f t="shared" si="57"/>
        <v>X</v>
      </c>
      <c r="S148" s="37" t="str">
        <f t="shared" si="58"/>
        <v/>
      </c>
      <c r="X148" s="37" t="str">
        <f t="shared" si="59"/>
        <v/>
      </c>
      <c r="Z148" t="b">
        <f t="shared" si="60"/>
        <v>0</v>
      </c>
      <c r="AA148" t="b">
        <f t="shared" si="61"/>
        <v>1</v>
      </c>
      <c r="AB148" t="b">
        <f t="shared" si="62"/>
        <v>0</v>
      </c>
      <c r="AC148" t="b">
        <f t="shared" si="63"/>
        <v>0</v>
      </c>
      <c r="AD148" t="b">
        <f t="shared" si="64"/>
        <v>0</v>
      </c>
      <c r="AE148" t="b">
        <f t="shared" si="65"/>
        <v>0</v>
      </c>
      <c r="AF148" t="b">
        <f t="shared" si="66"/>
        <v>0</v>
      </c>
      <c r="AG148" t="b">
        <f t="shared" si="67"/>
        <v>1</v>
      </c>
      <c r="AH148" t="b">
        <f t="shared" si="68"/>
        <v>0</v>
      </c>
      <c r="AI148" t="b">
        <f t="shared" si="69"/>
        <v>1</v>
      </c>
      <c r="AJ148" t="b">
        <f t="shared" si="70"/>
        <v>0</v>
      </c>
      <c r="AK148" t="b">
        <f t="shared" si="71"/>
        <v>0</v>
      </c>
      <c r="AM148" t="b">
        <f t="shared" si="72"/>
        <v>0</v>
      </c>
      <c r="AN148" t="b">
        <f t="shared" si="73"/>
        <v>0</v>
      </c>
      <c r="AO148" t="b">
        <f t="shared" si="74"/>
        <v>0</v>
      </c>
      <c r="AP148" t="b">
        <f t="shared" si="75"/>
        <v>0</v>
      </c>
      <c r="AQ148" t="b">
        <f t="shared" si="76"/>
        <v>0</v>
      </c>
      <c r="AR148" t="b">
        <f t="shared" si="77"/>
        <v>0</v>
      </c>
      <c r="AS148" t="b">
        <f t="shared" si="78"/>
        <v>0</v>
      </c>
      <c r="AT148" t="b">
        <f t="shared" si="79"/>
        <v>0</v>
      </c>
      <c r="AU148" t="b">
        <f t="shared" si="80"/>
        <v>0</v>
      </c>
      <c r="AV148" t="b">
        <f t="shared" si="81"/>
        <v>0</v>
      </c>
      <c r="AW148" t="b">
        <f t="shared" si="82"/>
        <v>0</v>
      </c>
      <c r="AX148" t="b">
        <f t="shared" si="83"/>
        <v>0</v>
      </c>
    </row>
    <row r="149" spans="1:51">
      <c r="A149" s="3" t="s">
        <v>356</v>
      </c>
      <c r="B149" s="6" t="s">
        <v>196</v>
      </c>
      <c r="C149" t="s">
        <v>110</v>
      </c>
      <c r="I149" s="37" t="str">
        <f t="shared" si="56"/>
        <v/>
      </c>
      <c r="J149" s="27" t="s">
        <v>192</v>
      </c>
      <c r="N149" s="37" t="str">
        <f t="shared" si="57"/>
        <v>X</v>
      </c>
      <c r="S149" s="37" t="str">
        <f t="shared" si="58"/>
        <v/>
      </c>
      <c r="X149" s="37" t="str">
        <f t="shared" si="59"/>
        <v/>
      </c>
      <c r="Z149" t="b">
        <f t="shared" si="60"/>
        <v>0</v>
      </c>
      <c r="AA149" t="b">
        <f t="shared" si="61"/>
        <v>1</v>
      </c>
      <c r="AB149" t="b">
        <f t="shared" si="62"/>
        <v>0</v>
      </c>
      <c r="AC149" t="b">
        <f t="shared" si="63"/>
        <v>0</v>
      </c>
      <c r="AD149" t="b">
        <f t="shared" si="64"/>
        <v>0</v>
      </c>
      <c r="AE149" t="b">
        <f t="shared" si="65"/>
        <v>0</v>
      </c>
      <c r="AF149" t="b">
        <f t="shared" si="66"/>
        <v>0</v>
      </c>
      <c r="AG149" t="b">
        <f t="shared" si="67"/>
        <v>1</v>
      </c>
      <c r="AH149" t="b">
        <f t="shared" si="68"/>
        <v>0</v>
      </c>
      <c r="AI149" t="b">
        <f t="shared" si="69"/>
        <v>1</v>
      </c>
      <c r="AJ149" t="b">
        <f t="shared" si="70"/>
        <v>0</v>
      </c>
      <c r="AK149" t="b">
        <f t="shared" si="71"/>
        <v>0</v>
      </c>
      <c r="AM149" t="b">
        <f t="shared" si="72"/>
        <v>0</v>
      </c>
      <c r="AN149" t="b">
        <f t="shared" si="73"/>
        <v>0</v>
      </c>
      <c r="AO149" t="b">
        <f t="shared" si="74"/>
        <v>0</v>
      </c>
      <c r="AP149" t="b">
        <f t="shared" si="75"/>
        <v>0</v>
      </c>
      <c r="AQ149" t="b">
        <f t="shared" si="76"/>
        <v>0</v>
      </c>
      <c r="AR149" t="b">
        <f t="shared" si="77"/>
        <v>0</v>
      </c>
      <c r="AS149" t="b">
        <f t="shared" si="78"/>
        <v>0</v>
      </c>
      <c r="AT149" t="b">
        <f t="shared" si="79"/>
        <v>0</v>
      </c>
      <c r="AU149" t="b">
        <f t="shared" si="80"/>
        <v>0</v>
      </c>
      <c r="AV149" t="b">
        <f t="shared" si="81"/>
        <v>0</v>
      </c>
      <c r="AW149" t="b">
        <f t="shared" si="82"/>
        <v>0</v>
      </c>
      <c r="AX149" t="b">
        <f t="shared" si="83"/>
        <v>0</v>
      </c>
    </row>
    <row r="150" spans="1:51">
      <c r="A150" s="3" t="s">
        <v>357</v>
      </c>
      <c r="B150" s="6" t="s">
        <v>196</v>
      </c>
      <c r="C150" t="s">
        <v>110</v>
      </c>
      <c r="I150" s="37" t="str">
        <f t="shared" si="56"/>
        <v/>
      </c>
      <c r="J150" s="27" t="s">
        <v>192</v>
      </c>
      <c r="N150" s="37" t="str">
        <f t="shared" si="57"/>
        <v>X</v>
      </c>
      <c r="S150" s="37" t="str">
        <f t="shared" si="58"/>
        <v/>
      </c>
      <c r="X150" s="37" t="str">
        <f t="shared" si="59"/>
        <v/>
      </c>
      <c r="Z150" t="b">
        <f t="shared" si="60"/>
        <v>0</v>
      </c>
      <c r="AA150" t="b">
        <f t="shared" si="61"/>
        <v>1</v>
      </c>
      <c r="AB150" t="b">
        <f t="shared" si="62"/>
        <v>0</v>
      </c>
      <c r="AC150" t="b">
        <f t="shared" si="63"/>
        <v>0</v>
      </c>
      <c r="AD150" t="b">
        <f t="shared" si="64"/>
        <v>0</v>
      </c>
      <c r="AE150" t="b">
        <f t="shared" si="65"/>
        <v>0</v>
      </c>
      <c r="AF150" t="b">
        <f t="shared" si="66"/>
        <v>0</v>
      </c>
      <c r="AG150" t="b">
        <f t="shared" si="67"/>
        <v>1</v>
      </c>
      <c r="AH150" t="b">
        <f t="shared" si="68"/>
        <v>0</v>
      </c>
      <c r="AI150" t="b">
        <f t="shared" si="69"/>
        <v>1</v>
      </c>
      <c r="AJ150" t="b">
        <f t="shared" si="70"/>
        <v>0</v>
      </c>
      <c r="AK150" t="b">
        <f t="shared" si="71"/>
        <v>0</v>
      </c>
      <c r="AM150" t="b">
        <f t="shared" si="72"/>
        <v>0</v>
      </c>
      <c r="AN150" t="b">
        <f t="shared" si="73"/>
        <v>0</v>
      </c>
      <c r="AO150" t="b">
        <f t="shared" si="74"/>
        <v>0</v>
      </c>
      <c r="AP150" t="b">
        <f t="shared" si="75"/>
        <v>0</v>
      </c>
      <c r="AQ150" t="b">
        <f t="shared" si="76"/>
        <v>0</v>
      </c>
      <c r="AR150" t="b">
        <f t="shared" si="77"/>
        <v>0</v>
      </c>
      <c r="AS150" t="b">
        <f t="shared" si="78"/>
        <v>0</v>
      </c>
      <c r="AT150" t="b">
        <f t="shared" si="79"/>
        <v>0</v>
      </c>
      <c r="AU150" t="b">
        <f t="shared" si="80"/>
        <v>0</v>
      </c>
      <c r="AV150" t="b">
        <f t="shared" si="81"/>
        <v>0</v>
      </c>
      <c r="AW150" t="b">
        <f t="shared" si="82"/>
        <v>0</v>
      </c>
      <c r="AX150" t="b">
        <f t="shared" si="83"/>
        <v>0</v>
      </c>
    </row>
    <row r="151" spans="1:51">
      <c r="A151" s="3" t="s">
        <v>358</v>
      </c>
      <c r="B151" s="6" t="s">
        <v>196</v>
      </c>
      <c r="C151" t="s">
        <v>110</v>
      </c>
      <c r="I151" s="37" t="str">
        <f t="shared" si="56"/>
        <v/>
      </c>
      <c r="K151" s="27" t="s">
        <v>192</v>
      </c>
      <c r="L151" s="27" t="s">
        <v>192</v>
      </c>
      <c r="N151" s="37" t="str">
        <f t="shared" si="57"/>
        <v>X</v>
      </c>
      <c r="S151" s="37" t="str">
        <f t="shared" si="58"/>
        <v/>
      </c>
      <c r="X151" s="37" t="str">
        <f t="shared" si="59"/>
        <v/>
      </c>
      <c r="Z151" t="b">
        <f t="shared" si="60"/>
        <v>0</v>
      </c>
      <c r="AA151" t="b">
        <f t="shared" si="61"/>
        <v>1</v>
      </c>
      <c r="AB151" t="b">
        <f t="shared" si="62"/>
        <v>0</v>
      </c>
      <c r="AC151" t="b">
        <f t="shared" si="63"/>
        <v>0</v>
      </c>
      <c r="AD151" t="b">
        <f t="shared" si="64"/>
        <v>0</v>
      </c>
      <c r="AE151" t="b">
        <f t="shared" si="65"/>
        <v>0</v>
      </c>
      <c r="AF151" t="b">
        <f t="shared" si="66"/>
        <v>0</v>
      </c>
      <c r="AG151" t="b">
        <f t="shared" si="67"/>
        <v>1</v>
      </c>
      <c r="AH151" t="b">
        <f t="shared" si="68"/>
        <v>0</v>
      </c>
      <c r="AI151" t="b">
        <f t="shared" si="69"/>
        <v>1</v>
      </c>
      <c r="AJ151" t="b">
        <f t="shared" si="70"/>
        <v>0</v>
      </c>
      <c r="AK151" t="b">
        <f t="shared" si="71"/>
        <v>0</v>
      </c>
      <c r="AM151" t="b">
        <f t="shared" si="72"/>
        <v>0</v>
      </c>
      <c r="AN151" t="b">
        <f t="shared" si="73"/>
        <v>0</v>
      </c>
      <c r="AO151" t="b">
        <f t="shared" si="74"/>
        <v>0</v>
      </c>
      <c r="AP151" t="b">
        <f t="shared" si="75"/>
        <v>0</v>
      </c>
      <c r="AQ151" t="b">
        <f t="shared" si="76"/>
        <v>0</v>
      </c>
      <c r="AR151" t="b">
        <f t="shared" si="77"/>
        <v>0</v>
      </c>
      <c r="AS151" t="b">
        <f t="shared" si="78"/>
        <v>0</v>
      </c>
      <c r="AT151" t="b">
        <f t="shared" si="79"/>
        <v>0</v>
      </c>
      <c r="AU151" t="b">
        <f t="shared" si="80"/>
        <v>0</v>
      </c>
      <c r="AV151" t="b">
        <f t="shared" si="81"/>
        <v>0</v>
      </c>
      <c r="AW151" t="b">
        <f t="shared" si="82"/>
        <v>0</v>
      </c>
      <c r="AX151" t="b">
        <f t="shared" si="83"/>
        <v>0</v>
      </c>
    </row>
    <row r="152" spans="1:51">
      <c r="A152" s="3" t="s">
        <v>359</v>
      </c>
      <c r="B152" s="6" t="s">
        <v>196</v>
      </c>
      <c r="C152" t="s">
        <v>111</v>
      </c>
      <c r="I152" s="37" t="str">
        <f t="shared" si="56"/>
        <v/>
      </c>
      <c r="L152" s="27" t="s">
        <v>192</v>
      </c>
      <c r="N152" s="37" t="str">
        <f t="shared" si="57"/>
        <v>X</v>
      </c>
      <c r="S152" s="37" t="str">
        <f t="shared" si="58"/>
        <v/>
      </c>
      <c r="X152" s="37" t="str">
        <f t="shared" si="59"/>
        <v/>
      </c>
      <c r="Z152" t="b">
        <f t="shared" si="60"/>
        <v>0</v>
      </c>
      <c r="AA152" t="b">
        <f t="shared" si="61"/>
        <v>1</v>
      </c>
      <c r="AB152" t="b">
        <f t="shared" si="62"/>
        <v>0</v>
      </c>
      <c r="AC152" t="b">
        <f t="shared" si="63"/>
        <v>0</v>
      </c>
      <c r="AD152" t="b">
        <f t="shared" si="64"/>
        <v>0</v>
      </c>
      <c r="AE152" t="b">
        <f t="shared" si="65"/>
        <v>0</v>
      </c>
      <c r="AF152" t="b">
        <f t="shared" si="66"/>
        <v>0</v>
      </c>
      <c r="AG152" t="b">
        <f t="shared" si="67"/>
        <v>1</v>
      </c>
      <c r="AH152" t="b">
        <f t="shared" si="68"/>
        <v>0</v>
      </c>
      <c r="AI152" t="b">
        <f t="shared" si="69"/>
        <v>1</v>
      </c>
      <c r="AJ152" t="b">
        <f t="shared" si="70"/>
        <v>0</v>
      </c>
      <c r="AK152" t="b">
        <f t="shared" si="71"/>
        <v>0</v>
      </c>
      <c r="AM152" t="b">
        <f t="shared" si="72"/>
        <v>0</v>
      </c>
      <c r="AN152" t="b">
        <f t="shared" si="73"/>
        <v>0</v>
      </c>
      <c r="AO152" t="b">
        <f t="shared" si="74"/>
        <v>0</v>
      </c>
      <c r="AP152" t="b">
        <f t="shared" si="75"/>
        <v>0</v>
      </c>
      <c r="AQ152" t="b">
        <f t="shared" si="76"/>
        <v>0</v>
      </c>
      <c r="AR152" t="b">
        <f t="shared" si="77"/>
        <v>0</v>
      </c>
      <c r="AS152" t="b">
        <f t="shared" si="78"/>
        <v>0</v>
      </c>
      <c r="AT152" t="b">
        <f t="shared" si="79"/>
        <v>0</v>
      </c>
      <c r="AU152" t="b">
        <f t="shared" si="80"/>
        <v>0</v>
      </c>
      <c r="AV152" t="b">
        <f t="shared" si="81"/>
        <v>0</v>
      </c>
      <c r="AW152" t="b">
        <f t="shared" si="82"/>
        <v>0</v>
      </c>
      <c r="AX152" t="b">
        <f t="shared" si="83"/>
        <v>0</v>
      </c>
    </row>
    <row r="153" spans="1:51" ht="29.25">
      <c r="A153" s="3" t="s">
        <v>502</v>
      </c>
      <c r="B153" s="6" t="s">
        <v>196</v>
      </c>
      <c r="C153" t="s">
        <v>114</v>
      </c>
      <c r="H153" s="27" t="s">
        <v>192</v>
      </c>
      <c r="I153" s="37" t="str">
        <f t="shared" si="56"/>
        <v>X</v>
      </c>
      <c r="N153" s="37" t="str">
        <f t="shared" si="57"/>
        <v/>
      </c>
      <c r="S153" s="37" t="str">
        <f t="shared" si="58"/>
        <v/>
      </c>
      <c r="T153" s="27" t="s">
        <v>192</v>
      </c>
      <c r="V153" s="27" t="s">
        <v>192</v>
      </c>
      <c r="W153" s="27" t="s">
        <v>192</v>
      </c>
      <c r="X153" s="37" t="str">
        <f t="shared" si="59"/>
        <v>X</v>
      </c>
      <c r="Z153" t="b">
        <f t="shared" si="60"/>
        <v>0</v>
      </c>
      <c r="AA153" t="b">
        <f t="shared" si="61"/>
        <v>1</v>
      </c>
      <c r="AB153" t="b">
        <f t="shared" si="62"/>
        <v>0</v>
      </c>
      <c r="AC153" t="b">
        <f t="shared" si="63"/>
        <v>1</v>
      </c>
      <c r="AD153" t="b">
        <f t="shared" si="64"/>
        <v>1</v>
      </c>
      <c r="AE153" t="b">
        <f t="shared" si="65"/>
        <v>1</v>
      </c>
      <c r="AF153" t="b">
        <f t="shared" si="66"/>
        <v>0</v>
      </c>
      <c r="AG153" t="b">
        <f t="shared" si="67"/>
        <v>0</v>
      </c>
      <c r="AH153" t="b">
        <f t="shared" si="68"/>
        <v>0</v>
      </c>
      <c r="AI153" t="b">
        <f t="shared" si="69"/>
        <v>1</v>
      </c>
      <c r="AJ153" t="b">
        <f t="shared" si="70"/>
        <v>0</v>
      </c>
      <c r="AK153" t="b">
        <f t="shared" si="71"/>
        <v>1</v>
      </c>
      <c r="AM153" t="b">
        <f t="shared" si="72"/>
        <v>0</v>
      </c>
      <c r="AN153" t="b">
        <f t="shared" si="73"/>
        <v>0</v>
      </c>
      <c r="AO153" t="b">
        <f t="shared" si="74"/>
        <v>0</v>
      </c>
      <c r="AP153" t="b">
        <f t="shared" si="75"/>
        <v>0</v>
      </c>
      <c r="AQ153" t="b">
        <f t="shared" si="76"/>
        <v>0</v>
      </c>
      <c r="AR153" t="b">
        <f t="shared" si="77"/>
        <v>0</v>
      </c>
      <c r="AS153" t="b">
        <f t="shared" si="78"/>
        <v>0</v>
      </c>
      <c r="AT153" t="b">
        <f t="shared" si="79"/>
        <v>0</v>
      </c>
      <c r="AU153" t="b">
        <f t="shared" si="80"/>
        <v>0</v>
      </c>
      <c r="AV153" t="b">
        <f t="shared" si="81"/>
        <v>0</v>
      </c>
      <c r="AW153" t="b">
        <f t="shared" si="82"/>
        <v>0</v>
      </c>
      <c r="AX153" t="b">
        <f t="shared" si="83"/>
        <v>0</v>
      </c>
    </row>
    <row r="154" spans="1:51">
      <c r="A154" t="s">
        <v>436</v>
      </c>
      <c r="B154" s="6" t="s">
        <v>196</v>
      </c>
      <c r="C154" t="s">
        <v>110</v>
      </c>
      <c r="I154" s="37" t="str">
        <f t="shared" si="56"/>
        <v/>
      </c>
      <c r="N154" s="37" t="str">
        <f t="shared" si="57"/>
        <v/>
      </c>
      <c r="S154" s="37" t="str">
        <f t="shared" si="58"/>
        <v/>
      </c>
      <c r="V154" s="27" t="s">
        <v>192</v>
      </c>
      <c r="X154" s="37" t="str">
        <f t="shared" si="59"/>
        <v>X</v>
      </c>
      <c r="Z154" t="b">
        <f t="shared" si="60"/>
        <v>0</v>
      </c>
      <c r="AA154" t="b">
        <f t="shared" si="61"/>
        <v>0</v>
      </c>
      <c r="AB154" t="b">
        <f t="shared" si="62"/>
        <v>0</v>
      </c>
      <c r="AC154" t="b">
        <f t="shared" si="63"/>
        <v>0</v>
      </c>
      <c r="AD154" t="b">
        <f t="shared" si="64"/>
        <v>0</v>
      </c>
      <c r="AE154" t="b">
        <f t="shared" si="65"/>
        <v>1</v>
      </c>
      <c r="AF154" t="b">
        <f t="shared" si="66"/>
        <v>0</v>
      </c>
      <c r="AG154" t="b">
        <f t="shared" si="67"/>
        <v>0</v>
      </c>
      <c r="AH154" t="b">
        <f t="shared" si="68"/>
        <v>0</v>
      </c>
      <c r="AI154" t="b">
        <f t="shared" si="69"/>
        <v>1</v>
      </c>
      <c r="AJ154" t="b">
        <f t="shared" si="70"/>
        <v>0</v>
      </c>
      <c r="AK154" t="b">
        <f t="shared" si="71"/>
        <v>1</v>
      </c>
      <c r="AM154" t="b">
        <f t="shared" si="72"/>
        <v>0</v>
      </c>
      <c r="AN154" t="b">
        <f t="shared" si="73"/>
        <v>0</v>
      </c>
      <c r="AO154" t="b">
        <f t="shared" si="74"/>
        <v>0</v>
      </c>
      <c r="AP154" t="b">
        <f t="shared" si="75"/>
        <v>0</v>
      </c>
      <c r="AQ154" t="b">
        <f t="shared" si="76"/>
        <v>0</v>
      </c>
      <c r="AR154" t="b">
        <f t="shared" si="77"/>
        <v>0</v>
      </c>
      <c r="AS154" t="b">
        <f t="shared" si="78"/>
        <v>0</v>
      </c>
      <c r="AT154" t="b">
        <f t="shared" si="79"/>
        <v>0</v>
      </c>
      <c r="AU154" t="b">
        <f t="shared" si="80"/>
        <v>0</v>
      </c>
      <c r="AV154" t="b">
        <f t="shared" si="81"/>
        <v>0</v>
      </c>
      <c r="AW154" t="b">
        <f t="shared" si="82"/>
        <v>0</v>
      </c>
      <c r="AX154" t="b">
        <f t="shared" si="83"/>
        <v>0</v>
      </c>
    </row>
    <row r="155" spans="1:51">
      <c r="A155" t="s">
        <v>437</v>
      </c>
      <c r="B155" s="6" t="s">
        <v>196</v>
      </c>
      <c r="C155" t="s">
        <v>114</v>
      </c>
      <c r="I155" s="37" t="str">
        <f t="shared" si="56"/>
        <v/>
      </c>
      <c r="N155" s="37" t="str">
        <f t="shared" si="57"/>
        <v/>
      </c>
      <c r="S155" s="37" t="str">
        <f t="shared" si="58"/>
        <v/>
      </c>
      <c r="W155" s="27" t="s">
        <v>192</v>
      </c>
      <c r="X155" s="37" t="str">
        <f t="shared" si="59"/>
        <v>X</v>
      </c>
      <c r="Z155" t="b">
        <f t="shared" si="60"/>
        <v>0</v>
      </c>
      <c r="AA155" t="b">
        <f t="shared" si="61"/>
        <v>0</v>
      </c>
      <c r="AB155" t="b">
        <f t="shared" si="62"/>
        <v>0</v>
      </c>
      <c r="AC155" t="b">
        <f t="shared" si="63"/>
        <v>0</v>
      </c>
      <c r="AD155" t="b">
        <f t="shared" si="64"/>
        <v>0</v>
      </c>
      <c r="AE155" t="b">
        <f t="shared" si="65"/>
        <v>1</v>
      </c>
      <c r="AF155" t="b">
        <f t="shared" si="66"/>
        <v>0</v>
      </c>
      <c r="AG155" t="b">
        <f t="shared" si="67"/>
        <v>0</v>
      </c>
      <c r="AH155" t="b">
        <f t="shared" si="68"/>
        <v>0</v>
      </c>
      <c r="AI155" t="b">
        <f t="shared" si="69"/>
        <v>1</v>
      </c>
      <c r="AJ155" t="b">
        <f t="shared" si="70"/>
        <v>0</v>
      </c>
      <c r="AK155" t="b">
        <f t="shared" si="71"/>
        <v>1</v>
      </c>
      <c r="AM155" t="b">
        <f t="shared" si="72"/>
        <v>0</v>
      </c>
      <c r="AN155" t="b">
        <f t="shared" si="73"/>
        <v>0</v>
      </c>
      <c r="AO155" t="b">
        <f t="shared" si="74"/>
        <v>0</v>
      </c>
      <c r="AP155" t="b">
        <f t="shared" si="75"/>
        <v>0</v>
      </c>
      <c r="AQ155" t="b">
        <f t="shared" si="76"/>
        <v>0</v>
      </c>
      <c r="AR155" t="b">
        <f t="shared" si="77"/>
        <v>0</v>
      </c>
      <c r="AS155" t="b">
        <f t="shared" si="78"/>
        <v>0</v>
      </c>
      <c r="AT155" t="b">
        <f t="shared" si="79"/>
        <v>0</v>
      </c>
      <c r="AU155" t="b">
        <f t="shared" si="80"/>
        <v>0</v>
      </c>
      <c r="AV155" t="b">
        <f t="shared" si="81"/>
        <v>0</v>
      </c>
      <c r="AW155" t="b">
        <f t="shared" si="82"/>
        <v>0</v>
      </c>
      <c r="AX155" t="b">
        <f t="shared" si="83"/>
        <v>0</v>
      </c>
    </row>
    <row r="156" spans="1:51">
      <c r="B156" s="6"/>
      <c r="I156" s="37"/>
      <c r="N156" s="37"/>
      <c r="S156" s="37"/>
      <c r="X156" s="37"/>
    </row>
    <row r="157" spans="1:51">
      <c r="A157"/>
      <c r="B157" s="6"/>
      <c r="R157"/>
      <c r="S157"/>
      <c r="T157"/>
      <c r="U157"/>
      <c r="V157"/>
      <c r="W157"/>
      <c r="X157"/>
      <c r="Y157" s="38" t="s">
        <v>261</v>
      </c>
      <c r="Z157" s="7">
        <f>COUNTIF(Z2:Z153,TRUE())</f>
        <v>23</v>
      </c>
      <c r="AA157" s="7">
        <f t="shared" ref="AA157:AX157" si="84">COUNTIF(AA2:AA153,TRUE())</f>
        <v>95</v>
      </c>
      <c r="AB157" s="7">
        <f t="shared" si="84"/>
        <v>23</v>
      </c>
      <c r="AC157" s="7">
        <f t="shared" si="84"/>
        <v>88</v>
      </c>
      <c r="AD157" s="7">
        <f t="shared" si="84"/>
        <v>21</v>
      </c>
      <c r="AE157" s="7">
        <f t="shared" si="84"/>
        <v>75</v>
      </c>
      <c r="AF157" s="7">
        <f t="shared" si="84"/>
        <v>16</v>
      </c>
      <c r="AG157" s="7">
        <f t="shared" si="84"/>
        <v>97</v>
      </c>
      <c r="AH157" s="7">
        <f t="shared" si="84"/>
        <v>18</v>
      </c>
      <c r="AI157" s="7">
        <f t="shared" si="84"/>
        <v>80</v>
      </c>
      <c r="AJ157" s="7">
        <f t="shared" si="84"/>
        <v>14</v>
      </c>
      <c r="AK157" s="7">
        <f t="shared" si="84"/>
        <v>77</v>
      </c>
      <c r="AL157" s="16" t="s">
        <v>503</v>
      </c>
      <c r="AM157" s="7">
        <f t="shared" si="84"/>
        <v>21</v>
      </c>
      <c r="AN157" s="7">
        <f t="shared" si="84"/>
        <v>54</v>
      </c>
      <c r="AO157" s="7">
        <f t="shared" si="84"/>
        <v>20</v>
      </c>
      <c r="AP157" s="7">
        <f t="shared" si="84"/>
        <v>51</v>
      </c>
      <c r="AQ157" s="7">
        <f t="shared" si="84"/>
        <v>20</v>
      </c>
      <c r="AR157" s="7">
        <f t="shared" si="84"/>
        <v>52</v>
      </c>
      <c r="AS157" s="7">
        <f t="shared" si="84"/>
        <v>14</v>
      </c>
      <c r="AT157" s="7">
        <f t="shared" si="84"/>
        <v>42</v>
      </c>
      <c r="AU157" s="7">
        <f t="shared" si="84"/>
        <v>18</v>
      </c>
      <c r="AV157" s="7">
        <f t="shared" si="84"/>
        <v>39</v>
      </c>
      <c r="AW157" s="7">
        <f t="shared" si="84"/>
        <v>14</v>
      </c>
      <c r="AX157" s="7">
        <f t="shared" si="84"/>
        <v>39</v>
      </c>
      <c r="AY157" s="16" t="s">
        <v>503</v>
      </c>
    </row>
    <row r="158" spans="1:51">
      <c r="R158"/>
      <c r="S158" s="27"/>
      <c r="W158"/>
      <c r="Y158" s="16" t="s">
        <v>132</v>
      </c>
      <c r="Z158" s="56">
        <f>Z157/AA157</f>
        <v>0.24210526315789474</v>
      </c>
      <c r="AA158" s="56"/>
      <c r="AB158" s="56">
        <f>AB157/AC157</f>
        <v>0.26136363636363635</v>
      </c>
      <c r="AC158" s="56"/>
      <c r="AD158" s="56">
        <f>AD157/AE157</f>
        <v>0.28000000000000003</v>
      </c>
      <c r="AE158" s="56"/>
      <c r="AF158" s="56">
        <f>AF157/AG157</f>
        <v>0.16494845360824742</v>
      </c>
      <c r="AG158" s="56"/>
      <c r="AH158" s="56">
        <f>AH157/AI157</f>
        <v>0.22500000000000001</v>
      </c>
      <c r="AI158" s="56"/>
      <c r="AJ158" s="56">
        <f>AJ157/AK157</f>
        <v>0.18181818181818182</v>
      </c>
      <c r="AK158" s="56"/>
      <c r="AL158" s="39">
        <f>AVERAGE(Z158:AK158)</f>
        <v>0.22587258915799338</v>
      </c>
      <c r="AM158" s="56">
        <f>AM157/AN157</f>
        <v>0.3888888888888889</v>
      </c>
      <c r="AN158" s="56"/>
      <c r="AO158" s="56">
        <f>AO157/AP157</f>
        <v>0.39215686274509803</v>
      </c>
      <c r="AP158" s="56"/>
      <c r="AQ158" s="56">
        <f>AQ157/AR157</f>
        <v>0.38461538461538464</v>
      </c>
      <c r="AR158" s="56"/>
      <c r="AS158" s="56">
        <f>AS157/AT157</f>
        <v>0.33333333333333331</v>
      </c>
      <c r="AT158" s="56"/>
      <c r="AU158" s="56">
        <f>AU157/AV157</f>
        <v>0.46153846153846156</v>
      </c>
      <c r="AV158" s="56"/>
      <c r="AW158" s="56">
        <f>AW157/AX157</f>
        <v>0.35897435897435898</v>
      </c>
      <c r="AX158" s="56"/>
      <c r="AY158" s="39">
        <f>AVERAGE(AM158:AX158)</f>
        <v>0.38658454834925426</v>
      </c>
    </row>
    <row r="159" spans="1:51" ht="14.45">
      <c r="AL159" s="25">
        <f>GEOMEAN(Z158:AK158)</f>
        <v>0.22195379947987709</v>
      </c>
      <c r="AY159" s="25">
        <f>GEOMEAN(AM158:AX158)</f>
        <v>0.38465998743924174</v>
      </c>
    </row>
    <row r="160" spans="1:51" ht="14.45">
      <c r="D160" s="27"/>
    </row>
    <row r="161" spans="4:4" ht="14.45">
      <c r="D161" s="27"/>
    </row>
    <row r="162" spans="4:4" ht="14.45"/>
    <row r="163" spans="4:4" ht="14.45"/>
    <row r="164" spans="4:4" ht="14.45"/>
    <row r="165" spans="4:4" ht="14.45">
      <c r="D165" s="27"/>
    </row>
    <row r="166" spans="4:4" ht="14.45"/>
    <row r="167" spans="4:4" ht="14.45"/>
    <row r="168" spans="4:4" ht="14.45"/>
    <row r="169" spans="4:4" ht="14.45"/>
    <row r="170" spans="4:4" ht="14.45"/>
    <row r="171" spans="4:4" ht="14.45"/>
    <row r="172" spans="4:4" ht="14.45"/>
    <row r="173" spans="4:4" ht="14.45"/>
    <row r="174" spans="4:4" ht="14.45"/>
    <row r="175" spans="4:4" ht="14.45"/>
    <row r="176" spans="4:4" ht="14.45"/>
    <row r="177" ht="14.45"/>
    <row r="178" ht="14.45"/>
    <row r="179" ht="14.45"/>
    <row r="180" ht="14.45"/>
    <row r="181" ht="14.45"/>
    <row r="182" ht="14.45"/>
    <row r="183" ht="14.45"/>
    <row r="184" ht="14.45"/>
    <row r="185" ht="14.45"/>
    <row r="186" ht="14.45"/>
    <row r="187" ht="14.45"/>
    <row r="188" ht="14.45"/>
    <row r="189" ht="14.45"/>
    <row r="190" ht="14.45"/>
    <row r="191" ht="14.45"/>
    <row r="192" ht="14.45"/>
    <row r="193" ht="14.45"/>
    <row r="194" ht="14.45"/>
    <row r="195" ht="14.45"/>
    <row r="196" ht="14.45"/>
    <row r="197" ht="14.45"/>
    <row r="198" ht="14.45"/>
    <row r="199" ht="14.45"/>
    <row r="200" ht="14.45"/>
    <row r="201" ht="14.45"/>
    <row r="202" ht="14.45"/>
    <row r="203" ht="14.45"/>
    <row r="204" ht="14.45"/>
    <row r="205" ht="14.45"/>
    <row r="206" ht="14.45"/>
    <row r="207" ht="14.45"/>
    <row r="208" ht="14.45"/>
    <row r="209" ht="14.45"/>
    <row r="210" ht="14.45"/>
    <row r="211" ht="14.45"/>
    <row r="212" ht="14.45"/>
    <row r="213" ht="14.45"/>
    <row r="214" ht="14.45"/>
    <row r="215" ht="14.45"/>
    <row r="216" ht="14.45"/>
    <row r="217" ht="14.45"/>
    <row r="218" ht="14.45"/>
    <row r="219" ht="14.45"/>
    <row r="220" ht="14.45"/>
    <row r="221" ht="14.45"/>
    <row r="222" ht="14.45"/>
    <row r="223" ht="14.45"/>
    <row r="224" ht="14.45"/>
    <row r="225" ht="14.45"/>
    <row r="226" ht="14.45"/>
    <row r="227" ht="14.45"/>
    <row r="228" ht="14.45"/>
    <row r="229" ht="14.45"/>
    <row r="230" ht="14.45"/>
    <row r="231" ht="14.45"/>
    <row r="232" ht="14.45"/>
    <row r="233" ht="14.45"/>
    <row r="234" ht="14.45"/>
    <row r="235" ht="14.45"/>
    <row r="236" ht="14.45"/>
    <row r="237" ht="14.45"/>
    <row r="238" ht="14.45"/>
    <row r="239" ht="14.45"/>
    <row r="240" ht="14.45"/>
    <row r="241" spans="2:2" ht="14.45">
      <c r="B241" s="6"/>
    </row>
    <row r="242" spans="2:2" ht="14.45"/>
    <row r="243" spans="2:2" ht="14.45"/>
    <row r="244" spans="2:2" ht="14.45"/>
    <row r="245" spans="2:2" ht="14.45"/>
    <row r="246" spans="2:2" ht="14.45"/>
    <row r="247" spans="2:2" ht="14.45"/>
    <row r="248" spans="2:2" ht="14.45"/>
    <row r="249" spans="2:2" ht="14.45"/>
    <row r="250" spans="2:2" ht="14.45"/>
    <row r="251" spans="2:2" ht="14.45"/>
    <row r="252" spans="2:2" ht="14.45"/>
    <row r="253" spans="2:2" ht="14.45"/>
    <row r="254" spans="2:2" ht="14.45"/>
    <row r="255" spans="2:2" ht="14.45"/>
    <row r="256" spans="2:2" ht="14.45"/>
    <row r="257" spans="2:3" ht="14.45"/>
    <row r="258" spans="2:3" ht="14.45"/>
    <row r="259" spans="2:3" ht="14.45"/>
    <row r="260" spans="2:3" ht="14.45"/>
    <row r="261" spans="2:3" ht="14.45"/>
    <row r="262" spans="2:3" ht="14.45"/>
    <row r="263" spans="2:3" ht="14.45"/>
    <row r="264" spans="2:3" ht="14.45"/>
    <row r="265" spans="2:3" ht="14.45"/>
    <row r="266" spans="2:3" ht="14.45"/>
    <row r="267" spans="2:3" ht="14.45"/>
    <row r="268" spans="2:3" ht="14.45"/>
    <row r="269" spans="2:3" ht="14.45"/>
    <row r="270" spans="2:3" ht="14.45"/>
    <row r="271" spans="2:3" ht="14.45">
      <c r="B271" s="6"/>
      <c r="C271" s="6"/>
    </row>
  </sheetData>
  <autoFilter ref="A1:X155" xr:uid="{DF6AF2CA-8A96-4DC4-9847-12EDB80F16AB}"/>
  <mergeCells count="12">
    <mergeCell ref="AW158:AX158"/>
    <mergeCell ref="AJ158:AK158"/>
    <mergeCell ref="AM158:AN158"/>
    <mergeCell ref="AO158:AP158"/>
    <mergeCell ref="AQ158:AR158"/>
    <mergeCell ref="AS158:AT158"/>
    <mergeCell ref="AU158:AV158"/>
    <mergeCell ref="Z158:AA158"/>
    <mergeCell ref="AB158:AC158"/>
    <mergeCell ref="AD158:AE158"/>
    <mergeCell ref="AF158:AG158"/>
    <mergeCell ref="AH158:AI158"/>
  </mergeCells>
  <conditionalFormatting sqref="D178:D186 D188:D189 D191:D192 D194:D199 D201:D208 D210:D211 D213:D221 B241:C241 D248 B271:D271 C157 B144:C144 B145:B157 B2:B143">
    <cfRule type="containsText" dxfId="258" priority="96" operator="containsText" text="No">
      <formula>NOT(ISERROR(SEARCH("No",B2)))</formula>
    </cfRule>
    <cfRule type="containsText" dxfId="257" priority="97" operator="containsText" text="Yes">
      <formula>NOT(ISERROR(SEARCH("Yes",B2)))</formula>
    </cfRule>
  </conditionalFormatting>
  <conditionalFormatting sqref="C67:C73">
    <cfRule type="containsText" dxfId="256" priority="45" operator="containsText" text="No">
      <formula>NOT(ISERROR(SEARCH("No",C67)))</formula>
    </cfRule>
    <cfRule type="containsText" dxfId="255" priority="46" operator="containsText" text="Yes">
      <formula>NOT(ISERROR(SEARCH("Yes",C67)))</formula>
    </cfRule>
  </conditionalFormatting>
  <conditionalFormatting sqref="C81:C82">
    <cfRule type="containsText" dxfId="254" priority="41" operator="containsText" text="No">
      <formula>NOT(ISERROR(SEARCH("No",C81)))</formula>
    </cfRule>
    <cfRule type="containsText" dxfId="253" priority="42" operator="containsText" text="Yes">
      <formula>NOT(ISERROR(SEARCH("Yes",C81)))</formula>
    </cfRule>
  </conditionalFormatting>
  <conditionalFormatting sqref="C89:C90">
    <cfRule type="containsText" dxfId="252" priority="37" operator="containsText" text="No">
      <formula>NOT(ISERROR(SEARCH("No",C89)))</formula>
    </cfRule>
    <cfRule type="containsText" dxfId="251" priority="38" operator="containsText" text="Yes">
      <formula>NOT(ISERROR(SEARCH("Yes",C89)))</formula>
    </cfRule>
  </conditionalFormatting>
  <conditionalFormatting sqref="C102:C105 C107:C110">
    <cfRule type="containsText" dxfId="250" priority="31" operator="containsText" text="No">
      <formula>NOT(ISERROR(SEARCH("No",C102)))</formula>
    </cfRule>
    <cfRule type="containsText" dxfId="249" priority="32" operator="containsText" text="Yes">
      <formula>NOT(ISERROR(SEARCH("Yes",C102)))</formula>
    </cfRule>
  </conditionalFormatting>
  <conditionalFormatting sqref="C114:C121">
    <cfRule type="containsText" dxfId="248" priority="21" operator="containsText" text="No">
      <formula>NOT(ISERROR(SEARCH("No",C114)))</formula>
    </cfRule>
    <cfRule type="containsText" dxfId="247" priority="22" operator="containsText" text="Yes">
      <formula>NOT(ISERROR(SEARCH("Yes",C114)))</formula>
    </cfRule>
  </conditionalFormatting>
  <conditionalFormatting sqref="C130:C131">
    <cfRule type="containsText" dxfId="246" priority="17" operator="containsText" text="No">
      <formula>NOT(ISERROR(SEARCH("No",C130)))</formula>
    </cfRule>
    <cfRule type="containsText" dxfId="245" priority="18" operator="containsText" text="Yes">
      <formula>NOT(ISERROR(SEARCH("Yes",C130)))</formula>
    </cfRule>
  </conditionalFormatting>
  <conditionalFormatting sqref="C145:C156">
    <cfRule type="containsText" dxfId="244" priority="9" operator="containsText" text="No">
      <formula>NOT(ISERROR(SEARCH("No",C145)))</formula>
    </cfRule>
    <cfRule type="containsText" dxfId="243" priority="10" operator="containsText" text="Yes">
      <formula>NOT(ISERROR(SEARCH("Yes",C145)))</formula>
    </cfRule>
  </conditionalFormatting>
  <conditionalFormatting sqref="D2:D159">
    <cfRule type="containsText" dxfId="242" priority="88" operator="containsText" text="No">
      <formula>NOT(ISERROR(SEARCH("No",D2)))</formula>
    </cfRule>
    <cfRule type="containsText" dxfId="241" priority="89" operator="containsText" text="Yes">
      <formula>NOT(ISERROR(SEARCH("Yes",D2)))</formula>
    </cfRule>
  </conditionalFormatting>
  <conditionalFormatting sqref="D162:D163">
    <cfRule type="containsText" dxfId="240" priority="82" operator="containsText" text="No">
      <formula>NOT(ISERROR(SEARCH("No",D162)))</formula>
    </cfRule>
    <cfRule type="containsText" dxfId="239" priority="83" operator="containsText" text="Yes">
      <formula>NOT(ISERROR(SEARCH("Yes",D162)))</formula>
    </cfRule>
  </conditionalFormatting>
  <conditionalFormatting sqref="D166:D176">
    <cfRule type="containsText" dxfId="238" priority="62" operator="containsText" text="No">
      <formula>NOT(ISERROR(SEARCH("No",D166)))</formula>
    </cfRule>
    <cfRule type="containsText" dxfId="237" priority="63" operator="containsText" text="Yes">
      <formula>NOT(ISERROR(SEARCH("Yes",D166)))</formula>
    </cfRule>
  </conditionalFormatting>
  <conditionalFormatting sqref="C106">
    <cfRule type="containsText" dxfId="236" priority="3" operator="containsText" text="No">
      <formula>NOT(ISERROR(SEARCH("No",C106)))</formula>
    </cfRule>
    <cfRule type="containsText" dxfId="235" priority="4" operator="containsText" text="Yes">
      <formula>NOT(ISERROR(SEARCH("Yes",C106)))</formula>
    </cfRule>
  </conditionalFormatting>
  <conditionalFormatting sqref="C83:C84">
    <cfRule type="containsText" dxfId="234" priority="1" operator="containsText" text="No">
      <formula>NOT(ISERROR(SEARCH("No",C83)))</formula>
    </cfRule>
    <cfRule type="containsText" dxfId="233" priority="2" operator="containsText" text="Yes">
      <formula>NOT(ISERROR(SEARCH("Yes",C83)))</formula>
    </cfRule>
  </conditionalFormatting>
  <dataValidations count="1">
    <dataValidation operator="equal" allowBlank="1" showInputMessage="1" showErrorMessage="1" sqref="C89:C90 C102:C110 C232 C130:C131 C254 C114:C121 C251 C81:C84 C235 C241:C242 C8:C20 C229 C28:C41 D165:D176 D146:D163 C62:C73 C144:C157" xr:uid="{05A9E0B7-302B-4D30-A4E1-56A134D4D6AF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81"/>
  <sheetViews>
    <sheetView topLeftCell="A38" zoomScale="85" zoomScaleNormal="85" workbookViewId="0">
      <selection activeCell="D79" sqref="D79:AE79"/>
    </sheetView>
  </sheetViews>
  <sheetFormatPr defaultColWidth="9.140625" defaultRowHeight="14.45"/>
  <cols>
    <col min="1" max="1" width="40.7109375" customWidth="1"/>
    <col min="2" max="2" width="9.5703125" customWidth="1"/>
    <col min="3" max="3" width="40.7109375" customWidth="1"/>
    <col min="4" max="31" width="8.7109375" customWidth="1"/>
  </cols>
  <sheetData>
    <row r="1" spans="1:31" ht="16.350000000000001" customHeight="1">
      <c r="A1" s="48" t="s">
        <v>504</v>
      </c>
      <c r="B1" s="48" t="s">
        <v>505</v>
      </c>
      <c r="C1" s="48" t="s">
        <v>506</v>
      </c>
      <c r="D1" s="48" t="s">
        <v>507</v>
      </c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</row>
    <row r="2" spans="1:31">
      <c r="A2" s="48"/>
      <c r="B2" s="48"/>
      <c r="C2" s="48"/>
      <c r="D2" s="5" t="s">
        <v>47</v>
      </c>
      <c r="E2" s="5" t="s">
        <v>48</v>
      </c>
      <c r="F2" s="5" t="s">
        <v>264</v>
      </c>
      <c r="G2" s="5" t="s">
        <v>265</v>
      </c>
      <c r="H2" s="5" t="s">
        <v>266</v>
      </c>
      <c r="I2" s="5" t="s">
        <v>49</v>
      </c>
      <c r="J2" s="5" t="s">
        <v>50</v>
      </c>
      <c r="K2" s="5" t="s">
        <v>51</v>
      </c>
      <c r="L2" s="5" t="s">
        <v>52</v>
      </c>
      <c r="M2" s="5" t="s">
        <v>53</v>
      </c>
      <c r="N2" s="5" t="s">
        <v>54</v>
      </c>
      <c r="O2" s="5" t="s">
        <v>306</v>
      </c>
      <c r="P2" s="5" t="s">
        <v>307</v>
      </c>
      <c r="Q2" s="5" t="s">
        <v>308</v>
      </c>
      <c r="R2" s="5" t="s">
        <v>55</v>
      </c>
      <c r="S2" s="5" t="s">
        <v>56</v>
      </c>
      <c r="T2" s="5" t="s">
        <v>57</v>
      </c>
      <c r="U2" s="5" t="s">
        <v>361</v>
      </c>
      <c r="V2" s="5" t="s">
        <v>362</v>
      </c>
      <c r="W2" s="5" t="s">
        <v>363</v>
      </c>
      <c r="X2" s="5" t="s">
        <v>58</v>
      </c>
      <c r="Y2" s="5" t="s">
        <v>59</v>
      </c>
      <c r="Z2" s="5" t="s">
        <v>60</v>
      </c>
      <c r="AA2" s="5" t="s">
        <v>408</v>
      </c>
      <c r="AB2" s="5" t="s">
        <v>409</v>
      </c>
      <c r="AC2" s="5" t="s">
        <v>410</v>
      </c>
      <c r="AD2" s="5" t="s">
        <v>61</v>
      </c>
      <c r="AE2" s="5" t="s">
        <v>62</v>
      </c>
    </row>
    <row r="3" spans="1:31" ht="14.25" customHeight="1">
      <c r="A3" s="49" t="s">
        <v>508</v>
      </c>
      <c r="B3" s="3" t="s">
        <v>455</v>
      </c>
      <c r="C3" s="3" t="s">
        <v>509</v>
      </c>
      <c r="D3" s="3" t="s">
        <v>191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ht="14.25" customHeight="1">
      <c r="A4" s="49"/>
      <c r="B4" s="3" t="s">
        <v>456</v>
      </c>
      <c r="C4" s="3" t="s">
        <v>510</v>
      </c>
      <c r="D4" s="3" t="s">
        <v>321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spans="1:31">
      <c r="A5" s="49"/>
      <c r="B5" s="3" t="s">
        <v>194</v>
      </c>
      <c r="C5" s="3" t="s">
        <v>511</v>
      </c>
      <c r="D5" s="3"/>
      <c r="E5" s="3"/>
      <c r="F5" s="3"/>
      <c r="G5" s="3"/>
      <c r="H5" s="3"/>
      <c r="I5" s="3"/>
      <c r="J5" s="3"/>
      <c r="K5" s="3" t="s">
        <v>512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1:31" ht="16.350000000000001" customHeight="1">
      <c r="A6" s="44" t="s">
        <v>513</v>
      </c>
      <c r="B6" s="3" t="s">
        <v>457</v>
      </c>
      <c r="C6" s="3" t="s">
        <v>514</v>
      </c>
      <c r="D6" s="3" t="s">
        <v>199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pans="1:31">
      <c r="A7" s="44"/>
      <c r="B7" s="3" t="s">
        <v>458</v>
      </c>
      <c r="C7" s="3" t="s">
        <v>515</v>
      </c>
      <c r="D7" s="3" t="s">
        <v>279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spans="1:31">
      <c r="A8" s="44"/>
      <c r="B8" s="3" t="s">
        <v>280</v>
      </c>
      <c r="C8" s="3" t="s">
        <v>516</v>
      </c>
      <c r="D8" s="3"/>
      <c r="E8" s="3" t="s">
        <v>517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t="s">
        <v>518</v>
      </c>
      <c r="X8" s="3"/>
      <c r="Y8" s="3"/>
      <c r="Z8" s="3"/>
      <c r="AA8" s="3"/>
      <c r="AB8" s="3"/>
      <c r="AC8" s="3"/>
      <c r="AD8" s="3"/>
      <c r="AE8" s="3"/>
    </row>
    <row r="9" spans="1:31" ht="16.350000000000001" customHeight="1">
      <c r="A9" s="44" t="s">
        <v>519</v>
      </c>
      <c r="B9" s="3" t="s">
        <v>461</v>
      </c>
      <c r="C9" s="3" t="s">
        <v>520</v>
      </c>
      <c r="D9" s="3" t="s">
        <v>202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spans="1:31">
      <c r="A10" s="44"/>
      <c r="B10" s="3" t="s">
        <v>462</v>
      </c>
      <c r="C10" s="3" t="s">
        <v>521</v>
      </c>
      <c r="D10" s="3" t="s">
        <v>203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spans="1:31">
      <c r="A11" s="44"/>
      <c r="B11" s="3" t="s">
        <v>463</v>
      </c>
      <c r="C11" s="3" t="s">
        <v>522</v>
      </c>
      <c r="D11" s="3" t="s">
        <v>464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spans="1:31">
      <c r="A12" s="44"/>
      <c r="B12" s="3" t="s">
        <v>465</v>
      </c>
      <c r="C12" s="3" t="s">
        <v>523</v>
      </c>
      <c r="D12" s="3" t="s">
        <v>204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spans="1:31">
      <c r="A13" s="44"/>
      <c r="B13" s="3" t="s">
        <v>466</v>
      </c>
      <c r="C13" s="3" t="s">
        <v>524</v>
      </c>
      <c r="D13" s="3" t="s">
        <v>205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1:31">
      <c r="A14" s="44"/>
      <c r="B14" s="3" t="s">
        <v>323</v>
      </c>
      <c r="C14" s="3" t="s">
        <v>525</v>
      </c>
      <c r="D14" s="3"/>
      <c r="E14" s="3"/>
      <c r="F14" s="3"/>
      <c r="G14" s="3"/>
      <c r="H14" s="3"/>
      <c r="I14" s="3" t="s">
        <v>526</v>
      </c>
      <c r="J14" s="3"/>
      <c r="K14" s="3"/>
      <c r="L14" s="3"/>
      <c r="M14" s="3"/>
      <c r="N14" s="3" t="s">
        <v>527</v>
      </c>
      <c r="O14" s="3"/>
      <c r="P14" s="3"/>
      <c r="Q14" s="3"/>
      <c r="R14" s="3" t="s">
        <v>528</v>
      </c>
      <c r="S14" s="3" t="s">
        <v>529</v>
      </c>
      <c r="T14" s="3"/>
      <c r="U14" s="3"/>
      <c r="V14" s="3"/>
      <c r="W14" s="3"/>
      <c r="X14" s="3" t="s">
        <v>530</v>
      </c>
      <c r="Y14" s="3"/>
      <c r="Z14" s="3"/>
      <c r="AA14" s="3"/>
      <c r="AB14" t="s">
        <v>531</v>
      </c>
      <c r="AC14" s="3"/>
      <c r="AD14" s="3" t="s">
        <v>532</v>
      </c>
      <c r="AE14" s="3" t="s">
        <v>533</v>
      </c>
    </row>
    <row r="15" spans="1:31">
      <c r="A15" s="44"/>
      <c r="B15" s="3" t="s">
        <v>467</v>
      </c>
      <c r="C15" s="3" t="s">
        <v>534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535</v>
      </c>
      <c r="Y15" s="3"/>
      <c r="Z15" s="3"/>
      <c r="AA15" s="3"/>
      <c r="AB15" s="3"/>
      <c r="AC15" s="3"/>
      <c r="AD15" s="3"/>
      <c r="AE15" s="3"/>
    </row>
    <row r="16" spans="1:31" ht="14.25" customHeight="1">
      <c r="A16" s="44" t="s">
        <v>536</v>
      </c>
      <c r="B16" s="3" t="s">
        <v>469</v>
      </c>
      <c r="C16" s="3" t="s">
        <v>537</v>
      </c>
      <c r="D16" s="3" t="s">
        <v>214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1:31" ht="14.25" customHeight="1">
      <c r="A17" s="44"/>
      <c r="B17" s="3" t="s">
        <v>470</v>
      </c>
      <c r="C17" s="3" t="s">
        <v>538</v>
      </c>
      <c r="D17" s="3" t="s">
        <v>215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spans="1:31">
      <c r="A18" s="44"/>
      <c r="B18" s="3" t="s">
        <v>471</v>
      </c>
      <c r="C18" s="3" t="s">
        <v>539</v>
      </c>
      <c r="D18" s="3" t="s">
        <v>216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spans="1:31" ht="14.25" customHeight="1">
      <c r="A19" s="44"/>
      <c r="B19" s="3" t="s">
        <v>472</v>
      </c>
      <c r="C19" s="3" t="s">
        <v>540</v>
      </c>
      <c r="D19" s="3" t="s">
        <v>217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1:31" ht="14.25" customHeight="1">
      <c r="A20" s="44"/>
      <c r="B20" s="3" t="s">
        <v>473</v>
      </c>
      <c r="C20" s="3" t="s">
        <v>541</v>
      </c>
      <c r="D20" s="3" t="s">
        <v>218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1:31" ht="14.25" customHeight="1">
      <c r="A21" s="44"/>
      <c r="B21" s="3" t="s">
        <v>474</v>
      </c>
      <c r="C21" s="3" t="s">
        <v>542</v>
      </c>
      <c r="D21" s="3" t="s">
        <v>333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spans="1:31" ht="14.25" customHeight="1">
      <c r="A22" s="44"/>
      <c r="B22" s="3" t="s">
        <v>475</v>
      </c>
      <c r="C22" s="3" t="s">
        <v>543</v>
      </c>
      <c r="D22" s="3" t="s">
        <v>219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1:31" ht="14.25" customHeight="1">
      <c r="A23" s="44"/>
      <c r="B23" s="3" t="s">
        <v>476</v>
      </c>
      <c r="C23" s="3" t="s">
        <v>544</v>
      </c>
      <c r="D23" s="3" t="s">
        <v>221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</row>
    <row r="24" spans="1:31" ht="14.25" customHeight="1">
      <c r="A24" s="44"/>
      <c r="B24" s="3" t="s">
        <v>285</v>
      </c>
      <c r="C24" s="3" t="s">
        <v>545</v>
      </c>
      <c r="D24" s="3"/>
      <c r="E24" s="3" t="s">
        <v>546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</row>
    <row r="25" spans="1:31" ht="14.25" customHeight="1">
      <c r="A25" s="44"/>
      <c r="B25" s="3" t="s">
        <v>222</v>
      </c>
      <c r="C25" s="3" t="s">
        <v>547</v>
      </c>
      <c r="D25" s="3"/>
      <c r="E25" s="3" t="s">
        <v>548</v>
      </c>
      <c r="F25" s="3"/>
      <c r="G25" s="3"/>
      <c r="H25" s="3"/>
      <c r="I25" s="3" t="s">
        <v>549</v>
      </c>
      <c r="J25" s="3"/>
      <c r="K25" s="3" t="s">
        <v>550</v>
      </c>
      <c r="L25" s="3" t="s">
        <v>551</v>
      </c>
      <c r="M25" s="3"/>
      <c r="N25" s="3"/>
      <c r="O25" s="3"/>
      <c r="P25" s="3"/>
      <c r="Q25" s="3"/>
      <c r="R25" s="3"/>
      <c r="S25" s="3"/>
      <c r="T25" s="3" t="s">
        <v>552</v>
      </c>
      <c r="U25" t="s">
        <v>553</v>
      </c>
      <c r="V25" t="s">
        <v>554</v>
      </c>
      <c r="W25" t="s">
        <v>555</v>
      </c>
      <c r="X25" s="3"/>
      <c r="Y25" s="3"/>
      <c r="Z25" s="3"/>
      <c r="AA25" s="3"/>
      <c r="AB25" s="3"/>
      <c r="AC25" s="3"/>
      <c r="AD25" s="3"/>
      <c r="AE25" s="3"/>
    </row>
    <row r="26" spans="1:31" ht="14.25" customHeight="1">
      <c r="A26" s="44"/>
      <c r="B26" s="3" t="s">
        <v>286</v>
      </c>
      <c r="C26" s="3" t="s">
        <v>556</v>
      </c>
      <c r="D26" s="3"/>
      <c r="E26" s="3" t="s">
        <v>557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 t="s">
        <v>552</v>
      </c>
      <c r="U26" t="s">
        <v>553</v>
      </c>
      <c r="V26" t="s">
        <v>554</v>
      </c>
      <c r="W26" t="s">
        <v>558</v>
      </c>
      <c r="X26" s="3"/>
      <c r="Y26" s="3"/>
      <c r="Z26" s="3"/>
      <c r="AA26" s="3"/>
      <c r="AB26" s="3"/>
      <c r="AC26" s="3"/>
      <c r="AD26" s="3"/>
      <c r="AE26" s="3"/>
    </row>
    <row r="27" spans="1:31" ht="14.25" customHeight="1">
      <c r="A27" s="44"/>
      <c r="B27" s="3" t="s">
        <v>287</v>
      </c>
      <c r="C27" s="3" t="s">
        <v>559</v>
      </c>
      <c r="D27" s="3"/>
      <c r="E27" s="3" t="s">
        <v>560</v>
      </c>
      <c r="F27" s="3"/>
      <c r="G27" s="3"/>
      <c r="H27" s="3"/>
      <c r="I27" s="3" t="s">
        <v>561</v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 t="s">
        <v>552</v>
      </c>
      <c r="U27" t="s">
        <v>553</v>
      </c>
      <c r="V27" t="s">
        <v>554</v>
      </c>
      <c r="W27" t="s">
        <v>562</v>
      </c>
      <c r="X27" s="3"/>
      <c r="Y27" s="3"/>
      <c r="Z27" s="3"/>
      <c r="AA27" s="3"/>
      <c r="AB27" s="3"/>
      <c r="AC27" s="3"/>
      <c r="AD27" s="3"/>
      <c r="AE27" s="3"/>
    </row>
    <row r="28" spans="1:31" ht="14.25" customHeight="1">
      <c r="A28" s="44"/>
      <c r="B28" s="3" t="s">
        <v>223</v>
      </c>
      <c r="C28" s="3" t="s">
        <v>563</v>
      </c>
      <c r="D28" s="3"/>
      <c r="E28" s="3"/>
      <c r="F28" s="3"/>
      <c r="G28" s="3"/>
      <c r="H28" s="3"/>
      <c r="I28" s="3"/>
      <c r="J28" s="3" t="s">
        <v>564</v>
      </c>
      <c r="K28" s="3" t="s">
        <v>565</v>
      </c>
      <c r="L28" s="3"/>
      <c r="M28" s="3" t="s">
        <v>566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29" spans="1:31" ht="14.25" customHeight="1">
      <c r="A29" s="44"/>
      <c r="B29" s="3" t="s">
        <v>334</v>
      </c>
      <c r="C29" s="3" t="s">
        <v>567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 t="s">
        <v>568</v>
      </c>
      <c r="O29" t="s">
        <v>569</v>
      </c>
      <c r="P29" t="s">
        <v>570</v>
      </c>
      <c r="Q29" t="s">
        <v>571</v>
      </c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spans="1:31" ht="14.25" customHeight="1">
      <c r="A30" s="44"/>
      <c r="B30" s="3" t="s">
        <v>335</v>
      </c>
      <c r="C30" s="3" t="s">
        <v>572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 t="s">
        <v>573</v>
      </c>
      <c r="O30" t="s">
        <v>569</v>
      </c>
      <c r="P30" t="s">
        <v>570</v>
      </c>
      <c r="Q30" t="s">
        <v>571</v>
      </c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</row>
    <row r="31" spans="1:31" ht="14.25" customHeight="1">
      <c r="A31" s="44"/>
      <c r="B31" s="3" t="s">
        <v>336</v>
      </c>
      <c r="C31" s="3" t="s">
        <v>574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 t="s">
        <v>575</v>
      </c>
      <c r="O31" t="s">
        <v>569</v>
      </c>
      <c r="P31" t="s">
        <v>570</v>
      </c>
      <c r="Q31" t="s">
        <v>571</v>
      </c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</row>
    <row r="32" spans="1:31" ht="14.25" customHeight="1">
      <c r="A32" s="44"/>
      <c r="B32" s="3" t="s">
        <v>337</v>
      </c>
      <c r="C32" s="3" t="s">
        <v>576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t="s">
        <v>577</v>
      </c>
      <c r="R32" s="3"/>
      <c r="S32" s="3" t="s">
        <v>578</v>
      </c>
      <c r="T32" s="3"/>
      <c r="U32" s="3"/>
      <c r="V32" s="3" t="s">
        <v>579</v>
      </c>
      <c r="W32" s="3"/>
      <c r="X32" s="3"/>
      <c r="Y32" s="3"/>
      <c r="Z32" s="3"/>
      <c r="AA32" s="3"/>
      <c r="AB32" s="3"/>
      <c r="AC32" s="3"/>
      <c r="AD32" s="3"/>
      <c r="AE32" s="3"/>
    </row>
    <row r="33" spans="1:31">
      <c r="A33" s="44"/>
      <c r="B33" s="3" t="s">
        <v>427</v>
      </c>
      <c r="C33" s="3" t="s">
        <v>580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 t="s">
        <v>581</v>
      </c>
      <c r="AA33" s="3"/>
      <c r="AB33" t="s">
        <v>582</v>
      </c>
      <c r="AC33" t="s">
        <v>583</v>
      </c>
      <c r="AD33" s="3"/>
      <c r="AE33" s="3"/>
    </row>
    <row r="34" spans="1:31">
      <c r="A34" s="44"/>
      <c r="B34" s="3" t="s">
        <v>224</v>
      </c>
      <c r="C34" s="3" t="s">
        <v>584</v>
      </c>
      <c r="D34" s="3"/>
      <c r="E34" s="3"/>
      <c r="F34" s="3"/>
      <c r="G34" s="3"/>
      <c r="H34" s="3"/>
      <c r="I34" s="3"/>
      <c r="J34" s="3"/>
      <c r="K34" t="s">
        <v>585</v>
      </c>
      <c r="L34" s="3"/>
      <c r="M34" t="s">
        <v>586</v>
      </c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spans="1:31">
      <c r="A35" s="44"/>
      <c r="B35" s="3" t="s">
        <v>225</v>
      </c>
      <c r="C35" s="3" t="s">
        <v>587</v>
      </c>
      <c r="D35" s="3"/>
      <c r="E35" s="3"/>
      <c r="F35" s="3"/>
      <c r="G35" s="3"/>
      <c r="H35" s="3"/>
      <c r="I35" s="3"/>
      <c r="J35" s="3"/>
      <c r="K35" t="s">
        <v>588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</row>
    <row r="36" spans="1:31" ht="16.350000000000001" customHeight="1">
      <c r="A36" s="44" t="s">
        <v>589</v>
      </c>
      <c r="B36" s="3" t="s">
        <v>477</v>
      </c>
      <c r="C36" s="3" t="s">
        <v>590</v>
      </c>
      <c r="D36" s="3" t="s">
        <v>226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</row>
    <row r="37" spans="1:31">
      <c r="A37" s="44"/>
      <c r="B37" s="3" t="s">
        <v>478</v>
      </c>
      <c r="C37" s="3" t="s">
        <v>591</v>
      </c>
      <c r="D37" s="3" t="s">
        <v>288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>
      <c r="A38" s="44"/>
      <c r="B38" s="3" t="s">
        <v>227</v>
      </c>
      <c r="C38" s="3" t="s">
        <v>592</v>
      </c>
      <c r="D38" s="3"/>
      <c r="E38" s="3" t="s">
        <v>593</v>
      </c>
      <c r="F38" t="s">
        <v>594</v>
      </c>
      <c r="G38" t="s">
        <v>595</v>
      </c>
      <c r="H38" t="s">
        <v>596</v>
      </c>
      <c r="I38" s="3" t="s">
        <v>597</v>
      </c>
      <c r="J38" s="3" t="s">
        <v>598</v>
      </c>
      <c r="K38" s="3" t="s">
        <v>599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ht="29.1">
      <c r="A39" s="44"/>
      <c r="B39" s="3" t="s">
        <v>479</v>
      </c>
      <c r="C39" s="3" t="s">
        <v>600</v>
      </c>
      <c r="D39" s="3"/>
      <c r="E39" s="3"/>
      <c r="F39" s="3"/>
      <c r="G39" s="3"/>
      <c r="H39" s="3"/>
      <c r="I39" s="3"/>
      <c r="J39" s="3" t="s">
        <v>601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</row>
    <row r="40" spans="1:31">
      <c r="A40" s="44"/>
      <c r="B40" s="3" t="s">
        <v>228</v>
      </c>
      <c r="C40" s="3" t="s">
        <v>602</v>
      </c>
      <c r="D40" s="3"/>
      <c r="E40" s="3"/>
      <c r="F40" s="3"/>
      <c r="G40" s="3"/>
      <c r="H40" s="3"/>
      <c r="I40" s="3"/>
      <c r="J40" s="3"/>
      <c r="K40" s="3" t="s">
        <v>603</v>
      </c>
      <c r="L40" s="3"/>
      <c r="M40" s="3"/>
      <c r="N40" s="3"/>
      <c r="O40" s="3"/>
      <c r="P40" s="3"/>
      <c r="Q40" s="3"/>
      <c r="R40" s="3"/>
      <c r="S40" s="3"/>
      <c r="T40" s="3" t="s">
        <v>604</v>
      </c>
      <c r="U40" s="3"/>
      <c r="V40" s="3"/>
      <c r="W40" t="s">
        <v>605</v>
      </c>
      <c r="X40" s="3"/>
      <c r="Y40" s="3"/>
      <c r="Z40" s="3"/>
      <c r="AA40" s="3"/>
      <c r="AB40" s="3"/>
      <c r="AC40" s="3"/>
      <c r="AD40" s="3"/>
      <c r="AE40" s="3"/>
    </row>
    <row r="41" spans="1:31">
      <c r="A41" s="44"/>
      <c r="B41" s="3" t="s">
        <v>346</v>
      </c>
      <c r="C41" s="3" t="s">
        <v>606</v>
      </c>
      <c r="D41" s="3"/>
      <c r="E41" s="3"/>
      <c r="F41" s="3"/>
      <c r="G41" s="3"/>
      <c r="H41" s="3"/>
      <c r="I41" s="3"/>
      <c r="J41" s="3"/>
      <c r="K41" s="3"/>
      <c r="L41" t="s">
        <v>607</v>
      </c>
      <c r="M41" t="s">
        <v>608</v>
      </c>
      <c r="N41" s="3"/>
      <c r="O41" t="s">
        <v>609</v>
      </c>
      <c r="P41" t="s">
        <v>610</v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t="s">
        <v>611</v>
      </c>
      <c r="AC41" s="3"/>
      <c r="AD41" s="3" t="s">
        <v>612</v>
      </c>
      <c r="AE41" s="3"/>
    </row>
    <row r="42" spans="1:31" ht="16.350000000000001" customHeight="1">
      <c r="A42" s="44" t="s">
        <v>613</v>
      </c>
      <c r="B42" s="3" t="s">
        <v>483</v>
      </c>
      <c r="C42" s="3" t="s">
        <v>614</v>
      </c>
      <c r="D42" s="3" t="s">
        <v>231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spans="1:31" ht="15">
      <c r="A43" s="44"/>
      <c r="B43" s="3" t="s">
        <v>290</v>
      </c>
      <c r="C43" s="3" t="s">
        <v>615</v>
      </c>
      <c r="D43" s="3"/>
      <c r="E43" s="3" t="s">
        <v>616</v>
      </c>
      <c r="F43" t="s">
        <v>291</v>
      </c>
      <c r="G43" t="s">
        <v>617</v>
      </c>
      <c r="H43" t="s">
        <v>618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</row>
    <row r="44" spans="1:31" ht="29.1">
      <c r="A44" s="44"/>
      <c r="B44" s="3" t="s">
        <v>392</v>
      </c>
      <c r="C44" s="3" t="s">
        <v>619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 t="s">
        <v>620</v>
      </c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</row>
    <row r="45" spans="1:31">
      <c r="A45" s="44"/>
      <c r="B45" s="3" t="s">
        <v>232</v>
      </c>
      <c r="C45" s="3" t="s">
        <v>621</v>
      </c>
      <c r="D45" s="3"/>
      <c r="E45" s="3"/>
      <c r="F45" s="3"/>
      <c r="G45" s="3"/>
      <c r="H45" s="3"/>
      <c r="I45" s="3"/>
      <c r="J45" s="3"/>
      <c r="K45" t="s">
        <v>622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 t="s">
        <v>623</v>
      </c>
      <c r="AA45" s="3"/>
      <c r="AB45" t="s">
        <v>624</v>
      </c>
      <c r="AC45" s="3"/>
      <c r="AD45" s="3"/>
      <c r="AE45" s="3"/>
    </row>
    <row r="46" spans="1:31" ht="16.350000000000001" customHeight="1">
      <c r="A46" s="44" t="s">
        <v>625</v>
      </c>
      <c r="B46" s="3" t="s">
        <v>484</v>
      </c>
      <c r="C46" s="3" t="s">
        <v>626</v>
      </c>
      <c r="D46" s="3" t="s">
        <v>233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</row>
    <row r="47" spans="1:31">
      <c r="A47" s="44"/>
      <c r="B47" s="3" t="s">
        <v>485</v>
      </c>
      <c r="C47" s="3" t="s">
        <v>627</v>
      </c>
      <c r="D47" s="3" t="s">
        <v>234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</row>
    <row r="48" spans="1:31">
      <c r="A48" s="44"/>
      <c r="B48" s="3" t="s">
        <v>486</v>
      </c>
      <c r="C48" s="3" t="s">
        <v>628</v>
      </c>
      <c r="D48" s="3" t="s">
        <v>235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</row>
    <row r="49" spans="1:31">
      <c r="A49" s="44"/>
      <c r="B49" s="3" t="s">
        <v>292</v>
      </c>
      <c r="C49" s="3" t="s">
        <v>629</v>
      </c>
      <c r="D49" s="3"/>
      <c r="E49" s="3" t="s">
        <v>630</v>
      </c>
      <c r="F49" s="3"/>
      <c r="G49" s="3"/>
      <c r="H49" s="3" t="s">
        <v>631</v>
      </c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</row>
    <row r="50" spans="1:31" ht="29.1">
      <c r="A50" s="44"/>
      <c r="B50" s="3" t="s">
        <v>236</v>
      </c>
      <c r="C50" s="3" t="s">
        <v>632</v>
      </c>
      <c r="D50" s="3"/>
      <c r="E50" s="3" t="s">
        <v>633</v>
      </c>
      <c r="F50" s="3"/>
      <c r="G50" s="3"/>
      <c r="H50" s="3"/>
      <c r="I50" s="3"/>
      <c r="J50" s="3" t="s">
        <v>634</v>
      </c>
      <c r="K50" t="s">
        <v>635</v>
      </c>
      <c r="L50" s="3"/>
      <c r="M50" s="3" t="s">
        <v>636</v>
      </c>
      <c r="N50" s="3"/>
      <c r="O50" s="3"/>
      <c r="P50" s="3"/>
      <c r="Q50" s="3"/>
      <c r="R50" s="3"/>
      <c r="S50" s="3"/>
      <c r="T50" s="3" t="s">
        <v>637</v>
      </c>
      <c r="U50" t="s">
        <v>638</v>
      </c>
      <c r="V50" s="3"/>
      <c r="W50" s="3"/>
      <c r="X50" s="3" t="s">
        <v>639</v>
      </c>
      <c r="Y50" s="3" t="s">
        <v>640</v>
      </c>
      <c r="Z50" s="3"/>
      <c r="AA50" s="3"/>
      <c r="AB50" s="3"/>
      <c r="AC50" s="3"/>
      <c r="AD50" s="3"/>
      <c r="AE50" s="3"/>
    </row>
    <row r="51" spans="1:31">
      <c r="A51" s="44"/>
      <c r="B51" s="3" t="s">
        <v>237</v>
      </c>
      <c r="C51" s="3" t="s">
        <v>641</v>
      </c>
      <c r="D51" s="3"/>
      <c r="E51" s="3" t="s">
        <v>642</v>
      </c>
      <c r="F51" s="3"/>
      <c r="G51" t="s">
        <v>643</v>
      </c>
      <c r="H51" s="3" t="s">
        <v>644</v>
      </c>
      <c r="I51" s="3"/>
      <c r="J51" s="3"/>
      <c r="K51" t="s">
        <v>645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</row>
    <row r="52" spans="1:31">
      <c r="A52" s="44"/>
      <c r="B52" s="3" t="s">
        <v>487</v>
      </c>
      <c r="C52" s="3" t="s">
        <v>646</v>
      </c>
      <c r="D52" s="3"/>
      <c r="E52" s="3"/>
      <c r="F52" s="3"/>
      <c r="G52" s="3"/>
      <c r="H52" s="3"/>
      <c r="I52" s="3" t="s">
        <v>647</v>
      </c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</row>
    <row r="53" spans="1:31">
      <c r="A53" s="44"/>
      <c r="B53" s="3" t="s">
        <v>488</v>
      </c>
      <c r="C53" s="3" t="s">
        <v>648</v>
      </c>
      <c r="D53" s="3"/>
      <c r="E53" s="3"/>
      <c r="F53" s="3"/>
      <c r="G53" s="3"/>
      <c r="H53" s="3"/>
      <c r="I53" s="3" t="s">
        <v>649</v>
      </c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</row>
    <row r="54" spans="1:31">
      <c r="A54" s="44"/>
      <c r="B54" s="3" t="s">
        <v>238</v>
      </c>
      <c r="C54" t="s">
        <v>650</v>
      </c>
      <c r="D54" s="3"/>
      <c r="E54" s="3"/>
      <c r="F54" s="3"/>
      <c r="G54" t="s">
        <v>643</v>
      </c>
      <c r="H54" s="3"/>
      <c r="I54" s="3"/>
      <c r="J54" s="3"/>
      <c r="K54" s="3" t="s">
        <v>651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</row>
    <row r="55" spans="1:31">
      <c r="A55" s="44"/>
      <c r="B55" s="3" t="s">
        <v>239</v>
      </c>
      <c r="C55" t="s">
        <v>652</v>
      </c>
      <c r="D55" s="3"/>
      <c r="E55" s="3"/>
      <c r="F55" s="3"/>
      <c r="G55" s="3"/>
      <c r="H55" s="3"/>
      <c r="I55" s="3"/>
      <c r="J55" s="3"/>
      <c r="K55" s="3" t="s">
        <v>653</v>
      </c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</row>
    <row r="56" spans="1:31">
      <c r="A56" s="44"/>
      <c r="B56" s="3" t="s">
        <v>489</v>
      </c>
      <c r="C56" t="s">
        <v>654</v>
      </c>
      <c r="D56" s="3"/>
      <c r="E56" s="3"/>
      <c r="F56" s="3"/>
      <c r="G56" s="3"/>
      <c r="H56" s="3"/>
      <c r="I56" s="3"/>
      <c r="J56" s="3"/>
      <c r="K56" s="3"/>
      <c r="L56" s="3" t="s">
        <v>655</v>
      </c>
      <c r="M56" s="3" t="s">
        <v>656</v>
      </c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</row>
    <row r="57" spans="1:31" ht="16.350000000000001" customHeight="1">
      <c r="A57" s="44" t="s">
        <v>657</v>
      </c>
      <c r="B57" s="3" t="s">
        <v>492</v>
      </c>
      <c r="C57" s="3" t="s">
        <v>658</v>
      </c>
      <c r="D57" s="3" t="s">
        <v>240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</row>
    <row r="58" spans="1:31" ht="28.35" customHeight="1">
      <c r="A58" s="44"/>
      <c r="B58" s="3" t="s">
        <v>241</v>
      </c>
      <c r="C58" s="3" t="s">
        <v>659</v>
      </c>
      <c r="D58" s="3"/>
      <c r="E58" s="3" t="s">
        <v>660</v>
      </c>
      <c r="F58" s="3" t="s">
        <v>661</v>
      </c>
      <c r="G58" t="s">
        <v>662</v>
      </c>
      <c r="H58" s="3" t="s">
        <v>663</v>
      </c>
      <c r="I58" s="3"/>
      <c r="J58" s="3"/>
      <c r="K58" t="s">
        <v>664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</row>
    <row r="59" spans="1:31" ht="14.85" customHeight="1">
      <c r="A59" s="44"/>
      <c r="B59" s="3" t="s">
        <v>242</v>
      </c>
      <c r="C59" t="s">
        <v>665</v>
      </c>
      <c r="D59" s="3"/>
      <c r="E59" s="3"/>
      <c r="F59" s="3"/>
      <c r="G59" s="3"/>
      <c r="H59" s="3"/>
      <c r="I59" s="3"/>
      <c r="J59" s="3"/>
      <c r="K59" s="3" t="s">
        <v>666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</row>
    <row r="60" spans="1:31" ht="16.350000000000001" customHeight="1">
      <c r="A60" s="44" t="s">
        <v>667</v>
      </c>
      <c r="B60" s="3" t="s">
        <v>493</v>
      </c>
      <c r="C60" s="3" t="s">
        <v>668</v>
      </c>
      <c r="D60" s="3" t="s">
        <v>246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</row>
    <row r="61" spans="1:31">
      <c r="A61" s="44"/>
      <c r="B61" s="3" t="s">
        <v>494</v>
      </c>
      <c r="C61" s="3" t="s">
        <v>669</v>
      </c>
      <c r="D61" s="3" t="s">
        <v>247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</row>
    <row r="62" spans="1:31">
      <c r="A62" s="44"/>
      <c r="B62" s="3" t="s">
        <v>495</v>
      </c>
      <c r="C62" s="3" t="s">
        <v>670</v>
      </c>
      <c r="D62" s="3" t="s">
        <v>248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</row>
    <row r="63" spans="1:31" ht="29.1">
      <c r="A63" s="44"/>
      <c r="B63" s="3" t="s">
        <v>249</v>
      </c>
      <c r="C63" s="3" t="s">
        <v>671</v>
      </c>
      <c r="D63" s="3"/>
      <c r="E63" s="3" t="s">
        <v>672</v>
      </c>
      <c r="F63" s="3" t="s">
        <v>673</v>
      </c>
      <c r="G63" t="s">
        <v>674</v>
      </c>
      <c r="H63" s="3" t="s">
        <v>675</v>
      </c>
      <c r="I63" s="3"/>
      <c r="J63" s="3"/>
      <c r="K63" t="s">
        <v>676</v>
      </c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</row>
    <row r="64" spans="1:31">
      <c r="A64" s="44"/>
      <c r="B64" s="3" t="s">
        <v>496</v>
      </c>
      <c r="C64" s="3" t="s">
        <v>677</v>
      </c>
      <c r="D64" s="3"/>
      <c r="E64" s="3"/>
      <c r="F64" s="3"/>
      <c r="G64" s="3"/>
      <c r="H64" s="3"/>
      <c r="I64" s="3"/>
      <c r="J64" s="3" t="s">
        <v>678</v>
      </c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</row>
    <row r="65" spans="1:32" ht="15">
      <c r="A65" s="44"/>
      <c r="B65" s="3" t="s">
        <v>250</v>
      </c>
      <c r="C65" s="3" t="s">
        <v>679</v>
      </c>
      <c r="D65" s="3"/>
      <c r="E65" s="3"/>
      <c r="F65" s="3"/>
      <c r="G65" s="3"/>
      <c r="H65" s="3"/>
      <c r="I65" s="3"/>
      <c r="J65" s="3"/>
      <c r="K65" t="s">
        <v>680</v>
      </c>
      <c r="L65" s="3"/>
      <c r="M65" s="3" t="s">
        <v>681</v>
      </c>
      <c r="N65" s="3"/>
      <c r="O65" s="3"/>
      <c r="P65" s="3"/>
      <c r="Q65" s="3"/>
      <c r="R65" s="3"/>
      <c r="S65" s="3" t="s">
        <v>682</v>
      </c>
      <c r="T65" s="3"/>
      <c r="U65" s="3"/>
      <c r="V65" s="3"/>
      <c r="W65" s="3"/>
      <c r="X65" s="3"/>
      <c r="Y65" s="3" t="s">
        <v>683</v>
      </c>
      <c r="Z65" s="3" t="s">
        <v>684</v>
      </c>
      <c r="AA65" t="s">
        <v>685</v>
      </c>
      <c r="AB65" t="s">
        <v>686</v>
      </c>
      <c r="AC65" t="s">
        <v>687</v>
      </c>
      <c r="AD65" s="3"/>
      <c r="AE65" s="3"/>
    </row>
    <row r="66" spans="1:32">
      <c r="A66" s="44"/>
      <c r="B66" s="3" t="s">
        <v>251</v>
      </c>
      <c r="C66" s="3" t="s">
        <v>688</v>
      </c>
      <c r="D66" s="3"/>
      <c r="E66" s="3"/>
      <c r="F66" s="3"/>
      <c r="G66" s="3"/>
      <c r="H66" s="3"/>
      <c r="I66" s="3"/>
      <c r="J66" s="3"/>
      <c r="K66" s="3" t="s">
        <v>689</v>
      </c>
      <c r="L66" s="3"/>
      <c r="M66" s="3"/>
      <c r="N66" s="3"/>
      <c r="O66" s="3"/>
      <c r="P66" s="3"/>
      <c r="Q66" s="3"/>
      <c r="R66" s="3"/>
      <c r="S66" s="3" t="s">
        <v>690</v>
      </c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</row>
    <row r="67" spans="1:32">
      <c r="A67" s="44"/>
      <c r="B67" s="3" t="s">
        <v>298</v>
      </c>
      <c r="C67" s="3" t="s">
        <v>691</v>
      </c>
      <c r="D67" s="3"/>
      <c r="E67" s="3"/>
      <c r="F67" t="s">
        <v>692</v>
      </c>
      <c r="G67" t="s">
        <v>693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 t="s">
        <v>694</v>
      </c>
      <c r="AA67" s="3"/>
      <c r="AB67" s="3"/>
      <c r="AC67" s="3"/>
      <c r="AD67" s="3"/>
      <c r="AE67" s="3"/>
    </row>
    <row r="68" spans="1:32" ht="16.350000000000001" customHeight="1">
      <c r="A68" s="44" t="s">
        <v>695</v>
      </c>
      <c r="B68" s="3" t="s">
        <v>497</v>
      </c>
      <c r="C68" s="3" t="s">
        <v>696</v>
      </c>
      <c r="D68" s="3" t="s">
        <v>351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</row>
    <row r="69" spans="1:32" ht="14.85" customHeight="1">
      <c r="A69" s="44"/>
      <c r="B69" s="3" t="s">
        <v>498</v>
      </c>
      <c r="C69" s="3" t="s">
        <v>697</v>
      </c>
      <c r="D69" s="3" t="s">
        <v>253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</row>
    <row r="70" spans="1:32" ht="14.85" customHeight="1">
      <c r="A70" s="44"/>
      <c r="B70" s="3" t="s">
        <v>499</v>
      </c>
      <c r="C70" s="3" t="s">
        <v>698</v>
      </c>
      <c r="D70" s="3" t="s">
        <v>254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</row>
    <row r="71" spans="1:32" ht="14.45" customHeight="1">
      <c r="A71" s="44"/>
      <c r="B71" s="3" t="s">
        <v>299</v>
      </c>
      <c r="C71" t="s">
        <v>699</v>
      </c>
      <c r="D71" s="3"/>
      <c r="E71" s="3" t="s">
        <v>700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</row>
    <row r="72" spans="1:32" ht="14.1" customHeight="1">
      <c r="A72" s="44"/>
      <c r="B72" s="3" t="s">
        <v>255</v>
      </c>
      <c r="C72" s="3" t="s">
        <v>701</v>
      </c>
      <c r="D72" s="3"/>
      <c r="E72" s="3"/>
      <c r="F72" s="3" t="s">
        <v>702</v>
      </c>
      <c r="G72" s="3" t="s">
        <v>703</v>
      </c>
      <c r="H72" s="3" t="s">
        <v>704</v>
      </c>
      <c r="I72" s="3"/>
      <c r="J72" s="3" t="s">
        <v>705</v>
      </c>
      <c r="K72" t="s">
        <v>706</v>
      </c>
      <c r="L72" s="3"/>
      <c r="M72" s="3"/>
      <c r="N72" s="3"/>
      <c r="O72" s="3"/>
      <c r="P72" s="3"/>
      <c r="Q72" s="3"/>
      <c r="R72" s="3" t="s">
        <v>707</v>
      </c>
      <c r="S72" s="3"/>
      <c r="T72" s="3"/>
      <c r="U72" s="3"/>
      <c r="V72" s="3"/>
      <c r="W72" s="3"/>
      <c r="X72" s="3"/>
      <c r="Y72" s="3"/>
      <c r="Z72" s="3" t="s">
        <v>708</v>
      </c>
      <c r="AA72" t="s">
        <v>709</v>
      </c>
      <c r="AB72" t="s">
        <v>710</v>
      </c>
      <c r="AC72" t="s">
        <v>437</v>
      </c>
      <c r="AD72" s="3"/>
      <c r="AE72" s="3"/>
    </row>
    <row r="73" spans="1:32" ht="14.85" customHeight="1">
      <c r="A73" s="44"/>
      <c r="B73" s="3" t="s">
        <v>300</v>
      </c>
      <c r="C73" s="3" t="s">
        <v>711</v>
      </c>
      <c r="D73" s="3"/>
      <c r="E73" s="3"/>
      <c r="F73" s="3"/>
      <c r="G73" s="3" t="s">
        <v>703</v>
      </c>
      <c r="H73" s="3"/>
      <c r="I73" s="3"/>
      <c r="J73" s="3" t="s">
        <v>705</v>
      </c>
      <c r="K73" s="3"/>
      <c r="L73" s="3"/>
      <c r="M73" s="3"/>
      <c r="N73" s="3"/>
      <c r="O73" s="3"/>
      <c r="P73" s="3"/>
      <c r="Q73" s="3"/>
      <c r="R73" s="3"/>
      <c r="S73" s="3"/>
      <c r="T73" s="3" t="s">
        <v>712</v>
      </c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</row>
    <row r="74" spans="1:32" ht="14.85" customHeight="1">
      <c r="A74" s="44"/>
      <c r="B74" s="3" t="s">
        <v>500</v>
      </c>
      <c r="C74" s="3" t="s">
        <v>713</v>
      </c>
      <c r="D74" s="3"/>
      <c r="E74" s="3"/>
      <c r="F74" s="3"/>
      <c r="G74" s="3"/>
      <c r="H74" s="3"/>
      <c r="I74" s="3"/>
      <c r="J74" s="3" t="s">
        <v>714</v>
      </c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</row>
    <row r="75" spans="1:32" ht="14.85" customHeight="1">
      <c r="A75" s="44"/>
      <c r="B75" s="3" t="s">
        <v>501</v>
      </c>
      <c r="C75" s="3" t="s">
        <v>715</v>
      </c>
      <c r="D75" s="3"/>
      <c r="E75" s="3"/>
      <c r="F75" s="3"/>
      <c r="G75" s="3"/>
      <c r="H75" s="3"/>
      <c r="I75" s="3"/>
      <c r="J75" s="3"/>
      <c r="K75" s="3"/>
      <c r="L75" s="3"/>
      <c r="M75" t="s">
        <v>716</v>
      </c>
      <c r="N75" s="3"/>
      <c r="O75" s="3"/>
      <c r="P75" s="3"/>
      <c r="Q75" s="3"/>
      <c r="R75" s="3"/>
      <c r="S75" s="3" t="s">
        <v>717</v>
      </c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</row>
    <row r="76" spans="1:32" ht="14.85" customHeight="1">
      <c r="A76" s="44"/>
      <c r="B76" s="3" t="s">
        <v>405</v>
      </c>
      <c r="C76" s="3" t="s">
        <v>718</v>
      </c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 t="s">
        <v>712</v>
      </c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</row>
    <row r="77" spans="1:32" s="7" customFormat="1" ht="14.45" customHeight="1">
      <c r="A77" s="44"/>
      <c r="B77" s="3" t="s">
        <v>406</v>
      </c>
      <c r="C77" s="3" t="s">
        <v>719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 t="s">
        <v>720</v>
      </c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/>
    </row>
    <row r="78" spans="1:32" s="7" customFormat="1">
      <c r="A78" s="44"/>
      <c r="B78" s="3" t="s">
        <v>301</v>
      </c>
      <c r="C78" s="3" t="s">
        <v>721</v>
      </c>
      <c r="D78" s="3"/>
      <c r="E78" s="3" t="s">
        <v>722</v>
      </c>
      <c r="F78" t="s">
        <v>723</v>
      </c>
      <c r="G78" t="s">
        <v>724</v>
      </c>
      <c r="H78" t="s">
        <v>725</v>
      </c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/>
    </row>
    <row r="79" spans="1:32" s="7" customFormat="1">
      <c r="A79" s="16" t="s">
        <v>726</v>
      </c>
      <c r="B79" s="7">
        <f>COUNTA(B3:B78)-COUNTIF(B3:B78,"GS'*")</f>
        <v>76</v>
      </c>
      <c r="C79" s="1" t="s">
        <v>727</v>
      </c>
      <c r="D79" s="7">
        <f>COUNTA(D3:D78)</f>
        <v>30</v>
      </c>
      <c r="E79" s="7">
        <f t="shared" ref="E79:AE79" si="0">COUNTA(E3:E78)</f>
        <v>14</v>
      </c>
      <c r="F79" s="7">
        <f t="shared" si="0"/>
        <v>7</v>
      </c>
      <c r="G79" s="7">
        <f t="shared" si="0"/>
        <v>10</v>
      </c>
      <c r="H79" s="7">
        <f t="shared" si="0"/>
        <v>8</v>
      </c>
      <c r="I79" s="7">
        <f t="shared" si="0"/>
        <v>6</v>
      </c>
      <c r="J79" s="7">
        <f t="shared" si="0"/>
        <v>8</v>
      </c>
      <c r="K79" s="7">
        <f t="shared" si="0"/>
        <v>18</v>
      </c>
      <c r="L79" s="7">
        <f t="shared" si="0"/>
        <v>3</v>
      </c>
      <c r="M79" s="7">
        <f t="shared" si="0"/>
        <v>7</v>
      </c>
      <c r="N79" s="7">
        <f t="shared" si="0"/>
        <v>4</v>
      </c>
      <c r="O79" s="7">
        <f t="shared" si="0"/>
        <v>4</v>
      </c>
      <c r="P79" s="7">
        <f t="shared" si="0"/>
        <v>4</v>
      </c>
      <c r="Q79" s="7">
        <f t="shared" si="0"/>
        <v>4</v>
      </c>
      <c r="R79" s="7">
        <f t="shared" si="0"/>
        <v>2</v>
      </c>
      <c r="S79" s="7">
        <f t="shared" si="0"/>
        <v>5</v>
      </c>
      <c r="T79" s="7">
        <f t="shared" si="0"/>
        <v>9</v>
      </c>
      <c r="U79" s="7">
        <f t="shared" si="0"/>
        <v>4</v>
      </c>
      <c r="V79" s="7">
        <f t="shared" si="0"/>
        <v>4</v>
      </c>
      <c r="W79" s="7">
        <f t="shared" si="0"/>
        <v>5</v>
      </c>
      <c r="X79" s="7">
        <f t="shared" si="0"/>
        <v>3</v>
      </c>
      <c r="Y79" s="7">
        <f t="shared" si="0"/>
        <v>2</v>
      </c>
      <c r="Z79" s="7">
        <f t="shared" si="0"/>
        <v>5</v>
      </c>
      <c r="AA79" s="7">
        <f t="shared" si="0"/>
        <v>2</v>
      </c>
      <c r="AB79" s="7">
        <f t="shared" si="0"/>
        <v>6</v>
      </c>
      <c r="AC79" s="7">
        <f t="shared" si="0"/>
        <v>3</v>
      </c>
      <c r="AD79" s="7">
        <f t="shared" si="0"/>
        <v>2</v>
      </c>
      <c r="AE79" s="7">
        <f t="shared" si="0"/>
        <v>1</v>
      </c>
    </row>
    <row r="80" spans="1:32">
      <c r="C80" s="1" t="s">
        <v>728</v>
      </c>
      <c r="D80" s="29">
        <f t="shared" ref="D80:AE80" si="1">D79/$B$79</f>
        <v>0.39473684210526316</v>
      </c>
      <c r="E80" s="29">
        <f t="shared" si="1"/>
        <v>0.18421052631578946</v>
      </c>
      <c r="F80" s="29">
        <f t="shared" si="1"/>
        <v>9.2105263157894732E-2</v>
      </c>
      <c r="G80" s="29">
        <f t="shared" si="1"/>
        <v>0.13157894736842105</v>
      </c>
      <c r="H80" s="29">
        <f t="shared" si="1"/>
        <v>0.10526315789473684</v>
      </c>
      <c r="I80" s="29">
        <f t="shared" si="1"/>
        <v>7.8947368421052627E-2</v>
      </c>
      <c r="J80" s="29">
        <f t="shared" si="1"/>
        <v>0.10526315789473684</v>
      </c>
      <c r="K80" s="29">
        <f t="shared" si="1"/>
        <v>0.23684210526315788</v>
      </c>
      <c r="L80" s="29">
        <f t="shared" si="1"/>
        <v>3.9473684210526314E-2</v>
      </c>
      <c r="M80" s="29">
        <f t="shared" si="1"/>
        <v>9.2105263157894732E-2</v>
      </c>
      <c r="N80" s="29">
        <f t="shared" si="1"/>
        <v>5.2631578947368418E-2</v>
      </c>
      <c r="O80" s="29">
        <f t="shared" si="1"/>
        <v>5.2631578947368418E-2</v>
      </c>
      <c r="P80" s="29">
        <f t="shared" si="1"/>
        <v>5.2631578947368418E-2</v>
      </c>
      <c r="Q80" s="29">
        <f t="shared" si="1"/>
        <v>5.2631578947368418E-2</v>
      </c>
      <c r="R80" s="29">
        <f t="shared" si="1"/>
        <v>2.6315789473684209E-2</v>
      </c>
      <c r="S80" s="29">
        <f t="shared" si="1"/>
        <v>6.5789473684210523E-2</v>
      </c>
      <c r="T80" s="29">
        <f t="shared" si="1"/>
        <v>0.11842105263157894</v>
      </c>
      <c r="U80" s="29">
        <f t="shared" si="1"/>
        <v>5.2631578947368418E-2</v>
      </c>
      <c r="V80" s="29">
        <f t="shared" si="1"/>
        <v>5.2631578947368418E-2</v>
      </c>
      <c r="W80" s="29">
        <f t="shared" si="1"/>
        <v>6.5789473684210523E-2</v>
      </c>
      <c r="X80" s="29">
        <f t="shared" si="1"/>
        <v>3.9473684210526314E-2</v>
      </c>
      <c r="Y80" s="29">
        <f t="shared" si="1"/>
        <v>2.6315789473684209E-2</v>
      </c>
      <c r="Z80" s="29">
        <f t="shared" si="1"/>
        <v>6.5789473684210523E-2</v>
      </c>
      <c r="AA80" s="29">
        <f t="shared" si="1"/>
        <v>2.6315789473684209E-2</v>
      </c>
      <c r="AB80" s="29">
        <f t="shared" si="1"/>
        <v>7.8947368421052627E-2</v>
      </c>
      <c r="AC80" s="29">
        <f t="shared" si="1"/>
        <v>3.9473684210526314E-2</v>
      </c>
      <c r="AD80" s="29">
        <f t="shared" si="1"/>
        <v>2.6315789473684209E-2</v>
      </c>
      <c r="AE80" s="29">
        <f t="shared" si="1"/>
        <v>1.3157894736842105E-2</v>
      </c>
    </row>
    <row r="81" spans="1:4">
      <c r="A81" s="16"/>
      <c r="B81" s="7"/>
      <c r="C81" s="7"/>
      <c r="D81" s="7"/>
    </row>
  </sheetData>
  <mergeCells count="14">
    <mergeCell ref="A68:A78"/>
    <mergeCell ref="A1:A2"/>
    <mergeCell ref="B1:B2"/>
    <mergeCell ref="C1:C2"/>
    <mergeCell ref="D1:AE1"/>
    <mergeCell ref="A3:A5"/>
    <mergeCell ref="A46:A56"/>
    <mergeCell ref="A60:A67"/>
    <mergeCell ref="A57:A59"/>
    <mergeCell ref="A6:A8"/>
    <mergeCell ref="A9:A15"/>
    <mergeCell ref="A16:A35"/>
    <mergeCell ref="A36:A41"/>
    <mergeCell ref="A42:A4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Y72"/>
  <sheetViews>
    <sheetView zoomScale="84" zoomScaleNormal="85" workbookViewId="0">
      <pane xSplit="3" ySplit="2" topLeftCell="D22" activePane="bottomRight" state="frozen"/>
      <selection pane="bottomRight" activeCell="A36" sqref="A36:XFD36"/>
      <selection pane="bottomLeft" activeCell="A19" sqref="A19"/>
      <selection pane="topRight"/>
    </sheetView>
  </sheetViews>
  <sheetFormatPr defaultColWidth="9.140625" defaultRowHeight="15" customHeight="1"/>
  <cols>
    <col min="1" max="1" width="40.7109375" style="3" customWidth="1"/>
    <col min="2" max="2" width="9.140625" style="3"/>
    <col min="3" max="3" width="40.7109375" style="3" customWidth="1"/>
    <col min="4" max="4" width="9.140625" style="3" customWidth="1"/>
    <col min="5" max="5" width="14.7109375" style="3" customWidth="1"/>
    <col min="6" max="6" width="9.140625" style="3" customWidth="1"/>
    <col min="7" max="7" width="14.7109375" style="3" customWidth="1"/>
    <col min="8" max="8" width="8.7109375" style="3" customWidth="1"/>
    <col min="9" max="9" width="14.7109375" style="3" customWidth="1"/>
    <col min="10" max="10" width="8.7109375" style="3" customWidth="1"/>
    <col min="11" max="11" width="14.7109375" style="3" customWidth="1"/>
    <col min="12" max="12" width="8.7109375" style="3" customWidth="1"/>
    <col min="13" max="13" width="14.7109375" style="3" customWidth="1"/>
    <col min="14" max="14" width="8.7109375" style="3" customWidth="1"/>
    <col min="15" max="15" width="14.7109375" style="3" customWidth="1"/>
    <col min="16" max="16" width="8.7109375" style="3" customWidth="1"/>
    <col min="17" max="17" width="14.7109375" style="3" customWidth="1"/>
    <col min="18" max="18" width="14.7109375" style="3" hidden="1" customWidth="1"/>
    <col min="19" max="19" width="8.7109375" style="3" customWidth="1"/>
    <col min="20" max="20" width="14.7109375" style="3" customWidth="1"/>
    <col min="21" max="21" width="8.7109375" style="3" customWidth="1"/>
    <col min="22" max="22" width="14.7109375" style="3" customWidth="1"/>
    <col min="23" max="23" width="8.7109375" style="3" customWidth="1"/>
    <col min="24" max="24" width="14.7109375" style="3" customWidth="1"/>
    <col min="25" max="25" width="8.7109375" style="3" customWidth="1"/>
    <col min="26" max="26" width="14.7109375" style="3" customWidth="1"/>
    <col min="27" max="27" width="8.7109375" style="3" customWidth="1"/>
    <col min="28" max="28" width="14.7109375" style="3" customWidth="1"/>
    <col min="29" max="29" width="8.7109375" style="3" customWidth="1"/>
    <col min="30" max="30" width="14.7109375" style="3" customWidth="1"/>
    <col min="31" max="31" width="8.7109375" style="3" customWidth="1"/>
    <col min="32" max="32" width="14.7109375" style="3" customWidth="1"/>
    <col min="33" max="33" width="8.7109375" style="3" customWidth="1"/>
    <col min="34" max="34" width="14.7109375" style="3" customWidth="1"/>
    <col min="35" max="35" width="8.7109375" style="3" customWidth="1"/>
    <col min="36" max="36" width="14.7109375" style="3" customWidth="1"/>
    <col min="37" max="37" width="8.7109375" style="3" customWidth="1"/>
    <col min="38" max="38" width="14.7109375" style="3" customWidth="1"/>
    <col min="39" max="39" width="8.7109375" style="3" customWidth="1"/>
    <col min="40" max="40" width="14.7109375" style="3" customWidth="1"/>
    <col min="41" max="41" width="8.7109375" style="3" customWidth="1"/>
    <col min="42" max="42" width="14.7109375" style="3" customWidth="1"/>
    <col min="43" max="43" width="8.7109375" style="3" customWidth="1"/>
    <col min="44" max="44" width="14.7109375" style="3" customWidth="1"/>
    <col min="45" max="45" width="8.7109375" style="3" customWidth="1"/>
    <col min="46" max="46" width="14.7109375" style="3" customWidth="1"/>
    <col min="47" max="47" width="8.7109375" style="3" customWidth="1"/>
    <col min="48" max="48" width="14.7109375" style="3" customWidth="1"/>
    <col min="49" max="49" width="8.7109375" style="3" customWidth="1"/>
    <col min="50" max="50" width="14.7109375" style="3" customWidth="1"/>
    <col min="51" max="51" width="8.7109375" style="3" customWidth="1"/>
    <col min="52" max="52" width="14.7109375" style="3" customWidth="1"/>
    <col min="53" max="53" width="8.7109375" style="3" customWidth="1"/>
    <col min="54" max="54" width="14.7109375" style="3" customWidth="1"/>
    <col min="55" max="55" width="8.7109375" style="3" customWidth="1"/>
    <col min="56" max="56" width="14.7109375" style="3" customWidth="1"/>
    <col min="57" max="57" width="8.7109375" style="3" customWidth="1"/>
    <col min="58" max="58" width="14.7109375" style="3" customWidth="1"/>
    <col min="59" max="59" width="8.7109375" style="3" customWidth="1"/>
    <col min="60" max="60" width="14.7109375" style="3" customWidth="1"/>
    <col min="61" max="61" width="8.7109375" style="3" customWidth="1"/>
    <col min="62" max="62" width="14.7109375" style="3" customWidth="1"/>
    <col min="63" max="70" width="8.7109375" style="3" customWidth="1"/>
    <col min="78" max="16384" width="9.140625" style="3"/>
  </cols>
  <sheetData>
    <row r="1" spans="1:77" s="5" customFormat="1" ht="16.350000000000001" customHeight="1">
      <c r="A1" s="48" t="s">
        <v>504</v>
      </c>
      <c r="B1" s="48" t="s">
        <v>5</v>
      </c>
      <c r="C1" s="48" t="s">
        <v>506</v>
      </c>
      <c r="D1" s="51" t="s">
        <v>48</v>
      </c>
      <c r="E1" s="51"/>
      <c r="F1" s="51" t="s">
        <v>264</v>
      </c>
      <c r="G1" s="51"/>
      <c r="H1" s="51" t="s">
        <v>265</v>
      </c>
      <c r="I1" s="51"/>
      <c r="J1" s="51" t="s">
        <v>266</v>
      </c>
      <c r="K1" s="51"/>
      <c r="L1" s="51" t="s">
        <v>49</v>
      </c>
      <c r="M1" s="51"/>
      <c r="N1" s="51" t="s">
        <v>50</v>
      </c>
      <c r="O1" s="51"/>
      <c r="P1" s="51" t="s">
        <v>51</v>
      </c>
      <c r="Q1" s="51"/>
      <c r="R1" s="2"/>
      <c r="S1" s="51" t="s">
        <v>52</v>
      </c>
      <c r="T1" s="51"/>
      <c r="U1" s="51" t="s">
        <v>53</v>
      </c>
      <c r="V1" s="51"/>
      <c r="W1" s="51" t="s">
        <v>54</v>
      </c>
      <c r="X1" s="51"/>
      <c r="Y1" s="51" t="s">
        <v>306</v>
      </c>
      <c r="Z1" s="51"/>
      <c r="AA1" s="51" t="s">
        <v>307</v>
      </c>
      <c r="AB1" s="51"/>
      <c r="AC1" s="51" t="s">
        <v>308</v>
      </c>
      <c r="AD1" s="51"/>
      <c r="AE1" s="51" t="s">
        <v>55</v>
      </c>
      <c r="AF1" s="51"/>
      <c r="AG1" s="51" t="s">
        <v>56</v>
      </c>
      <c r="AH1" s="51"/>
      <c r="AI1" s="51" t="s">
        <v>57</v>
      </c>
      <c r="AJ1" s="51"/>
      <c r="AK1" s="51" t="s">
        <v>361</v>
      </c>
      <c r="AL1" s="51"/>
      <c r="AM1" s="51" t="s">
        <v>362</v>
      </c>
      <c r="AN1" s="51"/>
      <c r="AO1" s="51" t="s">
        <v>363</v>
      </c>
      <c r="AP1" s="51"/>
      <c r="AQ1" s="51" t="s">
        <v>58</v>
      </c>
      <c r="AR1" s="51"/>
      <c r="AS1" s="51" t="s">
        <v>59</v>
      </c>
      <c r="AT1" s="51"/>
      <c r="AU1" s="51" t="s">
        <v>60</v>
      </c>
      <c r="AV1" s="51"/>
      <c r="AW1" s="51" t="s">
        <v>408</v>
      </c>
      <c r="AX1" s="51"/>
      <c r="AY1" s="51" t="s">
        <v>409</v>
      </c>
      <c r="AZ1" s="51"/>
      <c r="BA1" s="51" t="s">
        <v>410</v>
      </c>
      <c r="BB1" s="51"/>
      <c r="BC1" s="51" t="s">
        <v>61</v>
      </c>
      <c r="BD1" s="51"/>
      <c r="BE1" s="51" t="s">
        <v>62</v>
      </c>
      <c r="BF1" s="51"/>
      <c r="BG1" s="51" t="s">
        <v>63</v>
      </c>
      <c r="BH1" s="51"/>
      <c r="BI1" s="51" t="s">
        <v>64</v>
      </c>
      <c r="BJ1" s="51"/>
      <c r="BK1" s="2"/>
      <c r="BL1" s="5" t="s">
        <v>729</v>
      </c>
      <c r="BP1" s="7" t="s">
        <v>730</v>
      </c>
      <c r="BS1"/>
      <c r="BT1"/>
      <c r="BU1"/>
      <c r="BV1"/>
      <c r="BW1"/>
      <c r="BX1"/>
      <c r="BY1"/>
    </row>
    <row r="2" spans="1:77" s="5" customFormat="1">
      <c r="A2" s="48"/>
      <c r="B2" s="48"/>
      <c r="C2" s="48"/>
      <c r="D2" s="5" t="s">
        <v>731</v>
      </c>
      <c r="E2" s="5" t="s">
        <v>732</v>
      </c>
      <c r="F2" s="5" t="s">
        <v>731</v>
      </c>
      <c r="G2" s="5" t="s">
        <v>732</v>
      </c>
      <c r="H2" s="5" t="s">
        <v>731</v>
      </c>
      <c r="I2" s="5" t="s">
        <v>732</v>
      </c>
      <c r="J2" s="5" t="s">
        <v>731</v>
      </c>
      <c r="K2" s="5" t="s">
        <v>732</v>
      </c>
      <c r="L2" s="5" t="s">
        <v>731</v>
      </c>
      <c r="M2" s="5" t="s">
        <v>732</v>
      </c>
      <c r="N2" s="5" t="s">
        <v>731</v>
      </c>
      <c r="O2" s="5" t="s">
        <v>732</v>
      </c>
      <c r="P2" s="5" t="s">
        <v>731</v>
      </c>
      <c r="Q2" s="5" t="s">
        <v>732</v>
      </c>
      <c r="R2" s="5" t="s">
        <v>732</v>
      </c>
      <c r="S2" s="5" t="s">
        <v>731</v>
      </c>
      <c r="T2" s="5" t="s">
        <v>732</v>
      </c>
      <c r="U2" s="5" t="s">
        <v>731</v>
      </c>
      <c r="V2" s="5" t="s">
        <v>732</v>
      </c>
      <c r="W2" s="5" t="s">
        <v>731</v>
      </c>
      <c r="X2" s="5" t="s">
        <v>732</v>
      </c>
      <c r="Y2" s="5" t="s">
        <v>731</v>
      </c>
      <c r="Z2" s="5" t="s">
        <v>732</v>
      </c>
      <c r="AA2" s="5" t="s">
        <v>731</v>
      </c>
      <c r="AB2" s="5" t="s">
        <v>732</v>
      </c>
      <c r="AC2" s="5" t="s">
        <v>731</v>
      </c>
      <c r="AD2" s="5" t="s">
        <v>732</v>
      </c>
      <c r="AE2" s="5" t="s">
        <v>731</v>
      </c>
      <c r="AF2" s="5" t="s">
        <v>732</v>
      </c>
      <c r="AG2" s="5" t="s">
        <v>731</v>
      </c>
      <c r="AH2" s="5" t="s">
        <v>732</v>
      </c>
      <c r="AI2" s="5" t="s">
        <v>731</v>
      </c>
      <c r="AJ2" s="5" t="s">
        <v>732</v>
      </c>
      <c r="AK2" s="5" t="s">
        <v>731</v>
      </c>
      <c r="AL2" s="5" t="s">
        <v>732</v>
      </c>
      <c r="AM2" s="5" t="s">
        <v>731</v>
      </c>
      <c r="AN2" s="5" t="s">
        <v>732</v>
      </c>
      <c r="AO2" s="5" t="s">
        <v>731</v>
      </c>
      <c r="AP2" s="5" t="s">
        <v>732</v>
      </c>
      <c r="AQ2" s="5" t="s">
        <v>731</v>
      </c>
      <c r="AR2" s="5" t="s">
        <v>732</v>
      </c>
      <c r="AS2" s="5" t="s">
        <v>731</v>
      </c>
      <c r="AT2" s="5" t="s">
        <v>732</v>
      </c>
      <c r="AU2" s="5" t="s">
        <v>731</v>
      </c>
      <c r="AV2" s="5" t="s">
        <v>732</v>
      </c>
      <c r="AW2" s="5" t="s">
        <v>731</v>
      </c>
      <c r="AX2" s="5" t="s">
        <v>732</v>
      </c>
      <c r="AY2" s="5" t="s">
        <v>731</v>
      </c>
      <c r="AZ2" s="5" t="s">
        <v>732</v>
      </c>
      <c r="BA2" s="5" t="s">
        <v>731</v>
      </c>
      <c r="BB2" s="5" t="s">
        <v>732</v>
      </c>
      <c r="BC2" s="5" t="s">
        <v>731</v>
      </c>
      <c r="BD2" s="5" t="s">
        <v>732</v>
      </c>
      <c r="BE2" s="5" t="s">
        <v>731</v>
      </c>
      <c r="BF2" s="5" t="s">
        <v>732</v>
      </c>
      <c r="BG2" s="5" t="s">
        <v>731</v>
      </c>
      <c r="BH2" s="5" t="s">
        <v>732</v>
      </c>
      <c r="BI2" s="5" t="s">
        <v>731</v>
      </c>
      <c r="BJ2" s="5" t="s">
        <v>732</v>
      </c>
      <c r="BL2" s="5" t="s">
        <v>196</v>
      </c>
      <c r="BM2" s="5" t="s">
        <v>193</v>
      </c>
      <c r="BN2" s="5" t="s">
        <v>733</v>
      </c>
      <c r="BP2" s="5" t="s">
        <v>196</v>
      </c>
      <c r="BQ2" s="5" t="s">
        <v>193</v>
      </c>
      <c r="BR2" s="5" t="s">
        <v>733</v>
      </c>
      <c r="BS2"/>
      <c r="BT2"/>
      <c r="BU2"/>
      <c r="BV2"/>
      <c r="BW2"/>
      <c r="BX2"/>
      <c r="BY2"/>
    </row>
    <row r="3" spans="1:77" ht="76.150000000000006" customHeight="1">
      <c r="A3" s="49" t="s">
        <v>508</v>
      </c>
      <c r="B3" s="3" t="s">
        <v>191</v>
      </c>
      <c r="C3" s="3" t="s">
        <v>509</v>
      </c>
      <c r="D3" s="3" t="s">
        <v>196</v>
      </c>
      <c r="E3" s="3" t="s">
        <v>734</v>
      </c>
      <c r="F3" s="3" t="s">
        <v>196</v>
      </c>
      <c r="G3" s="3" t="s">
        <v>735</v>
      </c>
      <c r="H3" s="3" t="s">
        <v>196</v>
      </c>
      <c r="I3" s="3" t="s">
        <v>736</v>
      </c>
      <c r="J3" s="3" t="s">
        <v>196</v>
      </c>
      <c r="K3" s="3" t="s">
        <v>737</v>
      </c>
      <c r="L3" s="3" t="s">
        <v>196</v>
      </c>
      <c r="M3" s="3" t="s">
        <v>738</v>
      </c>
      <c r="N3" s="3" t="s">
        <v>196</v>
      </c>
      <c r="O3" s="3" t="s">
        <v>739</v>
      </c>
      <c r="P3" s="3" t="s">
        <v>196</v>
      </c>
      <c r="Q3" s="3" t="s">
        <v>740</v>
      </c>
      <c r="S3" s="3" t="s">
        <v>196</v>
      </c>
      <c r="T3" s="3" t="s">
        <v>741</v>
      </c>
      <c r="U3" s="3" t="s">
        <v>196</v>
      </c>
      <c r="V3" s="3" t="s">
        <v>742</v>
      </c>
      <c r="W3" s="3" t="s">
        <v>196</v>
      </c>
      <c r="X3" s="3" t="s">
        <v>743</v>
      </c>
      <c r="Y3" s="3" t="s">
        <v>196</v>
      </c>
      <c r="Z3" s="3" t="s">
        <v>744</v>
      </c>
      <c r="AA3" s="3" t="s">
        <v>196</v>
      </c>
      <c r="AB3" s="3" t="s">
        <v>745</v>
      </c>
      <c r="AC3" s="3" t="s">
        <v>196</v>
      </c>
      <c r="AD3" s="3" t="s">
        <v>746</v>
      </c>
      <c r="AE3" s="3" t="s">
        <v>196</v>
      </c>
      <c r="AF3" s="3" t="s">
        <v>747</v>
      </c>
      <c r="AG3" s="3" t="s">
        <v>196</v>
      </c>
      <c r="AH3" s="3" t="s">
        <v>748</v>
      </c>
      <c r="AI3" s="3" t="s">
        <v>196</v>
      </c>
      <c r="AJ3" s="3" t="s">
        <v>749</v>
      </c>
      <c r="AK3" s="3" t="s">
        <v>196</v>
      </c>
      <c r="AL3" s="3" t="s">
        <v>750</v>
      </c>
      <c r="AM3" s="3" t="s">
        <v>196</v>
      </c>
      <c r="AN3" s="3" t="s">
        <v>751</v>
      </c>
      <c r="AO3" s="3" t="s">
        <v>196</v>
      </c>
      <c r="AP3" s="3" t="s">
        <v>752</v>
      </c>
      <c r="AQ3" s="3" t="s">
        <v>196</v>
      </c>
      <c r="AR3" s="3" t="s">
        <v>753</v>
      </c>
      <c r="AS3" s="3" t="s">
        <v>196</v>
      </c>
      <c r="AT3" s="3" t="s">
        <v>754</v>
      </c>
      <c r="AU3" s="3" t="s">
        <v>733</v>
      </c>
      <c r="AV3" s="3" t="s">
        <v>755</v>
      </c>
      <c r="AW3" s="3" t="s">
        <v>196</v>
      </c>
      <c r="AX3" s="3" t="s">
        <v>756</v>
      </c>
      <c r="AY3" s="3" t="s">
        <v>196</v>
      </c>
      <c r="AZ3" s="3" t="s">
        <v>757</v>
      </c>
      <c r="BA3" s="3" t="s">
        <v>196</v>
      </c>
      <c r="BB3" s="3" t="s">
        <v>758</v>
      </c>
      <c r="BC3" s="3" t="s">
        <v>196</v>
      </c>
      <c r="BD3" s="3" t="s">
        <v>759</v>
      </c>
      <c r="BE3" s="3" t="s">
        <v>196</v>
      </c>
      <c r="BF3" s="3" t="s">
        <v>760</v>
      </c>
      <c r="BG3" s="3" t="s">
        <v>196</v>
      </c>
      <c r="BH3" s="3" t="s">
        <v>761</v>
      </c>
      <c r="BI3" s="3" t="s">
        <v>196</v>
      </c>
      <c r="BJ3" s="3" t="s">
        <v>762</v>
      </c>
      <c r="BL3" s="3">
        <f>COUNTIF(D3:BJ3,"Yes")</f>
        <v>28</v>
      </c>
      <c r="BM3" s="3">
        <f t="shared" ref="BM3:BM32" si="0">COUNTIF(D3:BJ3,"No")</f>
        <v>0</v>
      </c>
      <c r="BN3" s="3">
        <f>COUNTIF(D3:BJ3,"Partial")</f>
        <v>1</v>
      </c>
      <c r="BP3" s="3">
        <f>COUNTIF(D3:BF3,"Yes")-COUNTIF(P3:V3,"Yes")</f>
        <v>23</v>
      </c>
      <c r="BQ3" s="3">
        <f>COUNTIF(D3:BF3,"No")-COUNTIF(P3:V3,"No")</f>
        <v>0</v>
      </c>
      <c r="BR3" s="3">
        <f>COUNTIF(D3:BF3,"Partial")-COUNTIF(P3:V3,"Partial")</f>
        <v>1</v>
      </c>
    </row>
    <row r="4" spans="1:77">
      <c r="A4" s="49"/>
      <c r="B4" s="3" t="s">
        <v>321</v>
      </c>
      <c r="C4" s="3" t="s">
        <v>510</v>
      </c>
      <c r="D4" s="3" t="s">
        <v>193</v>
      </c>
      <c r="F4" s="3" t="s">
        <v>193</v>
      </c>
      <c r="H4" s="3" t="s">
        <v>193</v>
      </c>
      <c r="J4" s="3" t="s">
        <v>193</v>
      </c>
      <c r="L4" s="3" t="s">
        <v>193</v>
      </c>
      <c r="N4" s="3" t="s">
        <v>193</v>
      </c>
      <c r="P4" s="3" t="s">
        <v>193</v>
      </c>
      <c r="S4" s="3" t="s">
        <v>193</v>
      </c>
      <c r="U4" s="3" t="s">
        <v>193</v>
      </c>
      <c r="W4" s="3" t="s">
        <v>193</v>
      </c>
      <c r="Y4" s="3" t="s">
        <v>193</v>
      </c>
      <c r="AA4" s="3" t="s">
        <v>193</v>
      </c>
      <c r="AC4" s="3" t="s">
        <v>733</v>
      </c>
      <c r="AD4" s="3" t="s">
        <v>763</v>
      </c>
      <c r="AE4" s="3" t="s">
        <v>193</v>
      </c>
      <c r="AG4" s="3" t="s">
        <v>193</v>
      </c>
      <c r="AI4" s="3" t="s">
        <v>193</v>
      </c>
      <c r="AK4" s="3" t="s">
        <v>193</v>
      </c>
      <c r="AM4" s="3" t="s">
        <v>193</v>
      </c>
      <c r="AO4" s="3" t="s">
        <v>193</v>
      </c>
      <c r="AQ4" s="3" t="s">
        <v>193</v>
      </c>
      <c r="AS4" s="3" t="s">
        <v>193</v>
      </c>
      <c r="AU4" s="3" t="s">
        <v>193</v>
      </c>
      <c r="AW4" s="3" t="s">
        <v>193</v>
      </c>
      <c r="AY4" s="3" t="s">
        <v>193</v>
      </c>
      <c r="BA4" s="3" t="s">
        <v>193</v>
      </c>
      <c r="BC4" s="3" t="s">
        <v>193</v>
      </c>
      <c r="BE4" s="3" t="s">
        <v>193</v>
      </c>
      <c r="BG4" s="3" t="s">
        <v>193</v>
      </c>
      <c r="BI4" s="3" t="s">
        <v>193</v>
      </c>
      <c r="BL4" s="3">
        <f t="shared" ref="BL3:BL32" si="1">COUNTIF(D4:BJ4,"Yes")</f>
        <v>0</v>
      </c>
      <c r="BM4" s="3">
        <f t="shared" si="0"/>
        <v>28</v>
      </c>
      <c r="BN4" s="3">
        <f t="shared" ref="BN4:BN32" si="2">COUNTIF(D4:BJ4,"Partial")</f>
        <v>1</v>
      </c>
      <c r="BP4" s="3">
        <f>COUNTIF(D4:BF4,"Yes")-COUNTIF(P4:V4,"Yes")</f>
        <v>0</v>
      </c>
      <c r="BQ4" s="3">
        <f t="shared" ref="BQ3:BR32" si="3">COUNTIF(D4:BF4,"No")-COUNTIF(P4:V4,"No")</f>
        <v>23</v>
      </c>
      <c r="BR4" s="3">
        <f t="shared" ref="BR4:BR32" si="4">COUNTIF(D4:BF4,"Partial")-COUNTIF(P4:V4,"Partial")</f>
        <v>1</v>
      </c>
    </row>
    <row r="5" spans="1:77" ht="46.35" customHeight="1">
      <c r="A5" s="49" t="s">
        <v>513</v>
      </c>
      <c r="B5" s="3" t="s">
        <v>199</v>
      </c>
      <c r="C5" s="3" t="s">
        <v>514</v>
      </c>
      <c r="D5" s="3" t="s">
        <v>196</v>
      </c>
      <c r="E5" s="3" t="s">
        <v>764</v>
      </c>
      <c r="F5" s="3" t="s">
        <v>196</v>
      </c>
      <c r="G5" s="3" t="s">
        <v>765</v>
      </c>
      <c r="H5" s="3" t="s">
        <v>196</v>
      </c>
      <c r="I5" s="3" t="s">
        <v>766</v>
      </c>
      <c r="J5" s="3" t="s">
        <v>196</v>
      </c>
      <c r="K5" s="3" t="s">
        <v>767</v>
      </c>
      <c r="L5" s="3" t="s">
        <v>733</v>
      </c>
      <c r="M5" s="3" t="s">
        <v>768</v>
      </c>
      <c r="N5" s="3" t="s">
        <v>196</v>
      </c>
      <c r="O5" s="3" t="s">
        <v>769</v>
      </c>
      <c r="P5" s="3" t="s">
        <v>196</v>
      </c>
      <c r="Q5" s="3" t="s">
        <v>770</v>
      </c>
      <c r="S5" s="3" t="s">
        <v>733</v>
      </c>
      <c r="T5" s="3" t="s">
        <v>771</v>
      </c>
      <c r="U5" s="3" t="s">
        <v>733</v>
      </c>
      <c r="V5" s="3" t="s">
        <v>772</v>
      </c>
      <c r="W5" s="3" t="s">
        <v>733</v>
      </c>
      <c r="X5" s="3" t="s">
        <v>773</v>
      </c>
      <c r="Y5" s="3" t="s">
        <v>196</v>
      </c>
      <c r="Z5" s="3" t="s">
        <v>774</v>
      </c>
      <c r="AA5" s="3" t="s">
        <v>196</v>
      </c>
      <c r="AB5" s="3" t="s">
        <v>775</v>
      </c>
      <c r="AC5" s="3" t="s">
        <v>733</v>
      </c>
      <c r="AD5" s="3" t="s">
        <v>776</v>
      </c>
      <c r="AE5" s="3" t="s">
        <v>196</v>
      </c>
      <c r="AF5" s="3" t="s">
        <v>777</v>
      </c>
      <c r="AG5" s="3" t="s">
        <v>196</v>
      </c>
      <c r="AH5" s="3" t="s">
        <v>778</v>
      </c>
      <c r="AI5" s="3" t="s">
        <v>193</v>
      </c>
      <c r="AK5" s="3" t="s">
        <v>193</v>
      </c>
      <c r="AM5" s="3" t="s">
        <v>193</v>
      </c>
      <c r="AO5" s="3" t="s">
        <v>196</v>
      </c>
      <c r="AP5" s="3" t="s">
        <v>779</v>
      </c>
      <c r="AQ5" s="3" t="s">
        <v>196</v>
      </c>
      <c r="AR5" s="3" t="s">
        <v>780</v>
      </c>
      <c r="AS5" s="3" t="s">
        <v>193</v>
      </c>
      <c r="AU5" s="3" t="s">
        <v>733</v>
      </c>
      <c r="AV5" s="3" t="s">
        <v>781</v>
      </c>
      <c r="AW5" s="3" t="s">
        <v>196</v>
      </c>
      <c r="AX5" s="3" t="s">
        <v>782</v>
      </c>
      <c r="AY5" s="3" t="s">
        <v>196</v>
      </c>
      <c r="AZ5" s="3" t="s">
        <v>783</v>
      </c>
      <c r="BA5" s="3" t="s">
        <v>733</v>
      </c>
      <c r="BB5" s="3" t="s">
        <v>784</v>
      </c>
      <c r="BC5" s="3" t="s">
        <v>196</v>
      </c>
      <c r="BD5" s="3" t="s">
        <v>785</v>
      </c>
      <c r="BE5" s="3" t="s">
        <v>733</v>
      </c>
      <c r="BF5" s="3" t="s">
        <v>760</v>
      </c>
      <c r="BG5" s="3" t="s">
        <v>733</v>
      </c>
      <c r="BH5" s="3" t="s">
        <v>786</v>
      </c>
      <c r="BI5" s="3" t="s">
        <v>733</v>
      </c>
      <c r="BJ5" s="3" t="s">
        <v>787</v>
      </c>
      <c r="BL5" s="3">
        <f t="shared" si="1"/>
        <v>15</v>
      </c>
      <c r="BM5" s="3">
        <f t="shared" si="0"/>
        <v>4</v>
      </c>
      <c r="BN5" s="3">
        <f t="shared" si="2"/>
        <v>10</v>
      </c>
      <c r="BP5" s="3">
        <f>COUNTIF(D5:BF5,"Yes")-COUNTIF(P5:V5,"Yes")</f>
        <v>14</v>
      </c>
      <c r="BQ5" s="3">
        <f t="shared" si="3"/>
        <v>4</v>
      </c>
      <c r="BR5" s="3">
        <f t="shared" si="4"/>
        <v>6</v>
      </c>
    </row>
    <row r="6" spans="1:77">
      <c r="A6" s="49"/>
      <c r="B6" s="3" t="s">
        <v>279</v>
      </c>
      <c r="C6" s="3" t="s">
        <v>515</v>
      </c>
      <c r="D6" s="3" t="s">
        <v>193</v>
      </c>
      <c r="F6" s="3" t="s">
        <v>193</v>
      </c>
      <c r="H6" s="3" t="s">
        <v>196</v>
      </c>
      <c r="I6" s="3" t="s">
        <v>788</v>
      </c>
      <c r="J6" s="3" t="s">
        <v>193</v>
      </c>
      <c r="L6" s="3" t="s">
        <v>193</v>
      </c>
      <c r="N6" s="3" t="s">
        <v>193</v>
      </c>
      <c r="P6" s="3" t="s">
        <v>193</v>
      </c>
      <c r="S6" s="3" t="s">
        <v>193</v>
      </c>
      <c r="U6" s="3" t="s">
        <v>193</v>
      </c>
      <c r="W6" s="3" t="s">
        <v>193</v>
      </c>
      <c r="Y6" s="3" t="s">
        <v>193</v>
      </c>
      <c r="AA6" s="3" t="s">
        <v>193</v>
      </c>
      <c r="AC6" s="3" t="s">
        <v>193</v>
      </c>
      <c r="AE6" s="3" t="s">
        <v>193</v>
      </c>
      <c r="AG6" s="3" t="s">
        <v>193</v>
      </c>
      <c r="AI6" s="3" t="s">
        <v>193</v>
      </c>
      <c r="AK6" s="3" t="s">
        <v>193</v>
      </c>
      <c r="AM6" s="3" t="s">
        <v>193</v>
      </c>
      <c r="AO6" s="3" t="s">
        <v>193</v>
      </c>
      <c r="AQ6" s="3" t="s">
        <v>193</v>
      </c>
      <c r="AS6" s="3" t="s">
        <v>193</v>
      </c>
      <c r="AU6" s="3" t="s">
        <v>193</v>
      </c>
      <c r="AW6" s="3" t="s">
        <v>193</v>
      </c>
      <c r="AY6" s="3" t="s">
        <v>193</v>
      </c>
      <c r="BA6" s="3" t="s">
        <v>193</v>
      </c>
      <c r="BC6" s="3" t="s">
        <v>193</v>
      </c>
      <c r="BE6" s="3" t="s">
        <v>193</v>
      </c>
      <c r="BG6" s="3" t="s">
        <v>193</v>
      </c>
      <c r="BI6" s="3" t="s">
        <v>193</v>
      </c>
      <c r="BL6" s="3">
        <f t="shared" si="1"/>
        <v>1</v>
      </c>
      <c r="BM6" s="3">
        <f t="shared" si="0"/>
        <v>28</v>
      </c>
      <c r="BN6" s="3">
        <f t="shared" si="2"/>
        <v>0</v>
      </c>
      <c r="BP6" s="3">
        <f>COUNTIF(D6:BF6,"Yes")-COUNTIF(P6:V6,"Yes")</f>
        <v>1</v>
      </c>
      <c r="BQ6" s="3">
        <f t="shared" si="3"/>
        <v>23</v>
      </c>
      <c r="BR6" s="3">
        <f t="shared" si="4"/>
        <v>0</v>
      </c>
    </row>
    <row r="7" spans="1:77" ht="31.35" customHeight="1">
      <c r="A7" s="49" t="s">
        <v>519</v>
      </c>
      <c r="B7" s="3" t="s">
        <v>202</v>
      </c>
      <c r="C7" s="3" t="s">
        <v>520</v>
      </c>
      <c r="D7" s="3" t="s">
        <v>733</v>
      </c>
      <c r="E7" s="3" t="s">
        <v>789</v>
      </c>
      <c r="F7" s="3" t="s">
        <v>733</v>
      </c>
      <c r="G7" t="s">
        <v>790</v>
      </c>
      <c r="H7" s="3" t="s">
        <v>733</v>
      </c>
      <c r="I7" s="3" t="s">
        <v>791</v>
      </c>
      <c r="J7" s="3" t="s">
        <v>733</v>
      </c>
      <c r="K7" s="3" t="s">
        <v>792</v>
      </c>
      <c r="L7" s="3" t="s">
        <v>733</v>
      </c>
      <c r="M7" s="3" t="s">
        <v>793</v>
      </c>
      <c r="N7" s="3" t="s">
        <v>733</v>
      </c>
      <c r="O7" s="3" t="s">
        <v>794</v>
      </c>
      <c r="P7" s="3" t="s">
        <v>196</v>
      </c>
      <c r="Q7" s="3" t="s">
        <v>795</v>
      </c>
      <c r="S7" s="3" t="s">
        <v>193</v>
      </c>
      <c r="U7" s="3" t="s">
        <v>196</v>
      </c>
      <c r="V7" s="3" t="s">
        <v>796</v>
      </c>
      <c r="W7" s="3" t="s">
        <v>733</v>
      </c>
      <c r="X7" s="3" t="s">
        <v>797</v>
      </c>
      <c r="Y7" s="3" t="s">
        <v>196</v>
      </c>
      <c r="Z7" s="3" t="s">
        <v>798</v>
      </c>
      <c r="AA7" s="3" t="s">
        <v>196</v>
      </c>
      <c r="AB7" s="3" t="s">
        <v>799</v>
      </c>
      <c r="AC7" s="3" t="s">
        <v>733</v>
      </c>
      <c r="AD7" s="3" t="s">
        <v>800</v>
      </c>
      <c r="AE7" s="3" t="s">
        <v>733</v>
      </c>
      <c r="AF7" s="3" t="s">
        <v>801</v>
      </c>
      <c r="AG7" s="3" t="s">
        <v>733</v>
      </c>
      <c r="AH7" s="3" t="s">
        <v>802</v>
      </c>
      <c r="AI7" s="3" t="s">
        <v>733</v>
      </c>
      <c r="AJ7" s="3" t="s">
        <v>803</v>
      </c>
      <c r="AK7" s="3" t="s">
        <v>193</v>
      </c>
      <c r="AM7" s="3" t="s">
        <v>733</v>
      </c>
      <c r="AN7" s="3" t="s">
        <v>804</v>
      </c>
      <c r="AO7" s="3" t="s">
        <v>733</v>
      </c>
      <c r="AP7" s="3" t="s">
        <v>805</v>
      </c>
      <c r="AQ7" s="3" t="s">
        <v>733</v>
      </c>
      <c r="AR7" s="3" t="s">
        <v>806</v>
      </c>
      <c r="AS7" s="3" t="s">
        <v>733</v>
      </c>
      <c r="AT7" s="3" t="s">
        <v>807</v>
      </c>
      <c r="AU7" s="3" t="s">
        <v>196</v>
      </c>
      <c r="AV7" s="3" t="s">
        <v>808</v>
      </c>
      <c r="AW7" s="3" t="s">
        <v>196</v>
      </c>
      <c r="AX7" s="3" t="s">
        <v>809</v>
      </c>
      <c r="AY7" s="3" t="s">
        <v>196</v>
      </c>
      <c r="AZ7" s="3" t="s">
        <v>810</v>
      </c>
      <c r="BA7" s="3" t="s">
        <v>196</v>
      </c>
      <c r="BB7" s="3" t="s">
        <v>811</v>
      </c>
      <c r="BC7" s="3" t="s">
        <v>196</v>
      </c>
      <c r="BD7" s="3" t="s">
        <v>812</v>
      </c>
      <c r="BE7" s="3" t="s">
        <v>196</v>
      </c>
      <c r="BF7" s="3" t="s">
        <v>813</v>
      </c>
      <c r="BG7" s="3" t="s">
        <v>196</v>
      </c>
      <c r="BH7" s="3" t="s">
        <v>814</v>
      </c>
      <c r="BI7" s="3" t="s">
        <v>193</v>
      </c>
      <c r="BL7" s="3">
        <f t="shared" si="1"/>
        <v>11</v>
      </c>
      <c r="BM7" s="3">
        <f t="shared" si="0"/>
        <v>3</v>
      </c>
      <c r="BN7" s="3">
        <f t="shared" si="2"/>
        <v>15</v>
      </c>
      <c r="BP7" s="3">
        <f>COUNTIF(D7:BF7,"Yes")-COUNTIF(P7:V7,"Yes")</f>
        <v>8</v>
      </c>
      <c r="BQ7" s="3">
        <f t="shared" si="3"/>
        <v>1</v>
      </c>
      <c r="BR7" s="3">
        <f t="shared" si="4"/>
        <v>15</v>
      </c>
    </row>
    <row r="8" spans="1:77">
      <c r="A8" s="49"/>
      <c r="B8" s="3" t="s">
        <v>203</v>
      </c>
      <c r="C8" s="3" t="s">
        <v>521</v>
      </c>
      <c r="D8" s="3" t="s">
        <v>196</v>
      </c>
      <c r="E8" s="3" t="s">
        <v>815</v>
      </c>
      <c r="F8" s="3" t="s">
        <v>196</v>
      </c>
      <c r="G8" t="s">
        <v>816</v>
      </c>
      <c r="H8" s="3" t="s">
        <v>733</v>
      </c>
      <c r="I8" s="3" t="s">
        <v>817</v>
      </c>
      <c r="J8" s="3" t="s">
        <v>733</v>
      </c>
      <c r="K8" s="3" t="s">
        <v>818</v>
      </c>
      <c r="L8" s="3" t="s">
        <v>733</v>
      </c>
      <c r="M8" s="3" t="s">
        <v>819</v>
      </c>
      <c r="N8" s="3" t="s">
        <v>193</v>
      </c>
      <c r="P8" s="3" t="s">
        <v>196</v>
      </c>
      <c r="Q8" s="3" t="s">
        <v>820</v>
      </c>
      <c r="S8" s="3" t="s">
        <v>193</v>
      </c>
      <c r="U8" s="3" t="s">
        <v>193</v>
      </c>
      <c r="W8" s="3" t="s">
        <v>193</v>
      </c>
      <c r="Y8" s="3" t="s">
        <v>193</v>
      </c>
      <c r="AA8" s="3" t="s">
        <v>193</v>
      </c>
      <c r="AC8" s="3" t="s">
        <v>193</v>
      </c>
      <c r="AE8" s="3" t="s">
        <v>196</v>
      </c>
      <c r="AF8" s="3" t="s">
        <v>821</v>
      </c>
      <c r="AG8" s="3" t="s">
        <v>196</v>
      </c>
      <c r="AH8" s="3" t="s">
        <v>822</v>
      </c>
      <c r="AI8" s="3" t="s">
        <v>193</v>
      </c>
      <c r="AK8" s="3" t="s">
        <v>193</v>
      </c>
      <c r="AM8" s="3" t="s">
        <v>193</v>
      </c>
      <c r="AO8" s="3" t="s">
        <v>193</v>
      </c>
      <c r="AQ8" s="3" t="s">
        <v>193</v>
      </c>
      <c r="AS8" s="3" t="s">
        <v>193</v>
      </c>
      <c r="AU8" s="3" t="s">
        <v>193</v>
      </c>
      <c r="AW8" s="3" t="s">
        <v>193</v>
      </c>
      <c r="AY8" s="3" t="s">
        <v>193</v>
      </c>
      <c r="BA8" s="3" t="s">
        <v>196</v>
      </c>
      <c r="BB8" s="3" t="s">
        <v>426</v>
      </c>
      <c r="BC8" s="3" t="s">
        <v>733</v>
      </c>
      <c r="BD8" s="3" t="s">
        <v>823</v>
      </c>
      <c r="BE8" s="3" t="s">
        <v>193</v>
      </c>
      <c r="BG8" s="3" t="s">
        <v>193</v>
      </c>
      <c r="BI8" s="3" t="s">
        <v>193</v>
      </c>
      <c r="BL8" s="3">
        <f t="shared" si="1"/>
        <v>6</v>
      </c>
      <c r="BM8" s="3">
        <f t="shared" si="0"/>
        <v>19</v>
      </c>
      <c r="BN8" s="3">
        <f t="shared" si="2"/>
        <v>4</v>
      </c>
      <c r="BP8" s="3">
        <f>COUNTIF(D8:BF8,"Yes")-COUNTIF(P8:V8,"Yes")</f>
        <v>5</v>
      </c>
      <c r="BQ8" s="3">
        <f t="shared" si="3"/>
        <v>15</v>
      </c>
      <c r="BR8" s="3">
        <f t="shared" si="4"/>
        <v>4</v>
      </c>
    </row>
    <row r="9" spans="1:77">
      <c r="A9" s="49"/>
      <c r="B9" s="3" t="s">
        <v>464</v>
      </c>
      <c r="C9" s="3" t="s">
        <v>522</v>
      </c>
      <c r="D9" s="3" t="s">
        <v>193</v>
      </c>
      <c r="F9" s="3" t="s">
        <v>193</v>
      </c>
      <c r="H9" s="3" t="s">
        <v>193</v>
      </c>
      <c r="J9" s="3" t="s">
        <v>193</v>
      </c>
      <c r="L9" s="3" t="s">
        <v>193</v>
      </c>
      <c r="N9" s="3" t="s">
        <v>193</v>
      </c>
      <c r="P9" s="3" t="s">
        <v>193</v>
      </c>
      <c r="S9" s="3" t="s">
        <v>193</v>
      </c>
      <c r="U9" s="3" t="s">
        <v>193</v>
      </c>
      <c r="W9" s="3" t="s">
        <v>193</v>
      </c>
      <c r="Y9" s="3" t="s">
        <v>193</v>
      </c>
      <c r="AA9" s="3" t="s">
        <v>193</v>
      </c>
      <c r="AC9" s="3" t="s">
        <v>193</v>
      </c>
      <c r="AE9" s="3" t="s">
        <v>193</v>
      </c>
      <c r="AG9" s="3" t="s">
        <v>193</v>
      </c>
      <c r="AI9" s="3" t="s">
        <v>193</v>
      </c>
      <c r="AK9" s="3" t="s">
        <v>193</v>
      </c>
      <c r="AM9" s="3" t="s">
        <v>193</v>
      </c>
      <c r="AO9" s="3" t="s">
        <v>193</v>
      </c>
      <c r="AQ9" s="3" t="s">
        <v>193</v>
      </c>
      <c r="AS9" s="3" t="s">
        <v>193</v>
      </c>
      <c r="AU9" s="3" t="s">
        <v>193</v>
      </c>
      <c r="AW9" s="3" t="s">
        <v>193</v>
      </c>
      <c r="AY9" s="3" t="s">
        <v>193</v>
      </c>
      <c r="BA9" s="3" t="s">
        <v>193</v>
      </c>
      <c r="BC9" s="3" t="s">
        <v>193</v>
      </c>
      <c r="BE9" s="3" t="s">
        <v>193</v>
      </c>
      <c r="BG9" s="3" t="s">
        <v>193</v>
      </c>
      <c r="BI9" s="3" t="s">
        <v>193</v>
      </c>
      <c r="BL9" s="3">
        <f t="shared" si="1"/>
        <v>0</v>
      </c>
      <c r="BM9" s="3">
        <f t="shared" si="0"/>
        <v>29</v>
      </c>
      <c r="BN9" s="3">
        <f t="shared" si="2"/>
        <v>0</v>
      </c>
      <c r="BP9" s="3">
        <f>COUNTIF(D9:BF9,"Yes")-COUNTIF(P9:V9,"Yes")</f>
        <v>0</v>
      </c>
      <c r="BQ9" s="3">
        <f t="shared" si="3"/>
        <v>24</v>
      </c>
      <c r="BR9" s="3">
        <f t="shared" si="4"/>
        <v>0</v>
      </c>
    </row>
    <row r="10" spans="1:77" ht="43.5">
      <c r="A10" s="49"/>
      <c r="B10" s="3" t="s">
        <v>204</v>
      </c>
      <c r="C10" s="3" t="s">
        <v>523</v>
      </c>
      <c r="D10" s="3" t="s">
        <v>193</v>
      </c>
      <c r="F10" s="3" t="s">
        <v>196</v>
      </c>
      <c r="G10" t="s">
        <v>824</v>
      </c>
      <c r="H10" s="3" t="s">
        <v>193</v>
      </c>
      <c r="J10" s="3" t="s">
        <v>193</v>
      </c>
      <c r="L10" s="3" t="s">
        <v>193</v>
      </c>
      <c r="N10" s="3" t="s">
        <v>193</v>
      </c>
      <c r="P10" s="3" t="s">
        <v>196</v>
      </c>
      <c r="Q10" s="3" t="s">
        <v>825</v>
      </c>
      <c r="S10" s="3" t="s">
        <v>193</v>
      </c>
      <c r="U10" s="3" t="s">
        <v>193</v>
      </c>
      <c r="W10" s="3" t="s">
        <v>196</v>
      </c>
      <c r="X10" s="3" t="s">
        <v>826</v>
      </c>
      <c r="Y10" s="3" t="s">
        <v>196</v>
      </c>
      <c r="Z10" s="3" t="s">
        <v>798</v>
      </c>
      <c r="AA10" s="3" t="s">
        <v>196</v>
      </c>
      <c r="AB10" s="3" t="s">
        <v>827</v>
      </c>
      <c r="AC10" s="3" t="s">
        <v>733</v>
      </c>
      <c r="AD10" t="s">
        <v>800</v>
      </c>
      <c r="AE10" s="3" t="s">
        <v>193</v>
      </c>
      <c r="AG10" s="3" t="s">
        <v>193</v>
      </c>
      <c r="AI10" s="3" t="s">
        <v>193</v>
      </c>
      <c r="AK10" s="3" t="s">
        <v>193</v>
      </c>
      <c r="AM10" s="3" t="s">
        <v>193</v>
      </c>
      <c r="AO10" s="3" t="s">
        <v>193</v>
      </c>
      <c r="AQ10" s="3" t="s">
        <v>193</v>
      </c>
      <c r="AS10" s="3" t="s">
        <v>193</v>
      </c>
      <c r="AU10" s="3" t="s">
        <v>196</v>
      </c>
      <c r="AV10" s="3" t="s">
        <v>808</v>
      </c>
      <c r="AW10" s="3" t="s">
        <v>196</v>
      </c>
      <c r="AX10" s="3" t="s">
        <v>828</v>
      </c>
      <c r="AY10" s="3" t="s">
        <v>193</v>
      </c>
      <c r="BA10" s="3" t="s">
        <v>733</v>
      </c>
      <c r="BB10" s="3" t="s">
        <v>829</v>
      </c>
      <c r="BC10" s="3" t="s">
        <v>193</v>
      </c>
      <c r="BE10" s="3" t="s">
        <v>193</v>
      </c>
      <c r="BG10" s="3" t="s">
        <v>193</v>
      </c>
      <c r="BI10" s="3" t="s">
        <v>193</v>
      </c>
      <c r="BL10" s="3">
        <f t="shared" si="1"/>
        <v>7</v>
      </c>
      <c r="BM10" s="3">
        <f t="shared" si="0"/>
        <v>20</v>
      </c>
      <c r="BN10" s="3">
        <f t="shared" si="2"/>
        <v>2</v>
      </c>
      <c r="BP10" s="3">
        <f>COUNTIF(D10:BF10,"Yes")-COUNTIF(P10:V10,"Yes")</f>
        <v>6</v>
      </c>
      <c r="BQ10" s="3">
        <f t="shared" si="3"/>
        <v>16</v>
      </c>
      <c r="BR10" s="3">
        <f t="shared" si="4"/>
        <v>2</v>
      </c>
    </row>
    <row r="11" spans="1:77">
      <c r="A11" s="49"/>
      <c r="B11" s="3" t="s">
        <v>205</v>
      </c>
      <c r="C11" s="3" t="s">
        <v>524</v>
      </c>
      <c r="D11" s="3" t="s">
        <v>196</v>
      </c>
      <c r="E11" s="3" t="s">
        <v>815</v>
      </c>
      <c r="F11" s="3" t="s">
        <v>196</v>
      </c>
      <c r="G11" t="s">
        <v>830</v>
      </c>
      <c r="H11" s="3" t="s">
        <v>196</v>
      </c>
      <c r="I11" t="s">
        <v>817</v>
      </c>
      <c r="J11" s="3" t="s">
        <v>196</v>
      </c>
      <c r="K11" s="3" t="s">
        <v>818</v>
      </c>
      <c r="L11" s="3" t="s">
        <v>196</v>
      </c>
      <c r="M11" s="3" t="s">
        <v>831</v>
      </c>
      <c r="N11" s="3" t="s">
        <v>193</v>
      </c>
      <c r="P11" s="3" t="s">
        <v>196</v>
      </c>
      <c r="Q11" s="3" t="s">
        <v>820</v>
      </c>
      <c r="S11" s="3" t="s">
        <v>193</v>
      </c>
      <c r="U11" s="3" t="s">
        <v>196</v>
      </c>
      <c r="V11" s="3" t="s">
        <v>832</v>
      </c>
      <c r="W11" s="3" t="s">
        <v>193</v>
      </c>
      <c r="Y11" s="3" t="s">
        <v>193</v>
      </c>
      <c r="AA11" s="3" t="s">
        <v>193</v>
      </c>
      <c r="AC11" s="3" t="s">
        <v>193</v>
      </c>
      <c r="AE11" s="3" t="s">
        <v>193</v>
      </c>
      <c r="AG11" s="3" t="s">
        <v>193</v>
      </c>
      <c r="AI11" s="3" t="s">
        <v>193</v>
      </c>
      <c r="AK11" s="3" t="s">
        <v>193</v>
      </c>
      <c r="AM11" s="3" t="s">
        <v>193</v>
      </c>
      <c r="AO11" s="3" t="s">
        <v>193</v>
      </c>
      <c r="AQ11" s="3" t="s">
        <v>193</v>
      </c>
      <c r="AS11" s="3" t="s">
        <v>193</v>
      </c>
      <c r="AU11" s="3" t="s">
        <v>193</v>
      </c>
      <c r="AW11" s="3" t="s">
        <v>193</v>
      </c>
      <c r="AY11" s="3" t="s">
        <v>193</v>
      </c>
      <c r="BA11" s="3" t="s">
        <v>193</v>
      </c>
      <c r="BC11" s="3" t="s">
        <v>193</v>
      </c>
      <c r="BE11" s="3" t="s">
        <v>193</v>
      </c>
      <c r="BG11" s="3" t="s">
        <v>193</v>
      </c>
      <c r="BI11" s="3" t="s">
        <v>193</v>
      </c>
      <c r="BL11" s="3">
        <f t="shared" si="1"/>
        <v>7</v>
      </c>
      <c r="BM11" s="3">
        <f t="shared" si="0"/>
        <v>22</v>
      </c>
      <c r="BN11" s="3">
        <f t="shared" si="2"/>
        <v>0</v>
      </c>
      <c r="BP11" s="3">
        <f>COUNTIF(D11:BF11,"Yes")-COUNTIF(P11:V11,"Yes")</f>
        <v>5</v>
      </c>
      <c r="BQ11" s="3">
        <f t="shared" si="3"/>
        <v>19</v>
      </c>
      <c r="BR11" s="3">
        <f t="shared" si="4"/>
        <v>0</v>
      </c>
    </row>
    <row r="12" spans="1:77" ht="31.35" customHeight="1">
      <c r="A12" s="49" t="s">
        <v>536</v>
      </c>
      <c r="B12" s="3" t="s">
        <v>214</v>
      </c>
      <c r="C12" s="3" t="s">
        <v>537</v>
      </c>
      <c r="D12" s="3" t="s">
        <v>196</v>
      </c>
      <c r="E12" s="3" t="s">
        <v>833</v>
      </c>
      <c r="F12" s="3" t="s">
        <v>196</v>
      </c>
      <c r="G12" s="3" t="s">
        <v>834</v>
      </c>
      <c r="H12" s="3" t="s">
        <v>196</v>
      </c>
      <c r="I12" s="3" t="s">
        <v>835</v>
      </c>
      <c r="J12" s="3" t="s">
        <v>733</v>
      </c>
      <c r="K12" s="3" t="s">
        <v>836</v>
      </c>
      <c r="L12" s="3" t="s">
        <v>196</v>
      </c>
      <c r="M12" s="3" t="s">
        <v>837</v>
      </c>
      <c r="N12" s="3" t="s">
        <v>196</v>
      </c>
      <c r="O12" s="3" t="s">
        <v>838</v>
      </c>
      <c r="P12" s="3" t="s">
        <v>196</v>
      </c>
      <c r="Q12" s="3" t="s">
        <v>839</v>
      </c>
      <c r="S12" s="3" t="s">
        <v>196</v>
      </c>
      <c r="T12" s="3" t="s">
        <v>840</v>
      </c>
      <c r="U12" s="3" t="s">
        <v>193</v>
      </c>
      <c r="W12" s="3" t="s">
        <v>196</v>
      </c>
      <c r="X12" s="3" t="s">
        <v>841</v>
      </c>
      <c r="Y12" s="3" t="s">
        <v>733</v>
      </c>
      <c r="Z12" t="s">
        <v>842</v>
      </c>
      <c r="AA12" s="3" t="s">
        <v>733</v>
      </c>
      <c r="AB12" t="s">
        <v>843</v>
      </c>
      <c r="AC12" s="3" t="s">
        <v>733</v>
      </c>
      <c r="AD12" s="3" t="s">
        <v>844</v>
      </c>
      <c r="AE12" s="3" t="s">
        <v>193</v>
      </c>
      <c r="AG12" s="3" t="s">
        <v>733</v>
      </c>
      <c r="AH12" s="3" t="s">
        <v>845</v>
      </c>
      <c r="AI12" s="3" t="s">
        <v>193</v>
      </c>
      <c r="AK12" s="3" t="s">
        <v>193</v>
      </c>
      <c r="AM12" s="3" t="s">
        <v>193</v>
      </c>
      <c r="AO12" s="3" t="s">
        <v>193</v>
      </c>
      <c r="AQ12" s="3" t="s">
        <v>733</v>
      </c>
      <c r="AR12" s="3" t="s">
        <v>846</v>
      </c>
      <c r="AS12" s="3" t="s">
        <v>733</v>
      </c>
      <c r="AT12" s="3" t="s">
        <v>847</v>
      </c>
      <c r="AU12" s="3" t="s">
        <v>193</v>
      </c>
      <c r="AW12" s="3" t="s">
        <v>193</v>
      </c>
      <c r="AY12" s="3" t="s">
        <v>193</v>
      </c>
      <c r="BA12" s="3" t="s">
        <v>193</v>
      </c>
      <c r="BC12" s="3" t="s">
        <v>193</v>
      </c>
      <c r="BE12" s="3" t="s">
        <v>193</v>
      </c>
      <c r="BG12" s="3" t="s">
        <v>733</v>
      </c>
      <c r="BH12" s="3" t="s">
        <v>848</v>
      </c>
      <c r="BI12" s="3" t="s">
        <v>733</v>
      </c>
      <c r="BJ12" s="3" t="s">
        <v>849</v>
      </c>
      <c r="BL12" s="3">
        <f t="shared" si="1"/>
        <v>8</v>
      </c>
      <c r="BM12" s="3">
        <f t="shared" si="0"/>
        <v>12</v>
      </c>
      <c r="BN12" s="3">
        <f t="shared" si="2"/>
        <v>9</v>
      </c>
      <c r="BP12" s="3">
        <f>COUNTIF(D12:BF12,"Yes")-COUNTIF(P12:V12,"Yes")</f>
        <v>6</v>
      </c>
      <c r="BQ12" s="3">
        <f t="shared" si="3"/>
        <v>11</v>
      </c>
      <c r="BR12" s="3">
        <f t="shared" si="4"/>
        <v>7</v>
      </c>
    </row>
    <row r="13" spans="1:77" ht="57.75">
      <c r="A13" s="49"/>
      <c r="B13" s="3" t="s">
        <v>215</v>
      </c>
      <c r="C13" s="3" t="s">
        <v>538</v>
      </c>
      <c r="D13" s="3" t="s">
        <v>196</v>
      </c>
      <c r="E13" s="3" t="s">
        <v>833</v>
      </c>
      <c r="F13" s="3" t="s">
        <v>196</v>
      </c>
      <c r="G13" s="3" t="s">
        <v>834</v>
      </c>
      <c r="H13" s="3" t="s">
        <v>196</v>
      </c>
      <c r="I13" s="3" t="s">
        <v>835</v>
      </c>
      <c r="J13" s="3" t="s">
        <v>733</v>
      </c>
      <c r="K13" s="3" t="s">
        <v>836</v>
      </c>
      <c r="L13" s="3" t="s">
        <v>196</v>
      </c>
      <c r="M13" s="3" t="s">
        <v>837</v>
      </c>
      <c r="N13" s="3" t="s">
        <v>196</v>
      </c>
      <c r="O13" s="3" t="s">
        <v>850</v>
      </c>
      <c r="P13" s="3" t="s">
        <v>196</v>
      </c>
      <c r="Q13" s="3" t="s">
        <v>839</v>
      </c>
      <c r="S13" s="3" t="s">
        <v>196</v>
      </c>
      <c r="T13" s="3" t="s">
        <v>840</v>
      </c>
      <c r="U13" s="3" t="s">
        <v>196</v>
      </c>
      <c r="V13" s="3" t="s">
        <v>851</v>
      </c>
      <c r="W13" s="3" t="s">
        <v>193</v>
      </c>
      <c r="Y13" s="3" t="s">
        <v>733</v>
      </c>
      <c r="Z13" t="s">
        <v>842</v>
      </c>
      <c r="AA13" s="3" t="s">
        <v>733</v>
      </c>
      <c r="AB13" t="s">
        <v>843</v>
      </c>
      <c r="AC13" s="3" t="s">
        <v>733</v>
      </c>
      <c r="AD13" s="3" t="s">
        <v>852</v>
      </c>
      <c r="AE13" s="3" t="s">
        <v>193</v>
      </c>
      <c r="AG13" s="3" t="s">
        <v>193</v>
      </c>
      <c r="AI13" s="3" t="s">
        <v>193</v>
      </c>
      <c r="AK13" s="3" t="s">
        <v>193</v>
      </c>
      <c r="AM13" s="3" t="s">
        <v>193</v>
      </c>
      <c r="AO13" s="3" t="s">
        <v>193</v>
      </c>
      <c r="AQ13" s="3" t="s">
        <v>733</v>
      </c>
      <c r="AR13" s="3" t="s">
        <v>846</v>
      </c>
      <c r="AS13" s="3" t="s">
        <v>733</v>
      </c>
      <c r="AT13" s="3" t="s">
        <v>847</v>
      </c>
      <c r="AU13" s="3" t="s">
        <v>193</v>
      </c>
      <c r="AW13" s="3" t="s">
        <v>193</v>
      </c>
      <c r="AY13" s="3" t="s">
        <v>193</v>
      </c>
      <c r="BA13" s="3" t="s">
        <v>193</v>
      </c>
      <c r="BC13" s="3" t="s">
        <v>193</v>
      </c>
      <c r="BE13" s="3" t="s">
        <v>193</v>
      </c>
      <c r="BG13" s="3" t="s">
        <v>733</v>
      </c>
      <c r="BH13" s="3" t="s">
        <v>848</v>
      </c>
      <c r="BI13" s="3" t="s">
        <v>733</v>
      </c>
      <c r="BJ13" s="3" t="s">
        <v>853</v>
      </c>
      <c r="BL13" s="3">
        <f t="shared" si="1"/>
        <v>8</v>
      </c>
      <c r="BM13" s="3">
        <f t="shared" si="0"/>
        <v>13</v>
      </c>
      <c r="BN13" s="3">
        <f t="shared" si="2"/>
        <v>8</v>
      </c>
      <c r="BP13" s="3">
        <f>COUNTIF(D13:BF13,"Yes")-COUNTIF(P13:V13,"Yes")</f>
        <v>5</v>
      </c>
      <c r="BQ13" s="3">
        <f t="shared" si="3"/>
        <v>13</v>
      </c>
      <c r="BR13" s="3">
        <f t="shared" si="4"/>
        <v>6</v>
      </c>
    </row>
    <row r="14" spans="1:77" ht="57.75">
      <c r="A14" s="49"/>
      <c r="B14" s="3" t="s">
        <v>216</v>
      </c>
      <c r="C14" s="3" t="s">
        <v>539</v>
      </c>
      <c r="D14" s="3" t="s">
        <v>196</v>
      </c>
      <c r="E14" s="3" t="s">
        <v>833</v>
      </c>
      <c r="F14" s="3" t="s">
        <v>196</v>
      </c>
      <c r="G14" s="3" t="s">
        <v>834</v>
      </c>
      <c r="H14" s="3" t="s">
        <v>196</v>
      </c>
      <c r="I14" s="3" t="s">
        <v>835</v>
      </c>
      <c r="J14" s="3" t="s">
        <v>733</v>
      </c>
      <c r="K14" s="3" t="s">
        <v>836</v>
      </c>
      <c r="L14" s="3" t="s">
        <v>193</v>
      </c>
      <c r="N14" s="3" t="s">
        <v>196</v>
      </c>
      <c r="O14" s="3" t="s">
        <v>854</v>
      </c>
      <c r="P14" s="3" t="s">
        <v>196</v>
      </c>
      <c r="Q14" s="3" t="s">
        <v>855</v>
      </c>
      <c r="S14" s="3" t="s">
        <v>196</v>
      </c>
      <c r="T14" s="3" t="s">
        <v>840</v>
      </c>
      <c r="U14" s="3" t="s">
        <v>196</v>
      </c>
      <c r="V14" s="3" t="s">
        <v>856</v>
      </c>
      <c r="W14" s="3" t="s">
        <v>733</v>
      </c>
      <c r="X14" s="3" t="s">
        <v>857</v>
      </c>
      <c r="Y14" s="3" t="s">
        <v>733</v>
      </c>
      <c r="Z14" t="s">
        <v>842</v>
      </c>
      <c r="AA14" s="3" t="s">
        <v>733</v>
      </c>
      <c r="AB14" t="s">
        <v>843</v>
      </c>
      <c r="AC14" s="3" t="s">
        <v>733</v>
      </c>
      <c r="AD14" s="3" t="s">
        <v>844</v>
      </c>
      <c r="AE14" s="3" t="s">
        <v>193</v>
      </c>
      <c r="AG14" s="3" t="s">
        <v>733</v>
      </c>
      <c r="AH14" s="3" t="s">
        <v>845</v>
      </c>
      <c r="AI14" s="3" t="s">
        <v>193</v>
      </c>
      <c r="AK14" s="3" t="s">
        <v>193</v>
      </c>
      <c r="AM14" s="3" t="s">
        <v>193</v>
      </c>
      <c r="AO14" s="3" t="s">
        <v>193</v>
      </c>
      <c r="AQ14" s="3" t="s">
        <v>733</v>
      </c>
      <c r="AR14" s="3" t="s">
        <v>846</v>
      </c>
      <c r="AS14" s="3" t="s">
        <v>733</v>
      </c>
      <c r="AT14" s="3" t="s">
        <v>847</v>
      </c>
      <c r="AU14" s="3" t="s">
        <v>193</v>
      </c>
      <c r="AW14" s="3" t="s">
        <v>193</v>
      </c>
      <c r="AY14" s="3" t="s">
        <v>193</v>
      </c>
      <c r="BA14" s="3" t="s">
        <v>193</v>
      </c>
      <c r="BC14" s="3" t="s">
        <v>193</v>
      </c>
      <c r="BE14" s="3" t="s">
        <v>193</v>
      </c>
      <c r="BG14" s="3" t="s">
        <v>733</v>
      </c>
      <c r="BH14" s="3" t="s">
        <v>848</v>
      </c>
      <c r="BI14" s="3" t="s">
        <v>733</v>
      </c>
      <c r="BJ14" s="3" t="s">
        <v>858</v>
      </c>
      <c r="BL14" s="3">
        <f t="shared" si="1"/>
        <v>7</v>
      </c>
      <c r="BM14" s="3">
        <f t="shared" si="0"/>
        <v>12</v>
      </c>
      <c r="BN14" s="3">
        <f t="shared" si="2"/>
        <v>10</v>
      </c>
      <c r="BP14" s="3">
        <f>COUNTIF(D14:BF14,"Yes")-COUNTIF(P14:V14,"Yes")</f>
        <v>4</v>
      </c>
      <c r="BQ14" s="3">
        <f t="shared" si="3"/>
        <v>12</v>
      </c>
      <c r="BR14" s="3">
        <f t="shared" si="4"/>
        <v>8</v>
      </c>
    </row>
    <row r="15" spans="1:77" ht="29.25">
      <c r="A15" s="49"/>
      <c r="B15" s="3" t="s">
        <v>217</v>
      </c>
      <c r="C15" s="3" t="s">
        <v>540</v>
      </c>
      <c r="D15" s="3" t="s">
        <v>196</v>
      </c>
      <c r="E15" s="3" t="s">
        <v>833</v>
      </c>
      <c r="F15" s="3" t="s">
        <v>193</v>
      </c>
      <c r="H15" s="3" t="s">
        <v>193</v>
      </c>
      <c r="J15" s="3" t="s">
        <v>193</v>
      </c>
      <c r="L15" s="3" t="s">
        <v>193</v>
      </c>
      <c r="N15" s="3" t="s">
        <v>193</v>
      </c>
      <c r="P15" s="3" t="s">
        <v>196</v>
      </c>
      <c r="Q15" s="3" t="s">
        <v>859</v>
      </c>
      <c r="S15" s="3" t="s">
        <v>193</v>
      </c>
      <c r="U15" s="3" t="s">
        <v>193</v>
      </c>
      <c r="W15" s="3" t="s">
        <v>196</v>
      </c>
      <c r="X15" s="3" t="s">
        <v>860</v>
      </c>
      <c r="Y15" s="3" t="s">
        <v>193</v>
      </c>
      <c r="AA15" s="3" t="s">
        <v>733</v>
      </c>
      <c r="AB15" t="s">
        <v>843</v>
      </c>
      <c r="AC15" s="3" t="s">
        <v>733</v>
      </c>
      <c r="AD15" s="3" t="s">
        <v>844</v>
      </c>
      <c r="AE15" s="3" t="s">
        <v>193</v>
      </c>
      <c r="AG15" s="3" t="s">
        <v>193</v>
      </c>
      <c r="AI15" s="3" t="s">
        <v>193</v>
      </c>
      <c r="AK15" s="3" t="s">
        <v>193</v>
      </c>
      <c r="AM15" s="3" t="s">
        <v>193</v>
      </c>
      <c r="AO15" s="3" t="s">
        <v>193</v>
      </c>
      <c r="AQ15" s="3" t="s">
        <v>733</v>
      </c>
      <c r="AR15" s="3" t="s">
        <v>846</v>
      </c>
      <c r="AS15" s="3" t="s">
        <v>733</v>
      </c>
      <c r="AT15" s="3" t="s">
        <v>847</v>
      </c>
      <c r="AU15" s="3" t="s">
        <v>193</v>
      </c>
      <c r="AW15" s="3" t="s">
        <v>193</v>
      </c>
      <c r="AY15" s="3" t="s">
        <v>193</v>
      </c>
      <c r="BA15" s="3" t="s">
        <v>193</v>
      </c>
      <c r="BC15" s="3" t="s">
        <v>193</v>
      </c>
      <c r="BE15" s="3" t="s">
        <v>193</v>
      </c>
      <c r="BG15" s="3" t="s">
        <v>193</v>
      </c>
      <c r="BI15" s="3" t="s">
        <v>193</v>
      </c>
      <c r="BL15" s="3">
        <f t="shared" si="1"/>
        <v>3</v>
      </c>
      <c r="BM15" s="3">
        <f t="shared" si="0"/>
        <v>22</v>
      </c>
      <c r="BN15" s="3">
        <f t="shared" si="2"/>
        <v>4</v>
      </c>
      <c r="BP15" s="3">
        <f>COUNTIF(D15:BF15,"Yes")-COUNTIF(P15:V15,"Yes")</f>
        <v>2</v>
      </c>
      <c r="BQ15" s="3">
        <f t="shared" si="3"/>
        <v>18</v>
      </c>
      <c r="BR15" s="3">
        <f t="shared" si="4"/>
        <v>4</v>
      </c>
    </row>
    <row r="16" spans="1:77" ht="29.25">
      <c r="A16" s="49"/>
      <c r="B16" s="3" t="s">
        <v>218</v>
      </c>
      <c r="C16" s="3" t="s">
        <v>541</v>
      </c>
      <c r="D16" s="3" t="s">
        <v>196</v>
      </c>
      <c r="E16" s="3" t="s">
        <v>833</v>
      </c>
      <c r="F16" s="3" t="s">
        <v>196</v>
      </c>
      <c r="G16" s="3" t="s">
        <v>861</v>
      </c>
      <c r="H16" s="3" t="s">
        <v>196</v>
      </c>
      <c r="I16" s="3" t="s">
        <v>862</v>
      </c>
      <c r="J16" s="3" t="s">
        <v>733</v>
      </c>
      <c r="K16" s="3" t="s">
        <v>863</v>
      </c>
      <c r="L16" s="3" t="s">
        <v>196</v>
      </c>
      <c r="M16" s="3" t="s">
        <v>837</v>
      </c>
      <c r="N16" s="3" t="s">
        <v>196</v>
      </c>
      <c r="O16" s="3" t="s">
        <v>864</v>
      </c>
      <c r="P16" s="3" t="s">
        <v>196</v>
      </c>
      <c r="Q16" s="3" t="s">
        <v>865</v>
      </c>
      <c r="S16" s="3" t="s">
        <v>196</v>
      </c>
      <c r="T16" s="3" t="s">
        <v>840</v>
      </c>
      <c r="U16" s="3" t="s">
        <v>196</v>
      </c>
      <c r="V16" s="3" t="s">
        <v>866</v>
      </c>
      <c r="W16" s="3" t="s">
        <v>196</v>
      </c>
      <c r="X16" s="3" t="s">
        <v>867</v>
      </c>
      <c r="Y16" s="3" t="s">
        <v>193</v>
      </c>
      <c r="AA16" s="3" t="s">
        <v>733</v>
      </c>
      <c r="AB16" t="s">
        <v>843</v>
      </c>
      <c r="AC16" s="3" t="s">
        <v>733</v>
      </c>
      <c r="AD16" s="3" t="s">
        <v>844</v>
      </c>
      <c r="AE16" s="3" t="s">
        <v>193</v>
      </c>
      <c r="AG16" s="3" t="s">
        <v>733</v>
      </c>
      <c r="AH16" s="3" t="s">
        <v>845</v>
      </c>
      <c r="AI16" s="3" t="s">
        <v>193</v>
      </c>
      <c r="AK16" s="3" t="s">
        <v>193</v>
      </c>
      <c r="AM16" s="3" t="s">
        <v>193</v>
      </c>
      <c r="AO16" s="3" t="s">
        <v>193</v>
      </c>
      <c r="AQ16" s="3" t="s">
        <v>733</v>
      </c>
      <c r="AR16" s="3" t="s">
        <v>846</v>
      </c>
      <c r="AS16" s="3" t="s">
        <v>733</v>
      </c>
      <c r="AT16" s="3" t="s">
        <v>847</v>
      </c>
      <c r="AU16" s="3" t="s">
        <v>193</v>
      </c>
      <c r="AW16" s="3" t="s">
        <v>193</v>
      </c>
      <c r="AY16" s="3" t="s">
        <v>193</v>
      </c>
      <c r="BA16" s="3" t="s">
        <v>193</v>
      </c>
      <c r="BC16" s="3" t="s">
        <v>196</v>
      </c>
      <c r="BD16" s="3" t="s">
        <v>868</v>
      </c>
      <c r="BE16" s="3" t="s">
        <v>193</v>
      </c>
      <c r="BG16" s="3" t="s">
        <v>193</v>
      </c>
      <c r="BI16" s="3" t="s">
        <v>193</v>
      </c>
      <c r="BL16" s="3">
        <f t="shared" si="1"/>
        <v>10</v>
      </c>
      <c r="BM16" s="3">
        <f t="shared" si="0"/>
        <v>13</v>
      </c>
      <c r="BN16" s="3">
        <f t="shared" si="2"/>
        <v>6</v>
      </c>
      <c r="BP16" s="3">
        <f>COUNTIF(D16:BF16,"Yes")-COUNTIF(P16:V16,"Yes")</f>
        <v>7</v>
      </c>
      <c r="BQ16" s="3">
        <f t="shared" si="3"/>
        <v>11</v>
      </c>
      <c r="BR16" s="3">
        <f t="shared" si="4"/>
        <v>6</v>
      </c>
    </row>
    <row r="17" spans="1:77">
      <c r="A17" s="49"/>
      <c r="B17" s="3" t="s">
        <v>333</v>
      </c>
      <c r="C17" s="3" t="s">
        <v>542</v>
      </c>
      <c r="D17" s="3" t="s">
        <v>193</v>
      </c>
      <c r="F17" s="3" t="s">
        <v>193</v>
      </c>
      <c r="H17" s="3" t="s">
        <v>193</v>
      </c>
      <c r="J17" s="3" t="s">
        <v>193</v>
      </c>
      <c r="L17" s="3" t="s">
        <v>193</v>
      </c>
      <c r="N17" s="3" t="s">
        <v>193</v>
      </c>
      <c r="P17" s="3" t="s">
        <v>193</v>
      </c>
      <c r="S17" s="3" t="s">
        <v>193</v>
      </c>
      <c r="U17" s="3" t="s">
        <v>193</v>
      </c>
      <c r="W17" s="3" t="s">
        <v>193</v>
      </c>
      <c r="Y17" s="3" t="s">
        <v>196</v>
      </c>
      <c r="Z17" t="s">
        <v>869</v>
      </c>
      <c r="AA17" s="3" t="s">
        <v>193</v>
      </c>
      <c r="AC17" s="3" t="s">
        <v>196</v>
      </c>
      <c r="AD17" s="3" t="s">
        <v>870</v>
      </c>
      <c r="AE17" s="3" t="s">
        <v>193</v>
      </c>
      <c r="AG17" s="3" t="s">
        <v>193</v>
      </c>
      <c r="AI17" s="3" t="s">
        <v>193</v>
      </c>
      <c r="AK17" s="3" t="s">
        <v>193</v>
      </c>
      <c r="AM17" s="3" t="s">
        <v>193</v>
      </c>
      <c r="AO17" s="3" t="s">
        <v>193</v>
      </c>
      <c r="AQ17" s="3" t="s">
        <v>193</v>
      </c>
      <c r="AS17" s="3" t="s">
        <v>193</v>
      </c>
      <c r="AU17" s="3" t="s">
        <v>193</v>
      </c>
      <c r="AW17" s="3" t="s">
        <v>193</v>
      </c>
      <c r="AY17" s="3" t="s">
        <v>193</v>
      </c>
      <c r="BA17" s="3" t="s">
        <v>193</v>
      </c>
      <c r="BC17" s="3" t="s">
        <v>193</v>
      </c>
      <c r="BE17" s="3" t="s">
        <v>193</v>
      </c>
      <c r="BG17" s="3" t="s">
        <v>193</v>
      </c>
      <c r="BI17" s="3" t="s">
        <v>193</v>
      </c>
      <c r="BL17" s="3">
        <f t="shared" si="1"/>
        <v>2</v>
      </c>
      <c r="BM17" s="3">
        <f t="shared" si="0"/>
        <v>27</v>
      </c>
      <c r="BN17" s="3">
        <f t="shared" si="2"/>
        <v>0</v>
      </c>
      <c r="BP17" s="3">
        <f>COUNTIF(D17:BF17,"Yes")-COUNTIF(P17:V17,"Yes")</f>
        <v>2</v>
      </c>
      <c r="BQ17" s="3">
        <f t="shared" si="3"/>
        <v>22</v>
      </c>
      <c r="BR17" s="3">
        <f t="shared" si="4"/>
        <v>0</v>
      </c>
    </row>
    <row r="18" spans="1:77" ht="72.75">
      <c r="A18" s="49"/>
      <c r="B18" s="3" t="s">
        <v>219</v>
      </c>
      <c r="C18" s="3" t="s">
        <v>543</v>
      </c>
      <c r="D18" s="3" t="s">
        <v>733</v>
      </c>
      <c r="E18" s="3" t="s">
        <v>871</v>
      </c>
      <c r="F18" s="3" t="s">
        <v>733</v>
      </c>
      <c r="G18" s="3" t="s">
        <v>861</v>
      </c>
      <c r="H18" s="3" t="s">
        <v>733</v>
      </c>
      <c r="I18" s="3" t="s">
        <v>862</v>
      </c>
      <c r="J18" s="3" t="s">
        <v>733</v>
      </c>
      <c r="K18" s="3" t="s">
        <v>863</v>
      </c>
      <c r="L18" s="3" t="s">
        <v>733</v>
      </c>
      <c r="M18" s="3" t="s">
        <v>837</v>
      </c>
      <c r="N18" s="3" t="s">
        <v>733</v>
      </c>
      <c r="O18" s="3" t="s">
        <v>838</v>
      </c>
      <c r="P18" s="3" t="s">
        <v>733</v>
      </c>
      <c r="Q18" s="3" t="s">
        <v>872</v>
      </c>
      <c r="S18" s="3" t="s">
        <v>733</v>
      </c>
      <c r="T18" s="3" t="s">
        <v>840</v>
      </c>
      <c r="U18" s="3" t="s">
        <v>733</v>
      </c>
      <c r="V18" s="3" t="s">
        <v>873</v>
      </c>
      <c r="W18" s="3" t="s">
        <v>196</v>
      </c>
      <c r="X18" s="3" t="s">
        <v>874</v>
      </c>
      <c r="Y18" s="3" t="s">
        <v>196</v>
      </c>
      <c r="Z18" t="s">
        <v>842</v>
      </c>
      <c r="AA18" s="3" t="s">
        <v>196</v>
      </c>
      <c r="AB18" t="s">
        <v>843</v>
      </c>
      <c r="AC18" s="3" t="s">
        <v>196</v>
      </c>
      <c r="AD18" s="3" t="s">
        <v>844</v>
      </c>
      <c r="AE18" s="3" t="s">
        <v>196</v>
      </c>
      <c r="AF18" s="3" t="s">
        <v>875</v>
      </c>
      <c r="AG18" s="3" t="s">
        <v>733</v>
      </c>
      <c r="AH18" s="3" t="s">
        <v>876</v>
      </c>
      <c r="AI18" s="3" t="s">
        <v>196</v>
      </c>
      <c r="AJ18" s="3" t="s">
        <v>877</v>
      </c>
      <c r="AK18" s="3" t="s">
        <v>196</v>
      </c>
      <c r="AL18" s="3" t="s">
        <v>878</v>
      </c>
      <c r="AM18" s="3" t="s">
        <v>196</v>
      </c>
      <c r="AN18" t="s">
        <v>879</v>
      </c>
      <c r="AO18" s="3" t="s">
        <v>196</v>
      </c>
      <c r="AP18" s="3" t="s">
        <v>880</v>
      </c>
      <c r="AQ18" s="3" t="s">
        <v>196</v>
      </c>
      <c r="AR18" s="3" t="s">
        <v>846</v>
      </c>
      <c r="AS18" s="3" t="s">
        <v>196</v>
      </c>
      <c r="AT18" s="3" t="s">
        <v>881</v>
      </c>
      <c r="AU18" s="3" t="s">
        <v>193</v>
      </c>
      <c r="AW18" s="3" t="s">
        <v>196</v>
      </c>
      <c r="AX18" s="3" t="s">
        <v>882</v>
      </c>
      <c r="AY18" s="3" t="s">
        <v>196</v>
      </c>
      <c r="BA18" s="3" t="s">
        <v>733</v>
      </c>
      <c r="BB18" s="3" t="s">
        <v>883</v>
      </c>
      <c r="BC18" s="3" t="s">
        <v>733</v>
      </c>
      <c r="BD18" s="3" t="s">
        <v>884</v>
      </c>
      <c r="BE18" s="3" t="s">
        <v>733</v>
      </c>
      <c r="BF18" s="3" t="s">
        <v>885</v>
      </c>
      <c r="BG18" s="3" t="s">
        <v>733</v>
      </c>
      <c r="BH18" s="3" t="s">
        <v>848</v>
      </c>
      <c r="BI18" s="3" t="s">
        <v>733</v>
      </c>
      <c r="BJ18" s="3" t="s">
        <v>886</v>
      </c>
      <c r="BL18" s="3">
        <f t="shared" si="1"/>
        <v>13</v>
      </c>
      <c r="BM18" s="3">
        <f t="shared" si="0"/>
        <v>1</v>
      </c>
      <c r="BN18" s="3">
        <f t="shared" si="2"/>
        <v>15</v>
      </c>
      <c r="BP18" s="3">
        <f>COUNTIF(D18:BF18,"Yes")-COUNTIF(P18:V18,"Yes")</f>
        <v>13</v>
      </c>
      <c r="BQ18" s="3">
        <f t="shared" si="3"/>
        <v>1</v>
      </c>
      <c r="BR18" s="3">
        <f t="shared" si="4"/>
        <v>10</v>
      </c>
    </row>
    <row r="19" spans="1:77" ht="29.25">
      <c r="A19" s="49"/>
      <c r="B19" s="3" t="s">
        <v>221</v>
      </c>
      <c r="C19" s="3" t="s">
        <v>544</v>
      </c>
      <c r="D19" s="3" t="s">
        <v>733</v>
      </c>
      <c r="E19" s="3" t="s">
        <v>557</v>
      </c>
      <c r="F19" s="3" t="s">
        <v>193</v>
      </c>
      <c r="H19" s="3" t="s">
        <v>193</v>
      </c>
      <c r="J19" s="3" t="s">
        <v>193</v>
      </c>
      <c r="L19" s="3" t="s">
        <v>193</v>
      </c>
      <c r="N19" s="3" t="s">
        <v>193</v>
      </c>
      <c r="P19" s="3" t="s">
        <v>196</v>
      </c>
      <c r="Q19" s="3" t="s">
        <v>887</v>
      </c>
      <c r="S19" s="3" t="s">
        <v>193</v>
      </c>
      <c r="U19" s="3" t="s">
        <v>193</v>
      </c>
      <c r="W19" s="3" t="s">
        <v>733</v>
      </c>
      <c r="X19" s="3" t="s">
        <v>341</v>
      </c>
      <c r="Y19" s="3" t="s">
        <v>733</v>
      </c>
      <c r="Z19" t="s">
        <v>888</v>
      </c>
      <c r="AA19" s="3" t="s">
        <v>733</v>
      </c>
      <c r="AB19" t="s">
        <v>889</v>
      </c>
      <c r="AC19" s="3" t="s">
        <v>733</v>
      </c>
      <c r="AD19" t="s">
        <v>844</v>
      </c>
      <c r="AE19" s="3" t="s">
        <v>193</v>
      </c>
      <c r="AG19" s="3" t="s">
        <v>193</v>
      </c>
      <c r="AI19" s="3" t="s">
        <v>193</v>
      </c>
      <c r="AK19" s="3" t="s">
        <v>193</v>
      </c>
      <c r="AM19" s="3" t="s">
        <v>193</v>
      </c>
      <c r="AN19"/>
      <c r="AO19" s="3" t="s">
        <v>193</v>
      </c>
      <c r="AQ19" s="3" t="s">
        <v>193</v>
      </c>
      <c r="AS19" s="3" t="s">
        <v>196</v>
      </c>
      <c r="AT19" s="3" t="s">
        <v>890</v>
      </c>
      <c r="AU19" s="3" t="s">
        <v>733</v>
      </c>
      <c r="AV19" s="3" t="s">
        <v>581</v>
      </c>
      <c r="AW19" s="3" t="s">
        <v>733</v>
      </c>
      <c r="AX19" s="3" t="s">
        <v>891</v>
      </c>
      <c r="AY19" s="3" t="s">
        <v>193</v>
      </c>
      <c r="BA19" s="3" t="s">
        <v>193</v>
      </c>
      <c r="BC19" s="3" t="s">
        <v>193</v>
      </c>
      <c r="BE19" s="3" t="s">
        <v>193</v>
      </c>
      <c r="BG19" s="3" t="s">
        <v>193</v>
      </c>
      <c r="BI19" s="3" t="s">
        <v>193</v>
      </c>
      <c r="BL19" s="3">
        <f t="shared" si="1"/>
        <v>2</v>
      </c>
      <c r="BM19" s="3">
        <f t="shared" si="0"/>
        <v>20</v>
      </c>
      <c r="BN19" s="3">
        <f t="shared" si="2"/>
        <v>7</v>
      </c>
      <c r="BP19" s="3">
        <f>COUNTIF(D19:BF19,"Yes")-COUNTIF(P19:V19,"Yes")</f>
        <v>1</v>
      </c>
      <c r="BQ19" s="3">
        <f t="shared" si="3"/>
        <v>16</v>
      </c>
      <c r="BR19" s="3">
        <f t="shared" si="4"/>
        <v>7</v>
      </c>
    </row>
    <row r="20" spans="1:77" ht="46.35" customHeight="1">
      <c r="A20" s="49" t="s">
        <v>589</v>
      </c>
      <c r="B20" s="3" t="s">
        <v>226</v>
      </c>
      <c r="C20" s="3" t="s">
        <v>590</v>
      </c>
      <c r="D20" s="3" t="s">
        <v>196</v>
      </c>
      <c r="E20" s="3" t="s">
        <v>892</v>
      </c>
      <c r="F20" s="3" t="s">
        <v>196</v>
      </c>
      <c r="G20" s="3" t="s">
        <v>893</v>
      </c>
      <c r="H20" s="3" t="s">
        <v>196</v>
      </c>
      <c r="I20" s="3" t="s">
        <v>894</v>
      </c>
      <c r="J20" s="3" t="s">
        <v>196</v>
      </c>
      <c r="K20" s="3" t="s">
        <v>895</v>
      </c>
      <c r="L20" s="3" t="s">
        <v>196</v>
      </c>
      <c r="M20" s="3" t="s">
        <v>896</v>
      </c>
      <c r="N20" s="3" t="s">
        <v>196</v>
      </c>
      <c r="O20" s="3" t="s">
        <v>897</v>
      </c>
      <c r="P20" s="3" t="s">
        <v>196</v>
      </c>
      <c r="Q20" s="3" t="s">
        <v>898</v>
      </c>
      <c r="S20" s="3" t="s">
        <v>733</v>
      </c>
      <c r="T20" s="3" t="s">
        <v>899</v>
      </c>
      <c r="U20" s="3" t="s">
        <v>196</v>
      </c>
      <c r="V20" s="3" t="s">
        <v>900</v>
      </c>
      <c r="W20" s="3" t="s">
        <v>196</v>
      </c>
      <c r="X20" s="3" t="s">
        <v>901</v>
      </c>
      <c r="Y20" s="3" t="s">
        <v>196</v>
      </c>
      <c r="Z20" s="3" t="s">
        <v>902</v>
      </c>
      <c r="AA20" s="3" t="s">
        <v>196</v>
      </c>
      <c r="AB20" s="3" t="s">
        <v>903</v>
      </c>
      <c r="AC20" s="3" t="s">
        <v>196</v>
      </c>
      <c r="AD20" s="3" t="s">
        <v>904</v>
      </c>
      <c r="AE20" s="3" t="s">
        <v>196</v>
      </c>
      <c r="AF20" s="3" t="s">
        <v>905</v>
      </c>
      <c r="AG20" s="3" t="s">
        <v>196</v>
      </c>
      <c r="AH20" s="3" t="s">
        <v>906</v>
      </c>
      <c r="AI20" s="3" t="s">
        <v>196</v>
      </c>
      <c r="AJ20" s="3" t="s">
        <v>907</v>
      </c>
      <c r="AK20" s="3" t="s">
        <v>196</v>
      </c>
      <c r="AL20" s="3" t="s">
        <v>908</v>
      </c>
      <c r="AM20" s="3" t="s">
        <v>196</v>
      </c>
      <c r="AN20" s="3" t="s">
        <v>909</v>
      </c>
      <c r="AO20" s="3" t="s">
        <v>196</v>
      </c>
      <c r="AP20" s="3" t="s">
        <v>910</v>
      </c>
      <c r="AQ20" s="3" t="s">
        <v>196</v>
      </c>
      <c r="AR20" s="3" t="s">
        <v>911</v>
      </c>
      <c r="AS20" s="3" t="s">
        <v>196</v>
      </c>
      <c r="AT20" s="3" t="s">
        <v>912</v>
      </c>
      <c r="AU20" s="3" t="s">
        <v>196</v>
      </c>
      <c r="AV20" s="3" t="s">
        <v>913</v>
      </c>
      <c r="AW20" s="3" t="s">
        <v>196</v>
      </c>
      <c r="AX20" t="s">
        <v>914</v>
      </c>
      <c r="AY20" s="3" t="s">
        <v>196</v>
      </c>
      <c r="AZ20" s="3" t="s">
        <v>915</v>
      </c>
      <c r="BA20" s="3" t="s">
        <v>196</v>
      </c>
      <c r="BB20" s="3" t="s">
        <v>482</v>
      </c>
      <c r="BC20" s="3" t="s">
        <v>196</v>
      </c>
      <c r="BD20" s="3" t="s">
        <v>916</v>
      </c>
      <c r="BE20" s="3" t="s">
        <v>196</v>
      </c>
      <c r="BF20" s="3" t="s">
        <v>917</v>
      </c>
      <c r="BG20" s="3" t="s">
        <v>196</v>
      </c>
      <c r="BH20" s="3" t="s">
        <v>918</v>
      </c>
      <c r="BI20" s="3" t="s">
        <v>196</v>
      </c>
      <c r="BJ20" s="3" t="s">
        <v>919</v>
      </c>
      <c r="BL20" s="3">
        <f t="shared" si="1"/>
        <v>28</v>
      </c>
      <c r="BM20" s="3">
        <f t="shared" si="0"/>
        <v>0</v>
      </c>
      <c r="BN20" s="3">
        <f t="shared" si="2"/>
        <v>1</v>
      </c>
      <c r="BP20" s="3">
        <f>COUNTIF(D20:BF20,"Yes")-COUNTIF(P20:V20,"Yes")</f>
        <v>24</v>
      </c>
      <c r="BQ20" s="3">
        <f t="shared" si="3"/>
        <v>0</v>
      </c>
      <c r="BR20" s="3">
        <f t="shared" si="4"/>
        <v>0</v>
      </c>
    </row>
    <row r="21" spans="1:77" ht="29.25">
      <c r="A21" s="49"/>
      <c r="B21" s="3" t="s">
        <v>288</v>
      </c>
      <c r="C21" s="3" t="s">
        <v>591</v>
      </c>
      <c r="D21" s="3" t="s">
        <v>733</v>
      </c>
      <c r="E21" s="3" t="s">
        <v>593</v>
      </c>
      <c r="F21" s="3" t="s">
        <v>733</v>
      </c>
      <c r="G21" s="3" t="s">
        <v>920</v>
      </c>
      <c r="H21" s="3" t="s">
        <v>733</v>
      </c>
      <c r="I21" s="3" t="s">
        <v>921</v>
      </c>
      <c r="J21" s="3" t="s">
        <v>733</v>
      </c>
      <c r="K21" s="3" t="s">
        <v>596</v>
      </c>
      <c r="L21" s="3" t="s">
        <v>193</v>
      </c>
      <c r="N21" s="3" t="s">
        <v>193</v>
      </c>
      <c r="P21" s="3" t="s">
        <v>193</v>
      </c>
      <c r="S21" s="3" t="s">
        <v>193</v>
      </c>
      <c r="U21" s="3" t="s">
        <v>196</v>
      </c>
      <c r="V21" s="3" t="s">
        <v>608</v>
      </c>
      <c r="W21" s="3" t="s">
        <v>196</v>
      </c>
      <c r="X21" s="3" t="s">
        <v>901</v>
      </c>
      <c r="Y21" s="3" t="s">
        <v>196</v>
      </c>
      <c r="Z21" s="3" t="s">
        <v>902</v>
      </c>
      <c r="AA21" s="3" t="s">
        <v>196</v>
      </c>
      <c r="AB21" s="3" t="s">
        <v>903</v>
      </c>
      <c r="AC21" s="3" t="s">
        <v>196</v>
      </c>
      <c r="AD21" s="3" t="s">
        <v>904</v>
      </c>
      <c r="AE21" s="3" t="s">
        <v>196</v>
      </c>
      <c r="AF21" s="3" t="s">
        <v>905</v>
      </c>
      <c r="AG21" s="3" t="s">
        <v>193</v>
      </c>
      <c r="AI21" s="3" t="s">
        <v>193</v>
      </c>
      <c r="AK21" s="3" t="s">
        <v>193</v>
      </c>
      <c r="AM21" s="3" t="s">
        <v>193</v>
      </c>
      <c r="AO21" s="3" t="s">
        <v>193</v>
      </c>
      <c r="AQ21" s="3" t="s">
        <v>193</v>
      </c>
      <c r="AS21" s="3" t="s">
        <v>193</v>
      </c>
      <c r="AU21" s="3" t="s">
        <v>196</v>
      </c>
      <c r="AV21" s="3" t="s">
        <v>922</v>
      </c>
      <c r="AW21" s="3" t="s">
        <v>196</v>
      </c>
      <c r="AX21" t="s">
        <v>914</v>
      </c>
      <c r="AY21" s="3" t="s">
        <v>196</v>
      </c>
      <c r="AZ21" s="3" t="s">
        <v>915</v>
      </c>
      <c r="BA21" s="3" t="s">
        <v>196</v>
      </c>
      <c r="BB21" s="3" t="s">
        <v>482</v>
      </c>
      <c r="BC21" s="3" t="s">
        <v>193</v>
      </c>
      <c r="BE21" s="3" t="s">
        <v>196</v>
      </c>
      <c r="BF21" s="3" t="s">
        <v>923</v>
      </c>
      <c r="BG21" s="3" t="s">
        <v>193</v>
      </c>
      <c r="BI21" s="3" t="s">
        <v>193</v>
      </c>
      <c r="BL21" s="3">
        <f t="shared" si="1"/>
        <v>11</v>
      </c>
      <c r="BM21" s="3">
        <f t="shared" si="0"/>
        <v>14</v>
      </c>
      <c r="BN21" s="3">
        <f t="shared" si="2"/>
        <v>4</v>
      </c>
      <c r="BP21" s="3">
        <f>COUNTIF(D21:BF21,"Yes")-COUNTIF(P21:V21,"Yes")</f>
        <v>10</v>
      </c>
      <c r="BQ21" s="3">
        <f t="shared" si="3"/>
        <v>10</v>
      </c>
      <c r="BR21" s="3">
        <f t="shared" si="4"/>
        <v>4</v>
      </c>
    </row>
    <row r="22" spans="1:77" ht="87">
      <c r="A22" s="3" t="s">
        <v>613</v>
      </c>
      <c r="B22" s="3" t="s">
        <v>231</v>
      </c>
      <c r="C22" s="3" t="s">
        <v>614</v>
      </c>
      <c r="D22" s="3" t="s">
        <v>196</v>
      </c>
      <c r="E22" s="3" t="s">
        <v>924</v>
      </c>
      <c r="F22" s="3" t="s">
        <v>196</v>
      </c>
      <c r="G22" t="s">
        <v>925</v>
      </c>
      <c r="H22" s="3" t="s">
        <v>733</v>
      </c>
      <c r="I22" s="3" t="s">
        <v>617</v>
      </c>
      <c r="J22" s="3" t="s">
        <v>733</v>
      </c>
      <c r="K22" s="3" t="s">
        <v>618</v>
      </c>
      <c r="L22" s="3" t="s">
        <v>196</v>
      </c>
      <c r="M22" s="3" t="s">
        <v>926</v>
      </c>
      <c r="N22" s="3" t="s">
        <v>196</v>
      </c>
      <c r="O22" s="3" t="s">
        <v>927</v>
      </c>
      <c r="P22" s="3" t="s">
        <v>196</v>
      </c>
      <c r="Q22" s="3" t="s">
        <v>928</v>
      </c>
      <c r="S22" s="3" t="s">
        <v>196</v>
      </c>
      <c r="T22" s="3" t="s">
        <v>929</v>
      </c>
      <c r="U22" s="3" t="s">
        <v>196</v>
      </c>
      <c r="V22" s="3" t="s">
        <v>930</v>
      </c>
      <c r="W22" s="3" t="s">
        <v>196</v>
      </c>
      <c r="X22" s="3" t="s">
        <v>931</v>
      </c>
      <c r="Y22" s="3" t="s">
        <v>196</v>
      </c>
      <c r="Z22" t="s">
        <v>932</v>
      </c>
      <c r="AA22" s="3" t="s">
        <v>196</v>
      </c>
      <c r="AB22" s="3" t="s">
        <v>933</v>
      </c>
      <c r="AC22" s="3" t="s">
        <v>196</v>
      </c>
      <c r="AD22" s="3" t="s">
        <v>934</v>
      </c>
      <c r="AE22" s="3" t="s">
        <v>196</v>
      </c>
      <c r="AF22" s="3" t="s">
        <v>935</v>
      </c>
      <c r="AG22" s="3" t="s">
        <v>196</v>
      </c>
      <c r="AH22" s="3" t="s">
        <v>936</v>
      </c>
      <c r="AI22" s="3" t="s">
        <v>196</v>
      </c>
      <c r="AJ22" s="3" t="s">
        <v>937</v>
      </c>
      <c r="AK22" s="3" t="s">
        <v>196</v>
      </c>
      <c r="AL22" s="3" t="s">
        <v>938</v>
      </c>
      <c r="AM22" s="3" t="s">
        <v>196</v>
      </c>
      <c r="AN22" s="3" t="s">
        <v>939</v>
      </c>
      <c r="AO22" s="3" t="s">
        <v>196</v>
      </c>
      <c r="AP22" s="3" t="s">
        <v>940</v>
      </c>
      <c r="AQ22" s="3" t="s">
        <v>733</v>
      </c>
      <c r="AR22" s="3" t="s">
        <v>941</v>
      </c>
      <c r="AS22" s="3" t="s">
        <v>196</v>
      </c>
      <c r="AT22" s="3" t="s">
        <v>942</v>
      </c>
      <c r="AU22" s="3" t="s">
        <v>196</v>
      </c>
      <c r="AV22" s="3" t="s">
        <v>943</v>
      </c>
      <c r="AW22" s="3" t="s">
        <v>196</v>
      </c>
      <c r="AX22" s="3" t="s">
        <v>944</v>
      </c>
      <c r="AY22" s="3" t="s">
        <v>196</v>
      </c>
      <c r="AZ22" t="s">
        <v>945</v>
      </c>
      <c r="BA22" s="3" t="s">
        <v>196</v>
      </c>
      <c r="BB22" t="s">
        <v>946</v>
      </c>
      <c r="BC22" s="3" t="s">
        <v>196</v>
      </c>
      <c r="BD22" s="3" t="s">
        <v>947</v>
      </c>
      <c r="BE22" s="3" t="s">
        <v>196</v>
      </c>
      <c r="BF22" s="3" t="s">
        <v>948</v>
      </c>
      <c r="BG22" s="3" t="s">
        <v>196</v>
      </c>
      <c r="BH22" s="3" t="s">
        <v>949</v>
      </c>
      <c r="BI22" s="3" t="s">
        <v>196</v>
      </c>
      <c r="BJ22" s="3" t="s">
        <v>950</v>
      </c>
      <c r="BL22" s="3">
        <f t="shared" si="1"/>
        <v>26</v>
      </c>
      <c r="BM22" s="3">
        <f t="shared" si="0"/>
        <v>0</v>
      </c>
      <c r="BN22" s="3">
        <f t="shared" si="2"/>
        <v>3</v>
      </c>
      <c r="BP22" s="3">
        <f>COUNTIF(D22:BF22,"Yes")-COUNTIF(P22:V22,"Yes")</f>
        <v>21</v>
      </c>
      <c r="BQ22" s="3">
        <f t="shared" si="3"/>
        <v>0</v>
      </c>
      <c r="BR22" s="3">
        <f t="shared" si="4"/>
        <v>3</v>
      </c>
    </row>
    <row r="23" spans="1:77" ht="195.6" customHeight="1">
      <c r="A23" s="49" t="s">
        <v>625</v>
      </c>
      <c r="B23" s="3" t="s">
        <v>233</v>
      </c>
      <c r="C23" s="3" t="s">
        <v>626</v>
      </c>
      <c r="D23" s="3" t="s">
        <v>196</v>
      </c>
      <c r="E23" s="3" t="s">
        <v>951</v>
      </c>
      <c r="F23" s="3" t="s">
        <v>196</v>
      </c>
      <c r="G23" s="3" t="s">
        <v>952</v>
      </c>
      <c r="H23" s="3" t="s">
        <v>196</v>
      </c>
      <c r="I23" t="s">
        <v>953</v>
      </c>
      <c r="J23" s="3" t="s">
        <v>196</v>
      </c>
      <c r="K23" s="3" t="s">
        <v>954</v>
      </c>
      <c r="L23" s="3" t="s">
        <v>196</v>
      </c>
      <c r="M23" s="3" t="s">
        <v>955</v>
      </c>
      <c r="N23" s="3" t="s">
        <v>196</v>
      </c>
      <c r="O23" s="3" t="s">
        <v>956</v>
      </c>
      <c r="P23" s="3" t="s">
        <v>196</v>
      </c>
      <c r="Q23" s="3" t="s">
        <v>957</v>
      </c>
      <c r="S23" s="3" t="s">
        <v>733</v>
      </c>
      <c r="T23" s="3" t="s">
        <v>958</v>
      </c>
      <c r="U23" s="3" t="s">
        <v>193</v>
      </c>
      <c r="W23" s="3" t="s">
        <v>733</v>
      </c>
      <c r="X23" s="3" t="s">
        <v>959</v>
      </c>
      <c r="Y23" s="3" t="s">
        <v>733</v>
      </c>
      <c r="Z23" s="3" t="s">
        <v>960</v>
      </c>
      <c r="AA23" s="3" t="s">
        <v>733</v>
      </c>
      <c r="AB23" t="s">
        <v>961</v>
      </c>
      <c r="AC23" s="3" t="s">
        <v>733</v>
      </c>
      <c r="AD23" s="3" t="s">
        <v>962</v>
      </c>
      <c r="AE23" s="3" t="s">
        <v>733</v>
      </c>
      <c r="AF23" s="3" t="s">
        <v>963</v>
      </c>
      <c r="AG23" s="3" t="s">
        <v>733</v>
      </c>
      <c r="AH23" s="3" t="s">
        <v>964</v>
      </c>
      <c r="AI23" s="3" t="s">
        <v>733</v>
      </c>
      <c r="AJ23" s="3" t="s">
        <v>965</v>
      </c>
      <c r="AK23" s="3" t="s">
        <v>733</v>
      </c>
      <c r="AL23" t="s">
        <v>966</v>
      </c>
      <c r="AM23" s="3" t="s">
        <v>733</v>
      </c>
      <c r="AN23" t="s">
        <v>967</v>
      </c>
      <c r="AO23" s="3" t="s">
        <v>733</v>
      </c>
      <c r="AP23" t="s">
        <v>968</v>
      </c>
      <c r="AQ23" s="3" t="s">
        <v>733</v>
      </c>
      <c r="AR23" s="3" t="s">
        <v>969</v>
      </c>
      <c r="AS23" s="3" t="s">
        <v>733</v>
      </c>
      <c r="AT23" s="3" t="s">
        <v>970</v>
      </c>
      <c r="AU23" s="3" t="s">
        <v>196</v>
      </c>
      <c r="AV23" s="3" t="s">
        <v>971</v>
      </c>
      <c r="AW23" s="3" t="s">
        <v>196</v>
      </c>
      <c r="AX23" s="3" t="s">
        <v>972</v>
      </c>
      <c r="AY23" s="3" t="s">
        <v>196</v>
      </c>
      <c r="AZ23" s="3" t="s">
        <v>973</v>
      </c>
      <c r="BA23" s="3" t="s">
        <v>196</v>
      </c>
      <c r="BB23" s="3" t="s">
        <v>974</v>
      </c>
      <c r="BC23" s="3" t="s">
        <v>196</v>
      </c>
      <c r="BD23" s="3" t="s">
        <v>975</v>
      </c>
      <c r="BE23" s="3" t="s">
        <v>733</v>
      </c>
      <c r="BF23" s="3" t="s">
        <v>976</v>
      </c>
      <c r="BG23" s="3" t="s">
        <v>196</v>
      </c>
      <c r="BH23" s="3" t="s">
        <v>977</v>
      </c>
      <c r="BI23" s="3" t="s">
        <v>196</v>
      </c>
      <c r="BJ23" s="3" t="s">
        <v>978</v>
      </c>
      <c r="BL23" s="3">
        <f t="shared" si="1"/>
        <v>14</v>
      </c>
      <c r="BM23" s="3">
        <f t="shared" si="0"/>
        <v>1</v>
      </c>
      <c r="BN23" s="3">
        <f t="shared" si="2"/>
        <v>14</v>
      </c>
      <c r="BP23" s="3">
        <f>COUNTIF(D23:BF23,"Yes")-COUNTIF(P23:V23,"Yes")</f>
        <v>11</v>
      </c>
      <c r="BQ23" s="3">
        <f t="shared" si="3"/>
        <v>0</v>
      </c>
      <c r="BR23" s="3">
        <f t="shared" si="4"/>
        <v>13</v>
      </c>
    </row>
    <row r="24" spans="1:77" ht="29.25">
      <c r="A24" s="49"/>
      <c r="B24" s="3" t="s">
        <v>234</v>
      </c>
      <c r="C24" s="3" t="s">
        <v>627</v>
      </c>
      <c r="D24" s="3" t="s">
        <v>193</v>
      </c>
      <c r="F24" s="3" t="s">
        <v>196</v>
      </c>
      <c r="G24" t="s">
        <v>979</v>
      </c>
      <c r="H24" s="3" t="s">
        <v>196</v>
      </c>
      <c r="I24" t="s">
        <v>980</v>
      </c>
      <c r="J24" s="3" t="s">
        <v>196</v>
      </c>
      <c r="K24" s="3" t="s">
        <v>981</v>
      </c>
      <c r="L24" s="3" t="s">
        <v>196</v>
      </c>
      <c r="M24" s="3" t="s">
        <v>982</v>
      </c>
      <c r="N24" s="3" t="s">
        <v>196</v>
      </c>
      <c r="O24" s="3" t="s">
        <v>983</v>
      </c>
      <c r="P24" s="3" t="s">
        <v>196</v>
      </c>
      <c r="Q24" s="3" t="s">
        <v>984</v>
      </c>
      <c r="S24" s="3" t="s">
        <v>193</v>
      </c>
      <c r="U24" s="3" t="s">
        <v>193</v>
      </c>
      <c r="W24" s="3" t="s">
        <v>193</v>
      </c>
      <c r="Y24" s="3" t="s">
        <v>193</v>
      </c>
      <c r="Z24" s="3" t="s">
        <v>985</v>
      </c>
      <c r="AA24" s="3" t="s">
        <v>193</v>
      </c>
      <c r="AC24" s="3" t="s">
        <v>193</v>
      </c>
      <c r="AE24" s="3" t="s">
        <v>193</v>
      </c>
      <c r="AG24" s="3" t="s">
        <v>196</v>
      </c>
      <c r="AH24" s="3" t="s">
        <v>964</v>
      </c>
      <c r="AI24" s="3" t="s">
        <v>733</v>
      </c>
      <c r="AJ24" s="3" t="s">
        <v>986</v>
      </c>
      <c r="AK24" s="3" t="s">
        <v>193</v>
      </c>
      <c r="AM24" s="3" t="s">
        <v>193</v>
      </c>
      <c r="AO24" s="3" t="s">
        <v>733</v>
      </c>
      <c r="AP24" s="3" t="s">
        <v>987</v>
      </c>
      <c r="AQ24" s="3" t="s">
        <v>733</v>
      </c>
      <c r="AR24" s="3" t="s">
        <v>969</v>
      </c>
      <c r="AS24" s="3" t="s">
        <v>733</v>
      </c>
      <c r="AT24" s="3" t="s">
        <v>970</v>
      </c>
      <c r="AU24" s="3" t="s">
        <v>196</v>
      </c>
      <c r="AV24" s="3" t="s">
        <v>988</v>
      </c>
      <c r="AW24" s="3" t="s">
        <v>193</v>
      </c>
      <c r="AY24" s="3" t="s">
        <v>196</v>
      </c>
      <c r="AZ24" s="3" t="s">
        <v>989</v>
      </c>
      <c r="BA24" s="3" t="s">
        <v>196</v>
      </c>
      <c r="BB24" t="s">
        <v>990</v>
      </c>
      <c r="BC24" s="3" t="s">
        <v>193</v>
      </c>
      <c r="BE24" s="3" t="s">
        <v>193</v>
      </c>
      <c r="BG24" s="3" t="s">
        <v>193</v>
      </c>
      <c r="BI24" s="3" t="s">
        <v>193</v>
      </c>
      <c r="BL24" s="3">
        <f t="shared" si="1"/>
        <v>10</v>
      </c>
      <c r="BM24" s="3">
        <f t="shared" si="0"/>
        <v>15</v>
      </c>
      <c r="BN24" s="3">
        <f t="shared" si="2"/>
        <v>4</v>
      </c>
      <c r="BP24" s="3">
        <f>COUNTIF(D24:BF24,"Yes")-COUNTIF(P24:V24,"Yes")</f>
        <v>9</v>
      </c>
      <c r="BQ24" s="3">
        <f t="shared" si="3"/>
        <v>11</v>
      </c>
      <c r="BR24" s="3">
        <f t="shared" si="4"/>
        <v>4</v>
      </c>
    </row>
    <row r="25" spans="1:77">
      <c r="A25" s="49"/>
      <c r="B25" s="3" t="s">
        <v>235</v>
      </c>
      <c r="C25" s="3" t="s">
        <v>628</v>
      </c>
      <c r="D25" s="3" t="s">
        <v>193</v>
      </c>
      <c r="F25" s="3" t="s">
        <v>193</v>
      </c>
      <c r="H25" s="3" t="s">
        <v>196</v>
      </c>
      <c r="I25" t="s">
        <v>991</v>
      </c>
      <c r="J25" s="3" t="s">
        <v>196</v>
      </c>
      <c r="K25" s="3" t="s">
        <v>981</v>
      </c>
      <c r="L25" s="3" t="s">
        <v>193</v>
      </c>
      <c r="N25" s="3" t="s">
        <v>196</v>
      </c>
      <c r="O25" s="3" t="s">
        <v>992</v>
      </c>
      <c r="P25" s="3" t="s">
        <v>196</v>
      </c>
      <c r="Q25" s="3" t="s">
        <v>993</v>
      </c>
      <c r="S25" s="3" t="s">
        <v>193</v>
      </c>
      <c r="U25" s="3" t="s">
        <v>193</v>
      </c>
      <c r="W25" s="3" t="s">
        <v>196</v>
      </c>
      <c r="X25" s="3" t="s">
        <v>959</v>
      </c>
      <c r="Y25" s="3" t="s">
        <v>196</v>
      </c>
      <c r="AA25" s="3" t="s">
        <v>196</v>
      </c>
      <c r="AB25" t="s">
        <v>994</v>
      </c>
      <c r="AC25" s="3" t="s">
        <v>196</v>
      </c>
      <c r="AD25" s="3" t="s">
        <v>995</v>
      </c>
      <c r="AE25" s="3" t="s">
        <v>193</v>
      </c>
      <c r="AG25" s="3" t="s">
        <v>193</v>
      </c>
      <c r="AI25" s="3" t="s">
        <v>193</v>
      </c>
      <c r="AK25" s="3" t="s">
        <v>193</v>
      </c>
      <c r="AM25" s="3" t="s">
        <v>193</v>
      </c>
      <c r="AO25" s="3" t="s">
        <v>193</v>
      </c>
      <c r="AQ25" s="3" t="s">
        <v>196</v>
      </c>
      <c r="AR25" s="3" t="s">
        <v>996</v>
      </c>
      <c r="AS25" s="3" t="s">
        <v>193</v>
      </c>
      <c r="AU25" s="3" t="s">
        <v>196</v>
      </c>
      <c r="AV25" s="3" t="s">
        <v>988</v>
      </c>
      <c r="AW25" s="3" t="s">
        <v>196</v>
      </c>
      <c r="AX25" s="3" t="s">
        <v>997</v>
      </c>
      <c r="AY25" s="3" t="s">
        <v>196</v>
      </c>
      <c r="AZ25" s="3" t="s">
        <v>989</v>
      </c>
      <c r="BA25" s="3" t="s">
        <v>196</v>
      </c>
      <c r="BB25" t="s">
        <v>990</v>
      </c>
      <c r="BC25" s="3" t="s">
        <v>193</v>
      </c>
      <c r="BE25" s="3" t="s">
        <v>193</v>
      </c>
      <c r="BG25" s="3" t="s">
        <v>193</v>
      </c>
      <c r="BI25" s="3" t="s">
        <v>193</v>
      </c>
      <c r="BL25" s="3">
        <f t="shared" si="1"/>
        <v>13</v>
      </c>
      <c r="BM25" s="3">
        <f t="shared" si="0"/>
        <v>16</v>
      </c>
      <c r="BN25" s="3">
        <f t="shared" si="2"/>
        <v>0</v>
      </c>
      <c r="BP25" s="3">
        <f>COUNTIF(D25:BF25,"Yes")-COUNTIF(P25:V25,"Yes")</f>
        <v>12</v>
      </c>
      <c r="BQ25" s="3">
        <f t="shared" si="3"/>
        <v>12</v>
      </c>
      <c r="BR25" s="3">
        <f t="shared" si="4"/>
        <v>0</v>
      </c>
    </row>
    <row r="26" spans="1:77" ht="43.5">
      <c r="A26" s="3" t="s">
        <v>657</v>
      </c>
      <c r="B26" s="3" t="s">
        <v>240</v>
      </c>
      <c r="C26" s="3" t="s">
        <v>658</v>
      </c>
      <c r="D26" s="3" t="s">
        <v>196</v>
      </c>
      <c r="E26" s="3" t="s">
        <v>998</v>
      </c>
      <c r="F26" s="3" t="s">
        <v>196</v>
      </c>
      <c r="G26" s="3" t="s">
        <v>999</v>
      </c>
      <c r="H26" s="3" t="s">
        <v>196</v>
      </c>
      <c r="I26" s="3" t="s">
        <v>1000</v>
      </c>
      <c r="J26" s="3" t="s">
        <v>196</v>
      </c>
      <c r="K26" s="3" t="s">
        <v>1001</v>
      </c>
      <c r="L26" s="3" t="s">
        <v>196</v>
      </c>
      <c r="M26" s="3" t="s">
        <v>1002</v>
      </c>
      <c r="N26" s="3" t="s">
        <v>196</v>
      </c>
      <c r="O26" s="3" t="s">
        <v>1003</v>
      </c>
      <c r="P26" s="3" t="s">
        <v>196</v>
      </c>
      <c r="Q26" s="3" t="s">
        <v>1004</v>
      </c>
      <c r="S26" s="3" t="s">
        <v>196</v>
      </c>
      <c r="T26" s="3" t="s">
        <v>1005</v>
      </c>
      <c r="U26" s="3" t="s">
        <v>196</v>
      </c>
      <c r="V26" s="3" t="s">
        <v>1006</v>
      </c>
      <c r="W26" s="3" t="s">
        <v>196</v>
      </c>
      <c r="X26" s="3" t="s">
        <v>1007</v>
      </c>
      <c r="Y26" s="3" t="s">
        <v>196</v>
      </c>
      <c r="Z26" s="3" t="s">
        <v>1008</v>
      </c>
      <c r="AA26" s="3" t="s">
        <v>196</v>
      </c>
      <c r="AB26" s="3" t="s">
        <v>1009</v>
      </c>
      <c r="AC26" s="3" t="s">
        <v>196</v>
      </c>
      <c r="AD26" s="3" t="s">
        <v>1010</v>
      </c>
      <c r="AE26" s="3" t="s">
        <v>196</v>
      </c>
      <c r="AF26" s="3" t="s">
        <v>1011</v>
      </c>
      <c r="AG26" s="3" t="s">
        <v>196</v>
      </c>
      <c r="AH26" s="3" t="s">
        <v>1012</v>
      </c>
      <c r="AI26" s="3" t="s">
        <v>196</v>
      </c>
      <c r="AJ26" s="3" t="s">
        <v>1013</v>
      </c>
      <c r="AK26" s="3" t="s">
        <v>196</v>
      </c>
      <c r="AL26" t="s">
        <v>1014</v>
      </c>
      <c r="AM26" s="3" t="s">
        <v>196</v>
      </c>
      <c r="AN26" t="s">
        <v>1015</v>
      </c>
      <c r="AO26" s="3" t="s">
        <v>196</v>
      </c>
      <c r="AP26" s="3" t="s">
        <v>1016</v>
      </c>
      <c r="AQ26" s="3" t="s">
        <v>196</v>
      </c>
      <c r="AR26" s="3" t="s">
        <v>1017</v>
      </c>
      <c r="AS26" s="3" t="s">
        <v>196</v>
      </c>
      <c r="AT26" s="3" t="s">
        <v>1018</v>
      </c>
      <c r="AU26" s="3" t="s">
        <v>196</v>
      </c>
      <c r="AV26" s="3" t="s">
        <v>1019</v>
      </c>
      <c r="AW26" s="3" t="s">
        <v>196</v>
      </c>
      <c r="AX26" s="3" t="s">
        <v>1020</v>
      </c>
      <c r="AY26" s="3" t="s">
        <v>196</v>
      </c>
      <c r="AZ26" s="3" t="s">
        <v>1021</v>
      </c>
      <c r="BA26" s="3" t="s">
        <v>196</v>
      </c>
      <c r="BB26" s="3" t="s">
        <v>1022</v>
      </c>
      <c r="BC26" s="3" t="s">
        <v>196</v>
      </c>
      <c r="BD26" s="3" t="s">
        <v>1023</v>
      </c>
      <c r="BE26" s="3" t="s">
        <v>196</v>
      </c>
      <c r="BF26" s="3" t="s">
        <v>1024</v>
      </c>
      <c r="BG26" s="3" t="s">
        <v>196</v>
      </c>
      <c r="BH26" s="3" t="s">
        <v>1025</v>
      </c>
      <c r="BI26" s="3" t="s">
        <v>196</v>
      </c>
      <c r="BJ26" s="3" t="s">
        <v>1026</v>
      </c>
      <c r="BL26" s="3">
        <f t="shared" si="1"/>
        <v>29</v>
      </c>
      <c r="BM26" s="3">
        <f t="shared" si="0"/>
        <v>0</v>
      </c>
      <c r="BN26" s="3">
        <f t="shared" si="2"/>
        <v>0</v>
      </c>
      <c r="BP26" s="3">
        <f>COUNTIF(D26:BF26,"Yes")-COUNTIF(P26:V26,"Yes")</f>
        <v>24</v>
      </c>
      <c r="BQ26" s="3">
        <f t="shared" si="3"/>
        <v>0</v>
      </c>
      <c r="BR26" s="3">
        <f t="shared" si="4"/>
        <v>0</v>
      </c>
    </row>
    <row r="27" spans="1:77" ht="46.35" customHeight="1">
      <c r="A27" s="49" t="s">
        <v>667</v>
      </c>
      <c r="B27" s="3" t="s">
        <v>246</v>
      </c>
      <c r="C27" s="3" t="s">
        <v>668</v>
      </c>
      <c r="D27" s="3" t="s">
        <v>196</v>
      </c>
      <c r="E27" s="3" t="s">
        <v>1027</v>
      </c>
      <c r="F27" s="3" t="s">
        <v>196</v>
      </c>
      <c r="G27" t="s">
        <v>673</v>
      </c>
      <c r="H27" s="3" t="s">
        <v>196</v>
      </c>
      <c r="I27" s="3" t="s">
        <v>1028</v>
      </c>
      <c r="J27" s="3" t="s">
        <v>196</v>
      </c>
      <c r="K27" s="3" t="s">
        <v>675</v>
      </c>
      <c r="L27" s="3" t="s">
        <v>196</v>
      </c>
      <c r="M27" s="3" t="s">
        <v>1029</v>
      </c>
      <c r="N27" s="3" t="s">
        <v>196</v>
      </c>
      <c r="O27" s="3" t="s">
        <v>1030</v>
      </c>
      <c r="P27" s="3" t="s">
        <v>196</v>
      </c>
      <c r="Q27" s="3" t="s">
        <v>1031</v>
      </c>
      <c r="S27" s="3" t="s">
        <v>196</v>
      </c>
      <c r="T27" s="3" t="s">
        <v>1032</v>
      </c>
      <c r="U27" s="3" t="s">
        <v>196</v>
      </c>
      <c r="V27" s="3" t="s">
        <v>1033</v>
      </c>
      <c r="W27" s="3" t="s">
        <v>196</v>
      </c>
      <c r="X27" s="3" t="s">
        <v>1034</v>
      </c>
      <c r="Y27" s="3" t="s">
        <v>196</v>
      </c>
      <c r="Z27" s="3" t="s">
        <v>1035</v>
      </c>
      <c r="AA27" s="3" t="s">
        <v>196</v>
      </c>
      <c r="AB27" s="3" t="s">
        <v>1036</v>
      </c>
      <c r="AC27" s="3" t="s">
        <v>196</v>
      </c>
      <c r="AD27" s="3" t="s">
        <v>1037</v>
      </c>
      <c r="AE27" s="3" t="s">
        <v>733</v>
      </c>
      <c r="AF27" s="3" t="s">
        <v>1038</v>
      </c>
      <c r="AG27" s="3" t="s">
        <v>193</v>
      </c>
      <c r="AI27" s="3" t="s">
        <v>196</v>
      </c>
      <c r="AJ27" s="3" t="s">
        <v>1039</v>
      </c>
      <c r="AK27" s="3" t="s">
        <v>196</v>
      </c>
      <c r="AL27" t="s">
        <v>1040</v>
      </c>
      <c r="AM27" s="3" t="s">
        <v>733</v>
      </c>
      <c r="AN27" t="s">
        <v>1041</v>
      </c>
      <c r="AO27" s="3" t="s">
        <v>196</v>
      </c>
      <c r="AP27" s="3" t="s">
        <v>1042</v>
      </c>
      <c r="AQ27" s="3" t="s">
        <v>196</v>
      </c>
      <c r="AR27" s="3" t="s">
        <v>1043</v>
      </c>
      <c r="AS27" s="3" t="s">
        <v>196</v>
      </c>
      <c r="AT27" s="3" t="s">
        <v>1044</v>
      </c>
      <c r="AU27" s="3" t="s">
        <v>196</v>
      </c>
      <c r="AV27" s="3" t="s">
        <v>1045</v>
      </c>
      <c r="AW27" s="3" t="s">
        <v>196</v>
      </c>
      <c r="AX27" t="s">
        <v>1046</v>
      </c>
      <c r="AY27" s="3" t="s">
        <v>196</v>
      </c>
      <c r="AZ27" t="s">
        <v>1047</v>
      </c>
      <c r="BA27" s="3" t="s">
        <v>196</v>
      </c>
      <c r="BB27" s="3" t="s">
        <v>1048</v>
      </c>
      <c r="BC27" s="3" t="s">
        <v>196</v>
      </c>
      <c r="BD27" s="3" t="s">
        <v>1049</v>
      </c>
      <c r="BE27" s="3" t="s">
        <v>196</v>
      </c>
      <c r="BF27" s="3" t="s">
        <v>1050</v>
      </c>
      <c r="BG27" s="3" t="s">
        <v>196</v>
      </c>
      <c r="BH27" s="3" t="s">
        <v>1051</v>
      </c>
      <c r="BI27" s="3" t="s">
        <v>733</v>
      </c>
      <c r="BJ27" s="3" t="s">
        <v>1052</v>
      </c>
      <c r="BL27" s="3">
        <f t="shared" si="1"/>
        <v>25</v>
      </c>
      <c r="BM27" s="3">
        <f t="shared" si="0"/>
        <v>1</v>
      </c>
      <c r="BN27" s="3">
        <f t="shared" si="2"/>
        <v>3</v>
      </c>
      <c r="BP27" s="3">
        <f>COUNTIF(D27:BF27,"Yes")-COUNTIF(P27:V27,"Yes")</f>
        <v>21</v>
      </c>
      <c r="BQ27" s="3">
        <f t="shared" si="3"/>
        <v>1</v>
      </c>
      <c r="BR27" s="3">
        <f t="shared" si="4"/>
        <v>2</v>
      </c>
    </row>
    <row r="28" spans="1:77" ht="29.25">
      <c r="A28" s="49"/>
      <c r="B28" s="3" t="s">
        <v>247</v>
      </c>
      <c r="C28" s="3" t="s">
        <v>669</v>
      </c>
      <c r="D28" s="3" t="s">
        <v>196</v>
      </c>
      <c r="E28" s="3" t="s">
        <v>1053</v>
      </c>
      <c r="F28" s="3" t="s">
        <v>196</v>
      </c>
      <c r="G28" s="3" t="s">
        <v>1054</v>
      </c>
      <c r="H28" s="3" t="s">
        <v>733</v>
      </c>
      <c r="I28" s="3" t="s">
        <v>1055</v>
      </c>
      <c r="J28" s="3" t="s">
        <v>733</v>
      </c>
      <c r="K28" s="3" t="s">
        <v>1056</v>
      </c>
      <c r="L28" s="3" t="s">
        <v>193</v>
      </c>
      <c r="N28" s="3" t="s">
        <v>193</v>
      </c>
      <c r="P28" s="3" t="s">
        <v>196</v>
      </c>
      <c r="Q28" s="3" t="s">
        <v>1057</v>
      </c>
      <c r="S28" s="3" t="s">
        <v>733</v>
      </c>
      <c r="T28" s="3" t="s">
        <v>1058</v>
      </c>
      <c r="U28" s="3" t="s">
        <v>193</v>
      </c>
      <c r="W28" s="3" t="s">
        <v>196</v>
      </c>
      <c r="X28" s="3" t="s">
        <v>1059</v>
      </c>
      <c r="Y28" s="3" t="s">
        <v>193</v>
      </c>
      <c r="AA28" s="3" t="s">
        <v>193</v>
      </c>
      <c r="AC28" s="3" t="s">
        <v>193</v>
      </c>
      <c r="AE28" s="3" t="s">
        <v>193</v>
      </c>
      <c r="AG28" s="3" t="s">
        <v>193</v>
      </c>
      <c r="AI28" s="3" t="s">
        <v>733</v>
      </c>
      <c r="AJ28" s="3" t="s">
        <v>1060</v>
      </c>
      <c r="AK28" s="3" t="s">
        <v>193</v>
      </c>
      <c r="AM28" s="3" t="s">
        <v>193</v>
      </c>
      <c r="AO28" s="3" t="s">
        <v>193</v>
      </c>
      <c r="AQ28" s="3" t="s">
        <v>193</v>
      </c>
      <c r="AS28" s="3" t="s">
        <v>193</v>
      </c>
      <c r="AU28" s="3" t="s">
        <v>193</v>
      </c>
      <c r="AW28" s="3" t="s">
        <v>193</v>
      </c>
      <c r="AY28" s="3" t="s">
        <v>193</v>
      </c>
      <c r="BA28" s="3" t="s">
        <v>193</v>
      </c>
      <c r="BC28" s="3" t="s">
        <v>193</v>
      </c>
      <c r="BE28" s="3" t="s">
        <v>193</v>
      </c>
      <c r="BG28" s="3" t="s">
        <v>193</v>
      </c>
      <c r="BI28" s="3" t="s">
        <v>193</v>
      </c>
      <c r="BL28" s="3">
        <f t="shared" si="1"/>
        <v>4</v>
      </c>
      <c r="BM28" s="3">
        <f t="shared" si="0"/>
        <v>21</v>
      </c>
      <c r="BN28" s="3">
        <f t="shared" si="2"/>
        <v>4</v>
      </c>
      <c r="BP28" s="3">
        <f>COUNTIF(D28:BF28,"Yes")-COUNTIF(P28:V28,"Yes")</f>
        <v>3</v>
      </c>
      <c r="BQ28" s="3">
        <f t="shared" si="3"/>
        <v>18</v>
      </c>
      <c r="BR28" s="3">
        <f t="shared" si="4"/>
        <v>3</v>
      </c>
    </row>
    <row r="29" spans="1:77" ht="57.75">
      <c r="A29" s="49"/>
      <c r="B29" s="3" t="s">
        <v>248</v>
      </c>
      <c r="C29" s="3" t="s">
        <v>670</v>
      </c>
      <c r="D29" s="3" t="s">
        <v>196</v>
      </c>
      <c r="E29" s="3" t="s">
        <v>1061</v>
      </c>
      <c r="F29" s="3" t="s">
        <v>196</v>
      </c>
      <c r="G29" s="3" t="s">
        <v>1062</v>
      </c>
      <c r="H29" s="3" t="s">
        <v>196</v>
      </c>
      <c r="I29" s="3" t="s">
        <v>1063</v>
      </c>
      <c r="J29" s="3" t="s">
        <v>196</v>
      </c>
      <c r="K29" s="3" t="s">
        <v>1064</v>
      </c>
      <c r="L29" s="3" t="s">
        <v>196</v>
      </c>
      <c r="M29" s="3" t="s">
        <v>1029</v>
      </c>
      <c r="N29" s="3" t="s">
        <v>193</v>
      </c>
      <c r="P29" s="3" t="s">
        <v>196</v>
      </c>
      <c r="Q29" s="3" t="s">
        <v>1065</v>
      </c>
      <c r="S29" s="3" t="s">
        <v>733</v>
      </c>
      <c r="T29" s="3" t="s">
        <v>1066</v>
      </c>
      <c r="U29" s="3" t="s">
        <v>196</v>
      </c>
      <c r="V29" s="3" t="s">
        <v>1067</v>
      </c>
      <c r="W29" s="3" t="s">
        <v>196</v>
      </c>
      <c r="X29" s="3" t="s">
        <v>1068</v>
      </c>
      <c r="Y29" s="3" t="s">
        <v>196</v>
      </c>
      <c r="Z29" s="3" t="s">
        <v>1035</v>
      </c>
      <c r="AA29" s="3" t="s">
        <v>196</v>
      </c>
      <c r="AB29" s="3" t="s">
        <v>1069</v>
      </c>
      <c r="AC29" s="3" t="s">
        <v>196</v>
      </c>
      <c r="AD29" t="s">
        <v>1070</v>
      </c>
      <c r="AE29" s="3" t="s">
        <v>196</v>
      </c>
      <c r="AF29" s="3" t="s">
        <v>1038</v>
      </c>
      <c r="AG29" s="3" t="s">
        <v>196</v>
      </c>
      <c r="AH29" s="3" t="s">
        <v>1071</v>
      </c>
      <c r="AI29" s="3" t="s">
        <v>196</v>
      </c>
      <c r="AJ29" s="3" t="s">
        <v>1072</v>
      </c>
      <c r="AK29" s="3" t="s">
        <v>196</v>
      </c>
      <c r="AL29" s="3" t="s">
        <v>1073</v>
      </c>
      <c r="AM29" s="3" t="s">
        <v>196</v>
      </c>
      <c r="AN29" t="s">
        <v>1074</v>
      </c>
      <c r="AO29" s="3" t="s">
        <v>196</v>
      </c>
      <c r="AP29" s="3" t="s">
        <v>1042</v>
      </c>
      <c r="AQ29" s="3" t="s">
        <v>196</v>
      </c>
      <c r="AR29" s="3" t="s">
        <v>1043</v>
      </c>
      <c r="AS29" s="3" t="s">
        <v>196</v>
      </c>
      <c r="AT29" s="3" t="s">
        <v>1075</v>
      </c>
      <c r="AU29" s="3" t="s">
        <v>196</v>
      </c>
      <c r="AV29" s="3" t="s">
        <v>1076</v>
      </c>
      <c r="AW29" s="3" t="s">
        <v>196</v>
      </c>
      <c r="AX29" t="s">
        <v>1077</v>
      </c>
      <c r="AY29" s="3" t="s">
        <v>196</v>
      </c>
      <c r="AZ29" t="s">
        <v>1078</v>
      </c>
      <c r="BA29" s="3" t="s">
        <v>196</v>
      </c>
      <c r="BB29" s="3" t="s">
        <v>1079</v>
      </c>
      <c r="BC29" s="3" t="s">
        <v>196</v>
      </c>
      <c r="BD29" s="3" t="s">
        <v>1080</v>
      </c>
      <c r="BE29" s="3" t="s">
        <v>196</v>
      </c>
      <c r="BF29" s="3" t="s">
        <v>1081</v>
      </c>
      <c r="BG29" s="3" t="s">
        <v>196</v>
      </c>
      <c r="BH29" s="3" t="s">
        <v>1082</v>
      </c>
      <c r="BI29" s="3" t="s">
        <v>733</v>
      </c>
      <c r="BJ29" s="3" t="s">
        <v>1083</v>
      </c>
      <c r="BL29" s="3">
        <f t="shared" si="1"/>
        <v>26</v>
      </c>
      <c r="BM29" s="3">
        <f t="shared" si="0"/>
        <v>1</v>
      </c>
      <c r="BN29" s="3">
        <f t="shared" si="2"/>
        <v>2</v>
      </c>
      <c r="BP29" s="3">
        <f>COUNTIF(D29:BF29,"Yes")-COUNTIF(P29:V29,"Yes")</f>
        <v>23</v>
      </c>
      <c r="BQ29" s="3">
        <f t="shared" si="3"/>
        <v>1</v>
      </c>
      <c r="BR29" s="3">
        <f t="shared" si="4"/>
        <v>0</v>
      </c>
    </row>
    <row r="30" spans="1:77" ht="31.35" customHeight="1">
      <c r="A30" s="49" t="s">
        <v>695</v>
      </c>
      <c r="B30" s="3" t="s">
        <v>351</v>
      </c>
      <c r="C30" s="3" t="s">
        <v>696</v>
      </c>
      <c r="D30" s="3" t="s">
        <v>193</v>
      </c>
      <c r="F30" s="3" t="s">
        <v>193</v>
      </c>
      <c r="H30" s="3" t="s">
        <v>193</v>
      </c>
      <c r="J30" s="3" t="s">
        <v>193</v>
      </c>
      <c r="L30" s="3" t="s">
        <v>196</v>
      </c>
      <c r="M30" s="3" t="s">
        <v>1084</v>
      </c>
      <c r="N30" s="3" t="s">
        <v>733</v>
      </c>
      <c r="O30" s="3" t="s">
        <v>714</v>
      </c>
      <c r="P30" s="3" t="s">
        <v>193</v>
      </c>
      <c r="S30" s="3" t="s">
        <v>193</v>
      </c>
      <c r="U30" s="3" t="s">
        <v>193</v>
      </c>
      <c r="W30" s="3" t="s">
        <v>193</v>
      </c>
      <c r="Y30" s="3" t="s">
        <v>196</v>
      </c>
      <c r="Z30" s="3" t="s">
        <v>1085</v>
      </c>
      <c r="AA30" s="3" t="s">
        <v>196</v>
      </c>
      <c r="AB30" t="s">
        <v>1086</v>
      </c>
      <c r="AC30" s="3" t="s">
        <v>196</v>
      </c>
      <c r="AD30" s="3" t="s">
        <v>1087</v>
      </c>
      <c r="AE30" s="3" t="s">
        <v>193</v>
      </c>
      <c r="AG30" s="3" t="s">
        <v>193</v>
      </c>
      <c r="AI30" s="3" t="s">
        <v>196</v>
      </c>
      <c r="AJ30" s="3" t="s">
        <v>1088</v>
      </c>
      <c r="AK30" s="3" t="s">
        <v>196</v>
      </c>
      <c r="AL30" t="s">
        <v>1089</v>
      </c>
      <c r="AM30" s="3" t="s">
        <v>196</v>
      </c>
      <c r="AN30" s="3" t="s">
        <v>1090</v>
      </c>
      <c r="AO30" s="3" t="s">
        <v>196</v>
      </c>
      <c r="AP30" s="3" t="s">
        <v>1091</v>
      </c>
      <c r="AQ30" s="3" t="s">
        <v>196</v>
      </c>
      <c r="AR30" s="3" t="s">
        <v>1092</v>
      </c>
      <c r="AS30" s="3" t="s">
        <v>196</v>
      </c>
      <c r="AT30" s="3" t="s">
        <v>1093</v>
      </c>
      <c r="AU30" s="3" t="s">
        <v>193</v>
      </c>
      <c r="AW30" s="3" t="s">
        <v>196</v>
      </c>
      <c r="AX30" t="s">
        <v>1094</v>
      </c>
      <c r="AY30" s="3" t="s">
        <v>193</v>
      </c>
      <c r="BA30" s="3" t="s">
        <v>196</v>
      </c>
      <c r="BB30" t="s">
        <v>1095</v>
      </c>
      <c r="BC30" s="3" t="s">
        <v>193</v>
      </c>
      <c r="BE30" s="3" t="s">
        <v>196</v>
      </c>
      <c r="BF30" s="3" t="s">
        <v>1096</v>
      </c>
      <c r="BG30" s="3" t="s">
        <v>193</v>
      </c>
      <c r="BI30" s="3" t="s">
        <v>733</v>
      </c>
      <c r="BJ30" s="3" t="s">
        <v>1097</v>
      </c>
      <c r="BL30" s="3">
        <f t="shared" si="1"/>
        <v>13</v>
      </c>
      <c r="BM30" s="3">
        <f t="shared" si="0"/>
        <v>14</v>
      </c>
      <c r="BN30" s="3">
        <f t="shared" si="2"/>
        <v>2</v>
      </c>
      <c r="BP30" s="3">
        <f>COUNTIF(D30:BF30,"Yes")-COUNTIF(P30:V30,"Yes")</f>
        <v>13</v>
      </c>
      <c r="BQ30" s="3">
        <f t="shared" si="3"/>
        <v>10</v>
      </c>
      <c r="BR30" s="3">
        <f t="shared" si="4"/>
        <v>1</v>
      </c>
    </row>
    <row r="31" spans="1:77" ht="87">
      <c r="A31" s="49"/>
      <c r="B31" s="3" t="s">
        <v>253</v>
      </c>
      <c r="C31" s="3" t="s">
        <v>697</v>
      </c>
      <c r="D31" s="3" t="s">
        <v>196</v>
      </c>
      <c r="E31" s="3" t="s">
        <v>1098</v>
      </c>
      <c r="F31" s="3" t="s">
        <v>733</v>
      </c>
      <c r="G31" s="3" t="s">
        <v>1099</v>
      </c>
      <c r="H31" s="3" t="s">
        <v>196</v>
      </c>
      <c r="I31" s="3" t="s">
        <v>1100</v>
      </c>
      <c r="J31" s="3" t="s">
        <v>196</v>
      </c>
      <c r="K31" s="3" t="s">
        <v>1101</v>
      </c>
      <c r="L31" s="3" t="s">
        <v>196</v>
      </c>
      <c r="M31" s="3" t="s">
        <v>1102</v>
      </c>
      <c r="N31" s="3" t="s">
        <v>193</v>
      </c>
      <c r="P31" s="3" t="s">
        <v>196</v>
      </c>
      <c r="Q31" s="3" t="s">
        <v>1103</v>
      </c>
      <c r="S31" s="3" t="s">
        <v>733</v>
      </c>
      <c r="T31" s="3" t="s">
        <v>1104</v>
      </c>
      <c r="U31" s="3" t="s">
        <v>733</v>
      </c>
      <c r="V31" s="3" t="s">
        <v>1105</v>
      </c>
      <c r="W31" s="3" t="s">
        <v>193</v>
      </c>
      <c r="Y31" s="3" t="s">
        <v>193</v>
      </c>
      <c r="AA31" s="3" t="s">
        <v>193</v>
      </c>
      <c r="AC31" s="3" t="s">
        <v>193</v>
      </c>
      <c r="AE31" s="3" t="s">
        <v>193</v>
      </c>
      <c r="AG31" s="3" t="s">
        <v>196</v>
      </c>
      <c r="AH31" s="3" t="s">
        <v>1106</v>
      </c>
      <c r="AI31" s="3" t="s">
        <v>196</v>
      </c>
      <c r="AJ31" s="3" t="s">
        <v>1107</v>
      </c>
      <c r="AK31" s="3" t="s">
        <v>196</v>
      </c>
      <c r="AL31" s="3" t="s">
        <v>1108</v>
      </c>
      <c r="AM31" s="3" t="s">
        <v>196</v>
      </c>
      <c r="AN31" s="3" t="s">
        <v>1109</v>
      </c>
      <c r="AO31" s="3" t="s">
        <v>193</v>
      </c>
      <c r="AQ31" s="3" t="s">
        <v>193</v>
      </c>
      <c r="AS31" s="3" t="s">
        <v>196</v>
      </c>
      <c r="AT31" s="3" t="s">
        <v>1110</v>
      </c>
      <c r="AU31" s="3" t="s">
        <v>733</v>
      </c>
      <c r="AV31" s="3" t="s">
        <v>708</v>
      </c>
      <c r="AW31" s="3" t="s">
        <v>733</v>
      </c>
      <c r="AX31" t="s">
        <v>709</v>
      </c>
      <c r="AY31" s="3" t="s">
        <v>733</v>
      </c>
      <c r="AZ31" s="3" t="s">
        <v>1111</v>
      </c>
      <c r="BA31" s="3" t="s">
        <v>733</v>
      </c>
      <c r="BB31" t="s">
        <v>437</v>
      </c>
      <c r="BC31" s="3" t="s">
        <v>193</v>
      </c>
      <c r="BE31" s="3" t="s">
        <v>193</v>
      </c>
      <c r="BG31" s="3" t="s">
        <v>733</v>
      </c>
      <c r="BH31" t="s">
        <v>1112</v>
      </c>
      <c r="BI31" s="3" t="s">
        <v>733</v>
      </c>
      <c r="BJ31" s="3" t="s">
        <v>1113</v>
      </c>
      <c r="BL31" s="3">
        <f t="shared" si="1"/>
        <v>10</v>
      </c>
      <c r="BM31" s="3">
        <f t="shared" si="0"/>
        <v>10</v>
      </c>
      <c r="BN31" s="3">
        <f t="shared" si="2"/>
        <v>9</v>
      </c>
      <c r="BP31" s="3">
        <f>COUNTIF(D31:BF31,"Yes")-COUNTIF(P31:V31,"Yes")</f>
        <v>9</v>
      </c>
      <c r="BQ31" s="3">
        <f t="shared" si="3"/>
        <v>10</v>
      </c>
      <c r="BR31" s="3">
        <f t="shared" si="4"/>
        <v>5</v>
      </c>
    </row>
    <row r="32" spans="1:77" s="5" customFormat="1">
      <c r="A32" s="49"/>
      <c r="B32" s="3" t="s">
        <v>254</v>
      </c>
      <c r="C32" s="3" t="s">
        <v>698</v>
      </c>
      <c r="D32" s="3" t="s">
        <v>196</v>
      </c>
      <c r="E32" s="3" t="s">
        <v>722</v>
      </c>
      <c r="F32" s="3" t="s">
        <v>193</v>
      </c>
      <c r="G32" s="3"/>
      <c r="H32" s="3" t="s">
        <v>193</v>
      </c>
      <c r="I32" s="3"/>
      <c r="J32" s="3" t="s">
        <v>196</v>
      </c>
      <c r="K32" s="3" t="s">
        <v>1101</v>
      </c>
      <c r="L32" s="3" t="s">
        <v>193</v>
      </c>
      <c r="M32" s="3"/>
      <c r="N32" s="3" t="s">
        <v>196</v>
      </c>
      <c r="O32" s="3" t="s">
        <v>1114</v>
      </c>
      <c r="P32" s="3" t="s">
        <v>196</v>
      </c>
      <c r="Q32" s="3" t="s">
        <v>1115</v>
      </c>
      <c r="R32" s="3"/>
      <c r="S32" s="3" t="s">
        <v>193</v>
      </c>
      <c r="T32" s="3"/>
      <c r="U32" s="3" t="s">
        <v>196</v>
      </c>
      <c r="V32" s="3" t="s">
        <v>1116</v>
      </c>
      <c r="W32" s="3" t="s">
        <v>196</v>
      </c>
      <c r="X32" s="3" t="s">
        <v>1117</v>
      </c>
      <c r="Y32" s="3" t="s">
        <v>193</v>
      </c>
      <c r="Z32" s="3"/>
      <c r="AA32" s="3" t="s">
        <v>193</v>
      </c>
      <c r="AB32" s="3"/>
      <c r="AC32" s="3" t="s">
        <v>193</v>
      </c>
      <c r="AD32" s="3"/>
      <c r="AE32" s="3" t="s">
        <v>196</v>
      </c>
      <c r="AF32" s="3" t="s">
        <v>1118</v>
      </c>
      <c r="AG32" s="3" t="s">
        <v>196</v>
      </c>
      <c r="AH32" s="3" t="s">
        <v>1119</v>
      </c>
      <c r="AI32" s="3" t="s">
        <v>733</v>
      </c>
      <c r="AJ32" s="3" t="s">
        <v>1120</v>
      </c>
      <c r="AK32" s="3" t="s">
        <v>733</v>
      </c>
      <c r="AL32" s="3" t="s">
        <v>1089</v>
      </c>
      <c r="AM32" s="3" t="s">
        <v>193</v>
      </c>
      <c r="AN32" s="3"/>
      <c r="AO32" s="3" t="s">
        <v>193</v>
      </c>
      <c r="AP32" s="3"/>
      <c r="AQ32" s="3" t="s">
        <v>193</v>
      </c>
      <c r="AR32" s="3"/>
      <c r="AS32" s="3" t="s">
        <v>193</v>
      </c>
      <c r="AT32" s="3"/>
      <c r="AU32" s="3" t="s">
        <v>196</v>
      </c>
      <c r="AV32" s="3" t="s">
        <v>1121</v>
      </c>
      <c r="AW32" s="3" t="s">
        <v>193</v>
      </c>
      <c r="AX32" s="3"/>
      <c r="AY32" s="3" t="s">
        <v>193</v>
      </c>
      <c r="AZ32" s="3"/>
      <c r="BA32" s="3" t="s">
        <v>196</v>
      </c>
      <c r="BB32" t="s">
        <v>1095</v>
      </c>
      <c r="BC32" s="3" t="s">
        <v>196</v>
      </c>
      <c r="BD32" s="3" t="s">
        <v>1122</v>
      </c>
      <c r="BE32" s="3" t="s">
        <v>196</v>
      </c>
      <c r="BF32" s="3" t="s">
        <v>1123</v>
      </c>
      <c r="BG32" s="3" t="s">
        <v>193</v>
      </c>
      <c r="BH32" s="3"/>
      <c r="BI32" s="3" t="s">
        <v>193</v>
      </c>
      <c r="BJ32" s="3"/>
      <c r="BK32" s="3"/>
      <c r="BL32" s="3">
        <f t="shared" si="1"/>
        <v>12</v>
      </c>
      <c r="BM32" s="3">
        <f t="shared" si="0"/>
        <v>15</v>
      </c>
      <c r="BN32" s="3">
        <f t="shared" si="2"/>
        <v>2</v>
      </c>
      <c r="BO32" s="3"/>
      <c r="BP32" s="3">
        <f>COUNTIF(D32:BF32,"Yes")-COUNTIF(P32:V32,"Yes")</f>
        <v>10</v>
      </c>
      <c r="BQ32" s="3">
        <f t="shared" si="3"/>
        <v>12</v>
      </c>
      <c r="BR32" s="3">
        <f t="shared" si="4"/>
        <v>2</v>
      </c>
      <c r="BS32"/>
      <c r="BT32"/>
      <c r="BU32"/>
      <c r="BV32"/>
      <c r="BW32"/>
      <c r="BX32"/>
      <c r="BY32"/>
    </row>
    <row r="33" spans="1:77" s="5" customFormat="1" ht="16.350000000000001" customHeight="1">
      <c r="A33" s="50" t="s">
        <v>1124</v>
      </c>
      <c r="B33" s="50"/>
      <c r="C33" s="1" t="s">
        <v>1125</v>
      </c>
      <c r="D33" s="5">
        <f>COUNTIF(D3:D32,"Yes")</f>
        <v>18</v>
      </c>
      <c r="F33" s="5">
        <f>COUNTIF(F3:F32,"Yes")</f>
        <v>17</v>
      </c>
      <c r="H33" s="5">
        <f>COUNTIF(H3:H32,"Yes")</f>
        <v>16</v>
      </c>
      <c r="J33" s="5">
        <f>COUNTIF(J3:J32,"Yes")</f>
        <v>12</v>
      </c>
      <c r="L33" s="5">
        <f>COUNTIF(L3:L32,"Yes")</f>
        <v>14</v>
      </c>
      <c r="N33" s="5">
        <f>COUNTIF(N3:N32,"Yes")</f>
        <v>14</v>
      </c>
      <c r="P33" s="5">
        <f>COUNTIF(P3:P32,"Yes")</f>
        <v>23</v>
      </c>
      <c r="S33" s="5">
        <f>COUNTIF(S3:S32,"Yes")</f>
        <v>8</v>
      </c>
      <c r="U33" s="5">
        <f>COUNTIF(U3:U32,"Yes")</f>
        <v>13</v>
      </c>
      <c r="W33" s="5">
        <f>COUNTIF(W3:W32,"Yes")</f>
        <v>15</v>
      </c>
      <c r="Y33" s="5">
        <f>COUNTIF(Y3:Y32,"Yes")</f>
        <v>14</v>
      </c>
      <c r="AA33" s="5">
        <f>COUNTIF(AA3:AA32,"Yes")</f>
        <v>13</v>
      </c>
      <c r="AC33" s="5">
        <f>COUNTIF(AC3:AC32,"Yes")</f>
        <v>11</v>
      </c>
      <c r="AE33" s="5">
        <f>COUNTIF(AE3:AE32,"Yes")</f>
        <v>10</v>
      </c>
      <c r="AG33" s="5">
        <f>COUNTIF(AG3:AG32,"Yes")</f>
        <v>10</v>
      </c>
      <c r="AI33" s="5">
        <f>COUNTIF(AI3:AI32,"Yes")</f>
        <v>9</v>
      </c>
      <c r="AK33" s="5">
        <f>COUNTIF(AK3:AK32,"Yes")</f>
        <v>9</v>
      </c>
      <c r="AM33" s="5">
        <f>COUNTIF(AM3:AM32,"Yes")</f>
        <v>8</v>
      </c>
      <c r="AO33" s="5">
        <f>COUNTIF(AO3:AO32,"Yes")</f>
        <v>9</v>
      </c>
      <c r="AQ33" s="5">
        <f>COUNTIF(AQ3:AQ32,"Yes")</f>
        <v>9</v>
      </c>
      <c r="AS33" s="5">
        <f>COUNTIF(AS3:AS32,"Yes")</f>
        <v>10</v>
      </c>
      <c r="AU33" s="5">
        <f>COUNTIF(AU3:AU32,"Yes")</f>
        <v>12</v>
      </c>
      <c r="AW33" s="5">
        <f>COUNTIF(AW3:AW32,"Yes")</f>
        <v>14</v>
      </c>
      <c r="AY33" s="5">
        <f>COUNTIF(AY3:AY32,"Yes")</f>
        <v>13</v>
      </c>
      <c r="BA33" s="5">
        <f>COUNTIF(BA3:BA32,"Yes")</f>
        <v>14</v>
      </c>
      <c r="BC33" s="5">
        <f>COUNTIF(BC3:BC32,"Yes")</f>
        <v>11</v>
      </c>
      <c r="BE33" s="5">
        <f>COUNTIF(BE3:BE32,"Yes")</f>
        <v>10</v>
      </c>
      <c r="BG33" s="5">
        <f>COUNTIF(BG3:BG32,"Yes")</f>
        <v>8</v>
      </c>
      <c r="BI33" s="5">
        <f>COUNTIF(BI3:BI32,"Yes")</f>
        <v>5</v>
      </c>
      <c r="BS33"/>
      <c r="BT33"/>
      <c r="BU33"/>
      <c r="BV33"/>
      <c r="BW33"/>
      <c r="BX33"/>
      <c r="BY33"/>
    </row>
    <row r="34" spans="1:77" s="5" customFormat="1">
      <c r="C34" s="1" t="s">
        <v>1126</v>
      </c>
      <c r="D34" s="5">
        <f>COUNTIF(D3:D32,"No")</f>
        <v>8</v>
      </c>
      <c r="F34" s="5">
        <f>COUNTIF(F3:F32,"No")</f>
        <v>9</v>
      </c>
      <c r="H34" s="5">
        <f>COUNTIF(H3:H32,"No")</f>
        <v>8</v>
      </c>
      <c r="J34" s="5">
        <f>COUNTIF(J3:J32,"No")</f>
        <v>8</v>
      </c>
      <c r="L34" s="5">
        <f>COUNTIF(L3:L32,"No")</f>
        <v>12</v>
      </c>
      <c r="N34" s="5">
        <f>COUNTIF(N3:N32,"No")</f>
        <v>13</v>
      </c>
      <c r="P34" s="5">
        <f>COUNTIF(P3:P32,"No")</f>
        <v>6</v>
      </c>
      <c r="S34" s="5">
        <f>COUNTIF(S3:S32,"No")</f>
        <v>15</v>
      </c>
      <c r="U34" s="5">
        <f>COUNTIF(U3:U32,"No")</f>
        <v>14</v>
      </c>
      <c r="W34" s="5">
        <f>COUNTIF(W3:W32,"No")</f>
        <v>10</v>
      </c>
      <c r="Y34" s="5">
        <f>COUNTIF(Y3:Y32,"No")</f>
        <v>11</v>
      </c>
      <c r="AA34" s="5">
        <f>COUNTIF(AA3:AA32,"No")</f>
        <v>10</v>
      </c>
      <c r="AC34" s="5">
        <f>COUNTIF(AC3:AC32,"No")</f>
        <v>8</v>
      </c>
      <c r="AE34" s="5">
        <f>COUNTIF(AE3:AE32,"No")</f>
        <v>17</v>
      </c>
      <c r="AG34" s="5">
        <f>COUNTIF(AG3:AG32,"No")</f>
        <v>14</v>
      </c>
      <c r="AI34" s="5">
        <f>COUNTIF(AI3:AI32,"No")</f>
        <v>16</v>
      </c>
      <c r="AK34" s="5">
        <f>COUNTIF(AK3:AK32,"No")</f>
        <v>19</v>
      </c>
      <c r="AM34" s="5">
        <f>COUNTIF(AM3:AM32,"No")</f>
        <v>19</v>
      </c>
      <c r="AO34" s="5">
        <f>COUNTIF(AO3:AO32,"No")</f>
        <v>18</v>
      </c>
      <c r="AQ34" s="5">
        <f>COUNTIF(AQ3:AQ32,"No")</f>
        <v>12</v>
      </c>
      <c r="AS34" s="5">
        <f>COUNTIF(AS3:AS32,"No")</f>
        <v>12</v>
      </c>
      <c r="AU34" s="5">
        <f>COUNTIF(AU3:AU32,"No")</f>
        <v>14</v>
      </c>
      <c r="AW34" s="5">
        <f>COUNTIF(AW3:AW32,"No")</f>
        <v>14</v>
      </c>
      <c r="AY34" s="5">
        <f>COUNTIF(AY3:AY32,"No")</f>
        <v>16</v>
      </c>
      <c r="BA34" s="5">
        <f>COUNTIF(BA3:BA32,"No")</f>
        <v>12</v>
      </c>
      <c r="BC34" s="5">
        <f>COUNTIF(BC3:BC32,"No")</f>
        <v>17</v>
      </c>
      <c r="BE34" s="5">
        <f>COUNTIF(BE3:BE32,"No")</f>
        <v>17</v>
      </c>
      <c r="BG34" s="5">
        <f>COUNTIF(BG3:BG32,"No")</f>
        <v>16</v>
      </c>
      <c r="BI34" s="5">
        <f>COUNTIF(BI3:BI32,"No")</f>
        <v>16</v>
      </c>
      <c r="BS34"/>
      <c r="BT34"/>
      <c r="BU34"/>
      <c r="BV34"/>
      <c r="BW34"/>
      <c r="BX34"/>
      <c r="BY34"/>
    </row>
    <row r="35" spans="1:77">
      <c r="A35" s="5"/>
      <c r="B35" s="5"/>
      <c r="C35" s="1" t="s">
        <v>733</v>
      </c>
      <c r="D35" s="5">
        <f>COUNTIF(D3:D32,"Partial")</f>
        <v>4</v>
      </c>
      <c r="E35" s="5"/>
      <c r="F35" s="5">
        <f>COUNTIF(F3:F32,"Partial")</f>
        <v>4</v>
      </c>
      <c r="G35" s="5"/>
      <c r="H35" s="5">
        <f>COUNTIF(H3:H32,"Partial")</f>
        <v>6</v>
      </c>
      <c r="I35" s="5"/>
      <c r="J35" s="5">
        <f>COUNTIF(J3:J32,"Partial")</f>
        <v>10</v>
      </c>
      <c r="K35" s="5"/>
      <c r="L35" s="5">
        <f>COUNTIF(L3:L32,"Partial")</f>
        <v>4</v>
      </c>
      <c r="M35" s="5"/>
      <c r="N35" s="5">
        <f>COUNTIF(N3:N32,"Partial")</f>
        <v>3</v>
      </c>
      <c r="O35" s="5"/>
      <c r="P35" s="5">
        <f>COUNTIF(P3:P32,"Partial")</f>
        <v>1</v>
      </c>
      <c r="Q35" s="5"/>
      <c r="R35" s="5"/>
      <c r="S35" s="5">
        <f>COUNTIF(S3:S32,"Partial")</f>
        <v>7</v>
      </c>
      <c r="T35" s="5"/>
      <c r="U35" s="5">
        <f>COUNTIF(U3:U32,"Partial")</f>
        <v>3</v>
      </c>
      <c r="V35" s="5"/>
      <c r="W35" s="5">
        <f>COUNTIF(W3:W32,"Partial")</f>
        <v>5</v>
      </c>
      <c r="X35" s="5"/>
      <c r="Y35" s="5">
        <f>COUNTIF(Y3:Y32,"Partial")</f>
        <v>5</v>
      </c>
      <c r="Z35" s="5"/>
      <c r="AA35" s="5">
        <f>COUNTIF(AA3:AA32,"Partial")</f>
        <v>7</v>
      </c>
      <c r="AB35" s="5"/>
      <c r="AC35" s="5">
        <f>COUNTIF(AC3:AC32,"Partial")</f>
        <v>11</v>
      </c>
      <c r="AD35" s="5"/>
      <c r="AE35" s="5">
        <f>COUNTIF(AE3:AE32,"Partial")</f>
        <v>3</v>
      </c>
      <c r="AF35" s="5"/>
      <c r="AG35" s="5">
        <f>COUNTIF(AG3:AG32,"Partial")</f>
        <v>6</v>
      </c>
      <c r="AH35" s="5"/>
      <c r="AI35" s="5">
        <f>COUNTIF(AI3:AI32,"Partial")</f>
        <v>5</v>
      </c>
      <c r="AJ35" s="5"/>
      <c r="AK35" s="5">
        <f>COUNTIF(AK3:AK32,"Partial")</f>
        <v>2</v>
      </c>
      <c r="AL35" s="5"/>
      <c r="AM35" s="5">
        <f>COUNTIF(AM3:AM32,"Partial")</f>
        <v>3</v>
      </c>
      <c r="AN35" s="5"/>
      <c r="AO35" s="5">
        <f>COUNTIF(AO3:AO32,"Partial")</f>
        <v>3</v>
      </c>
      <c r="AP35" s="5"/>
      <c r="AQ35" s="5">
        <f>COUNTIF(AQ3:AQ32,"Partial")</f>
        <v>9</v>
      </c>
      <c r="AR35" s="5"/>
      <c r="AS35" s="5">
        <f>COUNTIF(AS3:AS32,"Partial")</f>
        <v>8</v>
      </c>
      <c r="AT35" s="5"/>
      <c r="AU35" s="5">
        <f>COUNTIF(AU3:AU32,"Partial")</f>
        <v>4</v>
      </c>
      <c r="AV35" s="5"/>
      <c r="AW35" s="5">
        <f>COUNTIF(AW3:AW32,"Partial")</f>
        <v>2</v>
      </c>
      <c r="AX35" s="5"/>
      <c r="AY35" s="5">
        <f>COUNTIF(AY3:AY32,"Partial")</f>
        <v>1</v>
      </c>
      <c r="AZ35" s="5"/>
      <c r="BA35" s="5">
        <f>COUNTIF(BA3:BA32,"Partial")</f>
        <v>4</v>
      </c>
      <c r="BB35" s="5"/>
      <c r="BC35" s="5">
        <f>COUNTIF(BC3:BC32,"Partial")</f>
        <v>2</v>
      </c>
      <c r="BD35" s="5"/>
      <c r="BE35" s="5">
        <f>COUNTIF(BE3:BE32,"Partial")</f>
        <v>3</v>
      </c>
      <c r="BF35" s="5"/>
      <c r="BG35" s="5">
        <f>COUNTIF(BG3:BG32,"Partial")</f>
        <v>6</v>
      </c>
      <c r="BH35" s="5"/>
      <c r="BI35" s="5">
        <f>COUNTIF(BI3:BI32,"Partial")</f>
        <v>9</v>
      </c>
      <c r="BJ35" s="5"/>
      <c r="BK35" s="5"/>
      <c r="BL35" s="5"/>
      <c r="BM35" s="5"/>
      <c r="BN35" s="5"/>
      <c r="BO35" s="5"/>
      <c r="BP35" s="5"/>
      <c r="BQ35" s="5"/>
      <c r="BR35" s="5"/>
    </row>
    <row r="72" spans="27:27">
      <c r="AA72"/>
    </row>
  </sheetData>
  <mergeCells count="41">
    <mergeCell ref="A1:A2"/>
    <mergeCell ref="B1:B2"/>
    <mergeCell ref="C1:C2"/>
    <mergeCell ref="D1:E1"/>
    <mergeCell ref="F1:G1"/>
    <mergeCell ref="H1:I1"/>
    <mergeCell ref="J1:K1"/>
    <mergeCell ref="L1:M1"/>
    <mergeCell ref="N1:O1"/>
    <mergeCell ref="P1:Q1"/>
    <mergeCell ref="AE1:AF1"/>
    <mergeCell ref="AG1:AH1"/>
    <mergeCell ref="AI1:AJ1"/>
    <mergeCell ref="AK1:AL1"/>
    <mergeCell ref="S1:T1"/>
    <mergeCell ref="U1:V1"/>
    <mergeCell ref="W1:X1"/>
    <mergeCell ref="Y1:Z1"/>
    <mergeCell ref="AA1:AB1"/>
    <mergeCell ref="BG1:BH1"/>
    <mergeCell ref="BI1:BJ1"/>
    <mergeCell ref="A3:A4"/>
    <mergeCell ref="A5:A6"/>
    <mergeCell ref="A7:A11"/>
    <mergeCell ref="AW1:AX1"/>
    <mergeCell ref="AY1:AZ1"/>
    <mergeCell ref="BA1:BB1"/>
    <mergeCell ref="BC1:BD1"/>
    <mergeCell ref="BE1:BF1"/>
    <mergeCell ref="AM1:AN1"/>
    <mergeCell ref="AO1:AP1"/>
    <mergeCell ref="AQ1:AR1"/>
    <mergeCell ref="AS1:AT1"/>
    <mergeCell ref="AU1:AV1"/>
    <mergeCell ref="AC1:AD1"/>
    <mergeCell ref="A33:B33"/>
    <mergeCell ref="A12:A19"/>
    <mergeCell ref="A20:A21"/>
    <mergeCell ref="A23:A25"/>
    <mergeCell ref="A27:A29"/>
    <mergeCell ref="A30:A32"/>
  </mergeCells>
  <conditionalFormatting sqref="D3:D32 F3:F32 H3:H32 J3:J32 L3:L32 N3:N32 P3:P32 S3:S32 U3:U32 W3:W32 Y3:Y32 AA3:AA32 AC3:AC32 AE3:AE32 AG3:AG32 AI3:AI32 AK3:AK32 AM3:AM32 AO3:AO32 AQ3:AQ32 AS3:AS32 AU3:AU32 AW3:AW32 AY3:AY32 BA3:BA32 BC3:BC32 BE3:BE32 BG3:BG32 BI3:BI32">
    <cfRule type="containsText" dxfId="232" priority="10" operator="containsText" text="Partial">
      <formula>NOT(ISERROR(SEARCH("Partial",D3)))</formula>
    </cfRule>
    <cfRule type="containsText" dxfId="231" priority="11" operator="containsText" text="No">
      <formula>NOT(ISERROR(SEARCH("No",D3)))</formula>
    </cfRule>
    <cfRule type="containsText" dxfId="230" priority="12" operator="containsText" text="Yes">
      <formula>NOT(ISERROR(SEARCH("Yes",D3)))</formula>
    </cfRule>
  </conditionalFormatting>
  <conditionalFormatting sqref="BL3:BL3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P3:BP3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M3:BM32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N3:BN32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Q3:BQ32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BR3:BR32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dataValidations count="2">
    <dataValidation type="list" operator="equal" allowBlank="1" showInputMessage="1" showErrorMessage="1" sqref="D3:D32 H3:H32 F3:F32 L3:L32 N3:N32 P3:P32 S3:S32 U3:U32 W3:W32 Y3:Y32 AA3:AA32 AC3:AC32 AE3:AE32 AG3:AG32 AI3:AI32 AK3:AK32 AM3:AM32 AO3:AO32 AQ3:AQ32 AS3:AS32 AU3:AU32 AW3:AW32 AY3:AY32 BA3:BA32 BG12:BG14 BI12:BI14 BG18 BI18 J3:J32" xr:uid="{00000000-0002-0000-0900-000000000000}">
      <formula1>"Yes,No,Partial"</formula1>
      <formula2>0</formula2>
    </dataValidation>
    <dataValidation type="list" operator="equal" allowBlank="1" showInputMessage="1" showErrorMessage="1" sqref="BC3:BC32 BE3:BE32 BG3:BG11 BI3:BI11 BG15:BG17 BI15:BI17 BI19:BI32 BG19:BG32" xr:uid="{00000000-0002-0000-0900-000001000000}">
      <formula1>"Yes;No;Partial"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73"/>
  <sheetViews>
    <sheetView zoomScale="85" zoomScaleNormal="85" workbookViewId="0">
      <selection activeCell="E36" sqref="E36:F3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1127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1132</v>
      </c>
      <c r="C2" t="s">
        <v>1133</v>
      </c>
      <c r="D2" t="s">
        <v>196</v>
      </c>
      <c r="E2" t="s">
        <v>191</v>
      </c>
    </row>
    <row r="3" spans="1:8" ht="15" customHeight="1">
      <c r="A3" s="49"/>
      <c r="B3" t="s">
        <v>1134</v>
      </c>
      <c r="C3" t="s">
        <v>1135</v>
      </c>
      <c r="D3" t="s">
        <v>196</v>
      </c>
      <c r="E3" t="s">
        <v>191</v>
      </c>
      <c r="H3" t="s">
        <v>1136</v>
      </c>
    </row>
    <row r="4" spans="1:8" ht="16.350000000000001" customHeight="1">
      <c r="A4" s="49" t="s">
        <v>513</v>
      </c>
      <c r="B4" t="s">
        <v>1137</v>
      </c>
      <c r="C4" t="s">
        <v>1138</v>
      </c>
      <c r="D4" t="s">
        <v>196</v>
      </c>
      <c r="E4" t="s">
        <v>199</v>
      </c>
      <c r="H4" t="s">
        <v>1139</v>
      </c>
    </row>
    <row r="5" spans="1:8">
      <c r="A5" s="49"/>
      <c r="B5" t="s">
        <v>1140</v>
      </c>
      <c r="C5" t="s">
        <v>1141</v>
      </c>
      <c r="D5" t="s">
        <v>196</v>
      </c>
      <c r="E5" t="s">
        <v>199</v>
      </c>
    </row>
    <row r="6" spans="1:8">
      <c r="A6" s="49"/>
      <c r="B6" t="s">
        <v>517</v>
      </c>
      <c r="C6" t="s">
        <v>516</v>
      </c>
      <c r="D6" t="s">
        <v>193</v>
      </c>
      <c r="F6" t="s">
        <v>193</v>
      </c>
    </row>
    <row r="7" spans="1:8" ht="15" customHeight="1">
      <c r="A7" s="49" t="s">
        <v>519</v>
      </c>
      <c r="B7" t="s">
        <v>789</v>
      </c>
      <c r="C7" t="s">
        <v>1142</v>
      </c>
      <c r="D7" t="s">
        <v>196</v>
      </c>
      <c r="E7" t="s">
        <v>202</v>
      </c>
    </row>
    <row r="8" spans="1:8" ht="15" customHeight="1">
      <c r="A8" s="49"/>
      <c r="B8" t="s">
        <v>815</v>
      </c>
      <c r="C8" t="s">
        <v>1143</v>
      </c>
      <c r="D8" t="s">
        <v>196</v>
      </c>
      <c r="E8" t="s">
        <v>1144</v>
      </c>
    </row>
    <row r="9" spans="1:8" ht="15" customHeight="1">
      <c r="A9" s="49"/>
      <c r="B9" t="s">
        <v>1145</v>
      </c>
      <c r="C9" t="s">
        <v>1146</v>
      </c>
      <c r="D9" t="s">
        <v>193</v>
      </c>
      <c r="F9" t="s">
        <v>196</v>
      </c>
      <c r="G9" t="s">
        <v>112</v>
      </c>
      <c r="H9" t="s">
        <v>1147</v>
      </c>
    </row>
    <row r="10" spans="1:8" ht="16.350000000000001" customHeight="1">
      <c r="A10" s="49" t="s">
        <v>536</v>
      </c>
      <c r="B10" t="s">
        <v>871</v>
      </c>
      <c r="C10" t="s">
        <v>1148</v>
      </c>
      <c r="D10" t="s">
        <v>196</v>
      </c>
      <c r="E10" t="s">
        <v>1149</v>
      </c>
    </row>
    <row r="11" spans="1:8">
      <c r="A11" s="49"/>
      <c r="B11" t="s">
        <v>1150</v>
      </c>
      <c r="C11" t="s">
        <v>1151</v>
      </c>
      <c r="D11" t="s">
        <v>196</v>
      </c>
      <c r="E11" t="s">
        <v>1149</v>
      </c>
    </row>
    <row r="12" spans="1:8">
      <c r="A12" s="49"/>
      <c r="B12" t="s">
        <v>546</v>
      </c>
      <c r="C12" t="s">
        <v>545</v>
      </c>
      <c r="D12" t="s">
        <v>193</v>
      </c>
      <c r="F12" t="s">
        <v>193</v>
      </c>
      <c r="H12" t="s">
        <v>1152</v>
      </c>
    </row>
    <row r="13" spans="1:8">
      <c r="A13" s="49"/>
      <c r="B13" t="s">
        <v>548</v>
      </c>
      <c r="C13" t="s">
        <v>547</v>
      </c>
      <c r="D13" t="s">
        <v>193</v>
      </c>
      <c r="F13" t="s">
        <v>193</v>
      </c>
    </row>
    <row r="14" spans="1:8">
      <c r="A14" s="49"/>
      <c r="B14" t="s">
        <v>557</v>
      </c>
      <c r="C14" t="s">
        <v>556</v>
      </c>
      <c r="D14" t="s">
        <v>193</v>
      </c>
      <c r="F14" t="s">
        <v>193</v>
      </c>
    </row>
    <row r="15" spans="1:8">
      <c r="A15" s="49"/>
      <c r="B15" t="s">
        <v>560</v>
      </c>
      <c r="C15" t="s">
        <v>559</v>
      </c>
      <c r="D15" t="s">
        <v>193</v>
      </c>
      <c r="F15" t="s">
        <v>193</v>
      </c>
    </row>
    <row r="16" spans="1:8" ht="16.350000000000001" customHeight="1">
      <c r="A16" s="49" t="s">
        <v>589</v>
      </c>
      <c r="B16" t="s">
        <v>1153</v>
      </c>
      <c r="C16" t="s">
        <v>1154</v>
      </c>
      <c r="D16" t="s">
        <v>196</v>
      </c>
      <c r="E16" t="s">
        <v>1155</v>
      </c>
    </row>
    <row r="17" spans="1:8">
      <c r="A17" s="49"/>
      <c r="B17" t="s">
        <v>593</v>
      </c>
      <c r="C17" t="s">
        <v>592</v>
      </c>
      <c r="D17" t="s">
        <v>193</v>
      </c>
      <c r="F17" t="s">
        <v>193</v>
      </c>
    </row>
    <row r="18" spans="1:8">
      <c r="A18" s="49"/>
      <c r="B18" t="s">
        <v>1156</v>
      </c>
      <c r="C18" t="s">
        <v>1157</v>
      </c>
      <c r="D18" t="s">
        <v>196</v>
      </c>
      <c r="E18" t="s">
        <v>226</v>
      </c>
      <c r="H18" t="s">
        <v>1158</v>
      </c>
    </row>
    <row r="19" spans="1:8">
      <c r="A19" s="49"/>
      <c r="B19" t="s">
        <v>1159</v>
      </c>
      <c r="C19" t="s">
        <v>1160</v>
      </c>
      <c r="D19" t="s">
        <v>193</v>
      </c>
      <c r="F19" t="s">
        <v>196</v>
      </c>
      <c r="G19" t="s">
        <v>480</v>
      </c>
      <c r="H19" t="s">
        <v>1161</v>
      </c>
    </row>
    <row r="20" spans="1:8" ht="16.350000000000001" customHeight="1">
      <c r="A20" s="44" t="s">
        <v>613</v>
      </c>
      <c r="B20" t="s">
        <v>924</v>
      </c>
      <c r="C20" t="s">
        <v>1162</v>
      </c>
      <c r="D20" t="s">
        <v>196</v>
      </c>
      <c r="E20" t="s">
        <v>231</v>
      </c>
    </row>
    <row r="21" spans="1:8">
      <c r="A21" s="44"/>
      <c r="B21" t="s">
        <v>616</v>
      </c>
      <c r="C21" t="s">
        <v>615</v>
      </c>
      <c r="D21" t="s">
        <v>193</v>
      </c>
      <c r="F21" t="s">
        <v>193</v>
      </c>
    </row>
    <row r="22" spans="1:8" ht="16.350000000000001" customHeight="1">
      <c r="A22" s="49" t="s">
        <v>625</v>
      </c>
      <c r="B22" t="s">
        <v>951</v>
      </c>
      <c r="C22" t="s">
        <v>1163</v>
      </c>
      <c r="D22" t="s">
        <v>196</v>
      </c>
      <c r="E22" t="s">
        <v>233</v>
      </c>
    </row>
    <row r="23" spans="1:8">
      <c r="A23" s="49"/>
      <c r="B23" t="s">
        <v>630</v>
      </c>
      <c r="C23" t="s">
        <v>629</v>
      </c>
      <c r="D23" t="s">
        <v>193</v>
      </c>
      <c r="F23" t="s">
        <v>193</v>
      </c>
      <c r="H23" t="s">
        <v>1164</v>
      </c>
    </row>
    <row r="24" spans="1:8">
      <c r="A24" s="49"/>
      <c r="B24" t="s">
        <v>633</v>
      </c>
      <c r="C24" t="s">
        <v>632</v>
      </c>
      <c r="D24" t="s">
        <v>193</v>
      </c>
      <c r="F24" t="s">
        <v>193</v>
      </c>
    </row>
    <row r="25" spans="1:8">
      <c r="A25" s="49"/>
      <c r="B25" t="s">
        <v>642</v>
      </c>
      <c r="C25" t="s">
        <v>641</v>
      </c>
      <c r="D25" t="s">
        <v>193</v>
      </c>
      <c r="F25" t="s">
        <v>193</v>
      </c>
    </row>
    <row r="26" spans="1:8" ht="15" customHeight="1">
      <c r="A26" s="44" t="s">
        <v>657</v>
      </c>
      <c r="B26" t="s">
        <v>998</v>
      </c>
      <c r="C26" t="s">
        <v>1165</v>
      </c>
      <c r="D26" t="s">
        <v>196</v>
      </c>
      <c r="E26" t="s">
        <v>240</v>
      </c>
    </row>
    <row r="27" spans="1:8">
      <c r="A27" s="44"/>
      <c r="B27" t="s">
        <v>660</v>
      </c>
      <c r="C27" t="s">
        <v>659</v>
      </c>
      <c r="D27" t="s">
        <v>193</v>
      </c>
      <c r="F27" t="s">
        <v>193</v>
      </c>
      <c r="H27" t="s">
        <v>1166</v>
      </c>
    </row>
    <row r="28" spans="1:8" ht="16.350000000000001" customHeight="1">
      <c r="A28" s="49" t="s">
        <v>667</v>
      </c>
      <c r="B28" t="s">
        <v>1167</v>
      </c>
      <c r="C28" t="s">
        <v>1168</v>
      </c>
      <c r="D28" t="s">
        <v>196</v>
      </c>
      <c r="E28" t="s">
        <v>246</v>
      </c>
    </row>
    <row r="29" spans="1:8">
      <c r="A29" s="49"/>
      <c r="B29" t="s">
        <v>1061</v>
      </c>
      <c r="C29" t="s">
        <v>1169</v>
      </c>
      <c r="D29" t="s">
        <v>196</v>
      </c>
      <c r="E29" t="s">
        <v>247</v>
      </c>
    </row>
    <row r="30" spans="1:8">
      <c r="A30" s="49"/>
      <c r="B30" t="s">
        <v>1053</v>
      </c>
      <c r="C30" t="s">
        <v>1170</v>
      </c>
      <c r="D30" t="s">
        <v>196</v>
      </c>
      <c r="E30" t="s">
        <v>246</v>
      </c>
    </row>
    <row r="31" spans="1:8">
      <c r="A31" s="49"/>
      <c r="B31" t="s">
        <v>672</v>
      </c>
      <c r="C31" t="s">
        <v>1171</v>
      </c>
      <c r="D31" t="s">
        <v>733</v>
      </c>
      <c r="E31" t="s">
        <v>248</v>
      </c>
      <c r="F31" t="s">
        <v>193</v>
      </c>
      <c r="H31" t="s">
        <v>1172</v>
      </c>
    </row>
    <row r="32" spans="1:8" ht="16.350000000000001" customHeight="1">
      <c r="A32" s="49" t="s">
        <v>695</v>
      </c>
      <c r="B32" t="s">
        <v>722</v>
      </c>
      <c r="C32" t="s">
        <v>1173</v>
      </c>
      <c r="D32" t="s">
        <v>733</v>
      </c>
      <c r="E32" t="s">
        <v>254</v>
      </c>
      <c r="F32" t="s">
        <v>193</v>
      </c>
    </row>
    <row r="33" spans="1:6">
      <c r="A33" s="49"/>
      <c r="B33" t="s">
        <v>700</v>
      </c>
      <c r="C33" t="s">
        <v>699</v>
      </c>
      <c r="D33" t="s">
        <v>193</v>
      </c>
      <c r="F33" t="s">
        <v>193</v>
      </c>
    </row>
    <row r="34" spans="1:6">
      <c r="A34" s="49"/>
      <c r="B34" t="s">
        <v>1098</v>
      </c>
      <c r="C34" t="s">
        <v>1174</v>
      </c>
      <c r="D34" t="s">
        <v>196</v>
      </c>
      <c r="E34" t="s">
        <v>351</v>
      </c>
    </row>
    <row r="35" spans="1:6" ht="14.45" customHeight="1">
      <c r="B35" s="16" t="s">
        <v>261</v>
      </c>
      <c r="C35" s="16" t="s">
        <v>193</v>
      </c>
      <c r="D35" s="16">
        <f>COUNTIF(D2:D34,"No")</f>
        <v>14</v>
      </c>
      <c r="E35" s="16" t="s">
        <v>69</v>
      </c>
      <c r="F35" s="16">
        <f>COUNTIF(F2:F34,"Yes")</f>
        <v>2</v>
      </c>
    </row>
    <row r="36" spans="1:6" ht="15">
      <c r="B36" s="6"/>
      <c r="C36" s="16" t="s">
        <v>196</v>
      </c>
      <c r="D36" s="16">
        <f>COUNTIF(D2:D34,"Yes")</f>
        <v>17</v>
      </c>
      <c r="E36" s="16" t="s">
        <v>70</v>
      </c>
      <c r="F36">
        <f>COUNTIFS(D:D,"Partial",F:F,"Yes")</f>
        <v>0</v>
      </c>
    </row>
    <row r="37" spans="1:6" ht="15">
      <c r="B37" s="6"/>
      <c r="C37" s="16" t="s">
        <v>733</v>
      </c>
      <c r="D37" s="16">
        <f>COUNTIF(D2:D34,"Partial")</f>
        <v>2</v>
      </c>
      <c r="E37" s="10" t="s">
        <v>110</v>
      </c>
      <c r="F37">
        <f>COUNTIF($G$2:$G$34,E37)</f>
        <v>0</v>
      </c>
    </row>
    <row r="38" spans="1:6" ht="15">
      <c r="E38" s="10" t="s">
        <v>111</v>
      </c>
      <c r="F38">
        <f t="shared" ref="F38:F41" si="0">COUNTIF($G$2:$G$34,E38)</f>
        <v>0</v>
      </c>
    </row>
    <row r="39" spans="1:6" ht="15">
      <c r="E39" s="10" t="s">
        <v>112</v>
      </c>
      <c r="F39">
        <f t="shared" si="0"/>
        <v>1</v>
      </c>
    </row>
    <row r="40" spans="1:6" ht="15">
      <c r="E40" s="10" t="s">
        <v>480</v>
      </c>
      <c r="F40">
        <f t="shared" si="0"/>
        <v>1</v>
      </c>
    </row>
    <row r="41" spans="1:6" ht="15">
      <c r="E41" s="10" t="s">
        <v>114</v>
      </c>
      <c r="F41">
        <f t="shared" si="0"/>
        <v>0</v>
      </c>
    </row>
    <row r="42" spans="1:6" ht="15"/>
    <row r="43" spans="1:6" ht="15">
      <c r="E43" s="16" t="s">
        <v>1175</v>
      </c>
      <c r="F43" s="16">
        <f>COUNTIF(F2:F34,"No")</f>
        <v>14</v>
      </c>
    </row>
    <row r="73" spans="27:27">
      <c r="AA73" t="s">
        <v>709</v>
      </c>
    </row>
  </sheetData>
  <mergeCells count="10">
    <mergeCell ref="A2:A3"/>
    <mergeCell ref="A4:A6"/>
    <mergeCell ref="A7:A9"/>
    <mergeCell ref="A10:A15"/>
    <mergeCell ref="A16:A19"/>
    <mergeCell ref="A20:A21"/>
    <mergeCell ref="A22:A25"/>
    <mergeCell ref="A26:A27"/>
    <mergeCell ref="A28:A31"/>
    <mergeCell ref="A32:A34"/>
  </mergeCells>
  <conditionalFormatting sqref="D2:D34">
    <cfRule type="containsText" dxfId="229" priority="4" operator="containsText" text="Partial">
      <formula>NOT(ISERROR(SEARCH("Partial",D2)))</formula>
    </cfRule>
    <cfRule type="containsText" dxfId="228" priority="5" operator="containsText" text="No">
      <formula>NOT(ISERROR(SEARCH("No",D2)))</formula>
    </cfRule>
    <cfRule type="containsText" dxfId="227" priority="6" operator="containsText" text="Yes">
      <formula>NOT(ISERROR(SEARCH("Yes",D2)))</formula>
    </cfRule>
  </conditionalFormatting>
  <conditionalFormatting sqref="F2:F34 G2:G108">
    <cfRule type="containsText" dxfId="226" priority="2" operator="containsText" text="No">
      <formula>NOT(ISERROR(SEARCH("No",F2)))</formula>
    </cfRule>
    <cfRule type="containsText" dxfId="225" priority="3" operator="containsText" text="Yes">
      <formula>NOT(ISERROR(SEARCH("Yes",F2)))</formula>
    </cfRule>
  </conditionalFormatting>
  <dataValidations count="3">
    <dataValidation type="list" operator="equal" allowBlank="1" showInputMessage="1" showErrorMessage="1" sqref="D2:D34" xr:uid="{00000000-0002-0000-0A00-000000000000}">
      <formula1>"Yes,No,Partial"</formula1>
      <formula2>0</formula2>
    </dataValidation>
    <dataValidation type="list" operator="equal" allowBlank="1" showInputMessage="1" showErrorMessage="1" sqref="F2:F34" xr:uid="{00000000-0002-0000-0A00-000001000000}">
      <formula1>"Yes,No"</formula1>
      <formula2>0</formula2>
    </dataValidation>
    <dataValidation operator="equal" allowBlank="1" showInputMessage="1" showErrorMessage="1" sqref="G2:G108" xr:uid="{00000000-0002-0000-0A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78"/>
  <sheetViews>
    <sheetView zoomScale="85" zoomScaleNormal="85" workbookViewId="0">
      <selection activeCell="F41" sqref="F4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504</v>
      </c>
      <c r="B1" s="7" t="s">
        <v>1176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1177</v>
      </c>
      <c r="C2" t="s">
        <v>1178</v>
      </c>
      <c r="D2" t="s">
        <v>196</v>
      </c>
      <c r="E2" t="s">
        <v>191</v>
      </c>
    </row>
    <row r="3" spans="1:8" ht="15" customHeight="1">
      <c r="A3" s="49"/>
      <c r="B3" t="s">
        <v>1179</v>
      </c>
      <c r="C3" t="s">
        <v>1180</v>
      </c>
      <c r="D3" t="s">
        <v>196</v>
      </c>
      <c r="E3" t="s">
        <v>191</v>
      </c>
    </row>
    <row r="4" spans="1:8" ht="16.350000000000001" customHeight="1">
      <c r="A4" s="49" t="s">
        <v>513</v>
      </c>
      <c r="B4" t="s">
        <v>1181</v>
      </c>
      <c r="C4" t="s">
        <v>1182</v>
      </c>
      <c r="D4" t="s">
        <v>193</v>
      </c>
      <c r="F4" t="s">
        <v>196</v>
      </c>
      <c r="G4" t="s">
        <v>112</v>
      </c>
    </row>
    <row r="5" spans="1:8">
      <c r="A5" s="49"/>
      <c r="B5" t="s">
        <v>765</v>
      </c>
      <c r="C5" t="s">
        <v>1183</v>
      </c>
      <c r="D5" t="s">
        <v>196</v>
      </c>
      <c r="E5" t="s">
        <v>199</v>
      </c>
    </row>
    <row r="6" spans="1:8">
      <c r="A6" s="49"/>
      <c r="B6" t="s">
        <v>282</v>
      </c>
      <c r="C6" t="s">
        <v>1184</v>
      </c>
      <c r="D6" t="s">
        <v>193</v>
      </c>
      <c r="F6" t="s">
        <v>196</v>
      </c>
      <c r="G6" t="s">
        <v>112</v>
      </c>
    </row>
    <row r="7" spans="1:8" ht="15" customHeight="1">
      <c r="A7" s="49" t="s">
        <v>519</v>
      </c>
      <c r="B7" t="s">
        <v>790</v>
      </c>
      <c r="C7" t="s">
        <v>1142</v>
      </c>
      <c r="D7" t="s">
        <v>196</v>
      </c>
      <c r="E7" s="3" t="s">
        <v>202</v>
      </c>
    </row>
    <row r="8" spans="1:8" ht="15" customHeight="1">
      <c r="A8" s="49"/>
      <c r="B8" t="s">
        <v>1185</v>
      </c>
      <c r="C8" t="s">
        <v>1186</v>
      </c>
      <c r="D8" t="s">
        <v>193</v>
      </c>
      <c r="F8" t="s">
        <v>196</v>
      </c>
      <c r="G8" t="s">
        <v>112</v>
      </c>
    </row>
    <row r="9" spans="1:8" ht="15" customHeight="1">
      <c r="A9" s="49"/>
      <c r="B9" t="s">
        <v>824</v>
      </c>
      <c r="C9" t="s">
        <v>1187</v>
      </c>
      <c r="D9" t="s">
        <v>196</v>
      </c>
      <c r="E9" s="3" t="s">
        <v>204</v>
      </c>
    </row>
    <row r="10" spans="1:8" ht="15" customHeight="1">
      <c r="A10" s="49"/>
      <c r="B10" t="s">
        <v>830</v>
      </c>
      <c r="C10" t="s">
        <v>1188</v>
      </c>
      <c r="D10" t="s">
        <v>196</v>
      </c>
      <c r="E10" s="3" t="s">
        <v>205</v>
      </c>
    </row>
    <row r="11" spans="1:8" ht="15" customHeight="1">
      <c r="A11" s="49"/>
      <c r="B11" t="s">
        <v>816</v>
      </c>
      <c r="C11" t="s">
        <v>1189</v>
      </c>
      <c r="D11" t="s">
        <v>196</v>
      </c>
      <c r="E11" s="3" t="s">
        <v>203</v>
      </c>
    </row>
    <row r="12" spans="1:8" ht="16.350000000000001" customHeight="1">
      <c r="A12" s="49" t="s">
        <v>536</v>
      </c>
      <c r="B12" t="s">
        <v>861</v>
      </c>
      <c r="C12" t="s">
        <v>1190</v>
      </c>
      <c r="D12" t="s">
        <v>196</v>
      </c>
      <c r="E12" t="s">
        <v>1191</v>
      </c>
    </row>
    <row r="13" spans="1:8">
      <c r="A13" s="49"/>
      <c r="B13" t="s">
        <v>1192</v>
      </c>
      <c r="C13" t="s">
        <v>1193</v>
      </c>
      <c r="D13" t="s">
        <v>196</v>
      </c>
      <c r="E13" t="s">
        <v>1194</v>
      </c>
    </row>
    <row r="14" spans="1:8">
      <c r="A14" s="49"/>
      <c r="B14" t="s">
        <v>1195</v>
      </c>
      <c r="C14" t="s">
        <v>1196</v>
      </c>
      <c r="D14" t="s">
        <v>196</v>
      </c>
      <c r="E14" t="s">
        <v>1194</v>
      </c>
    </row>
    <row r="15" spans="1:8">
      <c r="A15" s="49"/>
      <c r="B15" t="s">
        <v>1197</v>
      </c>
      <c r="C15" t="s">
        <v>1198</v>
      </c>
      <c r="D15" t="s">
        <v>196</v>
      </c>
      <c r="E15" t="s">
        <v>1194</v>
      </c>
    </row>
    <row r="16" spans="1:8" ht="16.350000000000001" customHeight="1">
      <c r="A16" s="49" t="s">
        <v>589</v>
      </c>
      <c r="B16" t="s">
        <v>594</v>
      </c>
      <c r="C16" t="s">
        <v>1199</v>
      </c>
      <c r="D16" t="s">
        <v>733</v>
      </c>
      <c r="E16" t="s">
        <v>226</v>
      </c>
      <c r="F16" t="s">
        <v>193</v>
      </c>
    </row>
    <row r="17" spans="1:7">
      <c r="A17" s="49"/>
      <c r="B17" t="s">
        <v>1200</v>
      </c>
      <c r="C17" t="s">
        <v>1201</v>
      </c>
      <c r="D17" t="s">
        <v>196</v>
      </c>
      <c r="E17" t="s">
        <v>226</v>
      </c>
    </row>
    <row r="18" spans="1:7">
      <c r="A18" s="49"/>
      <c r="B18" t="s">
        <v>1202</v>
      </c>
      <c r="C18" t="s">
        <v>1203</v>
      </c>
      <c r="D18" t="s">
        <v>196</v>
      </c>
      <c r="E18" t="s">
        <v>226</v>
      </c>
    </row>
    <row r="19" spans="1:7">
      <c r="A19" s="49"/>
      <c r="B19" t="s">
        <v>920</v>
      </c>
      <c r="C19" t="s">
        <v>1204</v>
      </c>
      <c r="D19" t="s">
        <v>196</v>
      </c>
      <c r="E19" t="s">
        <v>288</v>
      </c>
    </row>
    <row r="20" spans="1:7">
      <c r="A20" s="49"/>
      <c r="B20" t="s">
        <v>1205</v>
      </c>
      <c r="C20" t="s">
        <v>1206</v>
      </c>
      <c r="D20" t="s">
        <v>196</v>
      </c>
      <c r="E20" t="s">
        <v>226</v>
      </c>
    </row>
    <row r="21" spans="1:7" ht="16.350000000000001" customHeight="1">
      <c r="A21" s="44" t="s">
        <v>613</v>
      </c>
      <c r="B21" t="s">
        <v>925</v>
      </c>
      <c r="C21" t="s">
        <v>1207</v>
      </c>
      <c r="D21" t="s">
        <v>733</v>
      </c>
      <c r="E21" t="s">
        <v>231</v>
      </c>
      <c r="F21" t="s">
        <v>193</v>
      </c>
    </row>
    <row r="22" spans="1:7">
      <c r="A22" s="44"/>
      <c r="B22" t="s">
        <v>291</v>
      </c>
      <c r="C22" t="s">
        <v>1190</v>
      </c>
      <c r="D22" t="s">
        <v>193</v>
      </c>
      <c r="F22" t="s">
        <v>196</v>
      </c>
      <c r="G22" t="s">
        <v>110</v>
      </c>
    </row>
    <row r="23" spans="1:7" ht="16.350000000000001" customHeight="1">
      <c r="A23" s="49" t="s">
        <v>625</v>
      </c>
      <c r="B23" t="s">
        <v>1208</v>
      </c>
      <c r="C23" t="s">
        <v>1209</v>
      </c>
      <c r="D23" t="s">
        <v>196</v>
      </c>
      <c r="E23" t="s">
        <v>233</v>
      </c>
    </row>
    <row r="24" spans="1:7" ht="13.9" customHeight="1">
      <c r="A24" s="49"/>
      <c r="B24" t="s">
        <v>293</v>
      </c>
      <c r="C24" t="s">
        <v>1210</v>
      </c>
      <c r="D24" t="s">
        <v>193</v>
      </c>
      <c r="F24" t="s">
        <v>196</v>
      </c>
      <c r="G24" t="s">
        <v>110</v>
      </c>
    </row>
    <row r="25" spans="1:7" ht="13.9" customHeight="1">
      <c r="A25" s="49"/>
      <c r="B25" t="s">
        <v>1211</v>
      </c>
      <c r="C25" t="s">
        <v>1212</v>
      </c>
      <c r="D25" t="s">
        <v>196</v>
      </c>
      <c r="E25" t="s">
        <v>233</v>
      </c>
    </row>
    <row r="26" spans="1:7">
      <c r="A26" s="49"/>
      <c r="B26" t="s">
        <v>1213</v>
      </c>
      <c r="C26" t="s">
        <v>1214</v>
      </c>
      <c r="D26" t="s">
        <v>196</v>
      </c>
      <c r="E26" t="s">
        <v>233</v>
      </c>
    </row>
    <row r="27" spans="1:7">
      <c r="A27" s="49"/>
      <c r="B27" t="s">
        <v>1215</v>
      </c>
      <c r="C27" t="s">
        <v>1216</v>
      </c>
      <c r="D27" t="s">
        <v>196</v>
      </c>
      <c r="E27" t="s">
        <v>233</v>
      </c>
    </row>
    <row r="28" spans="1:7">
      <c r="A28" s="49"/>
      <c r="B28" t="s">
        <v>979</v>
      </c>
      <c r="C28" t="s">
        <v>1217</v>
      </c>
      <c r="D28" t="s">
        <v>196</v>
      </c>
      <c r="E28" t="s">
        <v>234</v>
      </c>
    </row>
    <row r="29" spans="1:7" ht="15" customHeight="1">
      <c r="A29" s="3" t="s">
        <v>657</v>
      </c>
      <c r="B29" t="s">
        <v>999</v>
      </c>
      <c r="C29" t="s">
        <v>1218</v>
      </c>
      <c r="D29" t="s">
        <v>733</v>
      </c>
      <c r="E29" t="s">
        <v>240</v>
      </c>
      <c r="F29" t="s">
        <v>193</v>
      </c>
    </row>
    <row r="30" spans="1:7" ht="16.350000000000001" customHeight="1">
      <c r="A30" s="49" t="s">
        <v>667</v>
      </c>
      <c r="B30" t="s">
        <v>673</v>
      </c>
      <c r="C30" t="s">
        <v>1219</v>
      </c>
      <c r="D30" t="s">
        <v>733</v>
      </c>
      <c r="E30" t="s">
        <v>1220</v>
      </c>
      <c r="F30" t="s">
        <v>193</v>
      </c>
    </row>
    <row r="31" spans="1:7">
      <c r="A31" s="49"/>
      <c r="B31" t="s">
        <v>1055</v>
      </c>
      <c r="C31" t="s">
        <v>1221</v>
      </c>
      <c r="D31" t="s">
        <v>196</v>
      </c>
      <c r="E31" t="s">
        <v>247</v>
      </c>
    </row>
    <row r="32" spans="1:7">
      <c r="A32" s="49"/>
      <c r="B32" t="s">
        <v>692</v>
      </c>
      <c r="C32" t="s">
        <v>1222</v>
      </c>
      <c r="D32" t="s">
        <v>193</v>
      </c>
      <c r="F32" t="s">
        <v>193</v>
      </c>
    </row>
    <row r="33" spans="1:7">
      <c r="A33" s="49"/>
      <c r="B33" t="s">
        <v>1223</v>
      </c>
      <c r="C33" t="s">
        <v>1224</v>
      </c>
      <c r="D33" t="s">
        <v>196</v>
      </c>
      <c r="E33" t="s">
        <v>1225</v>
      </c>
    </row>
    <row r="34" spans="1:7" ht="16.350000000000001" customHeight="1">
      <c r="A34" s="49" t="s">
        <v>695</v>
      </c>
      <c r="B34" t="s">
        <v>1099</v>
      </c>
      <c r="C34" t="s">
        <v>1226</v>
      </c>
      <c r="D34" t="s">
        <v>733</v>
      </c>
      <c r="E34" t="s">
        <v>253</v>
      </c>
    </row>
    <row r="35" spans="1:7" ht="13.9" customHeight="1">
      <c r="A35" s="49"/>
      <c r="B35" t="s">
        <v>1227</v>
      </c>
      <c r="C35" t="s">
        <v>1228</v>
      </c>
      <c r="D35" t="s">
        <v>193</v>
      </c>
      <c r="F35" t="s">
        <v>193</v>
      </c>
    </row>
    <row r="36" spans="1:7">
      <c r="A36" s="49"/>
      <c r="B36" t="s">
        <v>702</v>
      </c>
      <c r="C36" t="s">
        <v>1229</v>
      </c>
      <c r="D36" t="s">
        <v>193</v>
      </c>
      <c r="F36" t="s">
        <v>193</v>
      </c>
    </row>
    <row r="37" spans="1:7">
      <c r="A37" s="49"/>
      <c r="B37" t="s">
        <v>1230</v>
      </c>
      <c r="C37" t="s">
        <v>1231</v>
      </c>
      <c r="D37" t="s">
        <v>193</v>
      </c>
      <c r="F37" t="s">
        <v>193</v>
      </c>
    </row>
    <row r="38" spans="1:7">
      <c r="A38" s="49"/>
      <c r="B38" t="s">
        <v>1232</v>
      </c>
      <c r="C38" t="s">
        <v>1233</v>
      </c>
      <c r="D38" t="s">
        <v>193</v>
      </c>
      <c r="F38" t="s">
        <v>193</v>
      </c>
    </row>
    <row r="39" spans="1:7">
      <c r="A39" s="49"/>
      <c r="B39" t="s">
        <v>1234</v>
      </c>
      <c r="C39" t="s">
        <v>1235</v>
      </c>
      <c r="D39" t="s">
        <v>193</v>
      </c>
      <c r="F39" t="s">
        <v>193</v>
      </c>
    </row>
    <row r="40" spans="1:7" ht="14.45" customHeight="1">
      <c r="B40" s="16" t="s">
        <v>261</v>
      </c>
      <c r="C40" s="16" t="s">
        <v>193</v>
      </c>
      <c r="D40" s="16">
        <f>COUNTIF(D2:D39,"No")</f>
        <v>11</v>
      </c>
      <c r="E40" s="16" t="s">
        <v>69</v>
      </c>
      <c r="F40" s="16">
        <f>COUNTIF(F2:F39,"Yes")</f>
        <v>5</v>
      </c>
    </row>
    <row r="41" spans="1:7" ht="14.45" customHeight="1">
      <c r="B41" s="6"/>
      <c r="C41" s="16" t="s">
        <v>196</v>
      </c>
      <c r="D41" s="16">
        <f>COUNTIF(D2:D39,"Yes")</f>
        <v>22</v>
      </c>
      <c r="E41" s="16" t="s">
        <v>70</v>
      </c>
      <c r="F41">
        <f>COUNTIFS(D:D,"Partial",F:F,"Yes")</f>
        <v>0</v>
      </c>
    </row>
    <row r="42" spans="1:7" ht="14.45" customHeight="1">
      <c r="B42" s="6"/>
      <c r="C42" s="16" t="s">
        <v>733</v>
      </c>
      <c r="D42" s="16">
        <f>COUNTIF(D2:D39,"Partial")</f>
        <v>5</v>
      </c>
      <c r="E42" s="10" t="s">
        <v>110</v>
      </c>
      <c r="F42">
        <f>COUNTIF($G$2:$G$39,E42)</f>
        <v>2</v>
      </c>
    </row>
    <row r="43" spans="1:7" ht="15">
      <c r="E43" s="10" t="s">
        <v>111</v>
      </c>
      <c r="F43">
        <f t="shared" ref="F43:F46" si="0">COUNTIF($G$2:$G$39,E43)</f>
        <v>0</v>
      </c>
    </row>
    <row r="44" spans="1:7" ht="15">
      <c r="E44" s="10" t="s">
        <v>112</v>
      </c>
      <c r="F44">
        <f t="shared" si="0"/>
        <v>3</v>
      </c>
      <c r="G44" s="26"/>
    </row>
    <row r="45" spans="1:7" ht="15">
      <c r="E45" s="10" t="s">
        <v>480</v>
      </c>
      <c r="F45">
        <f t="shared" si="0"/>
        <v>0</v>
      </c>
    </row>
    <row r="46" spans="1:7" ht="15">
      <c r="E46" s="10" t="s">
        <v>114</v>
      </c>
      <c r="F46">
        <f t="shared" si="0"/>
        <v>0</v>
      </c>
    </row>
    <row r="47" spans="1:7" ht="15"/>
    <row r="48" spans="1:7" ht="15">
      <c r="E48" s="16" t="s">
        <v>1175</v>
      </c>
      <c r="F48" s="16">
        <f>COUNTIF(F2:F39,"No")</f>
        <v>10</v>
      </c>
    </row>
    <row r="78" spans="27:27">
      <c r="AA78" t="s">
        <v>709</v>
      </c>
    </row>
  </sheetData>
  <mergeCells count="9">
    <mergeCell ref="A23:A28"/>
    <mergeCell ref="A34:A39"/>
    <mergeCell ref="A21:A22"/>
    <mergeCell ref="A30:A33"/>
    <mergeCell ref="A2:A3"/>
    <mergeCell ref="A4:A6"/>
    <mergeCell ref="A12:A15"/>
    <mergeCell ref="A16:A20"/>
    <mergeCell ref="A7:A11"/>
  </mergeCells>
  <conditionalFormatting sqref="D2:D39">
    <cfRule type="containsText" dxfId="224" priority="1" operator="containsText" text="Partial">
      <formula>NOT(ISERROR(SEARCH("Partial",D2)))</formula>
    </cfRule>
    <cfRule type="containsText" dxfId="223" priority="2" operator="containsText" text="No">
      <formula>NOT(ISERROR(SEARCH("No",D2)))</formula>
    </cfRule>
    <cfRule type="containsText" dxfId="222" priority="3" operator="containsText" text="Yes">
      <formula>NOT(ISERROR(SEARCH("Yes",D2)))</formula>
    </cfRule>
  </conditionalFormatting>
  <conditionalFormatting sqref="F2:G39">
    <cfRule type="containsText" dxfId="221" priority="7" operator="containsText" text="No">
      <formula>NOT(ISERROR(SEARCH("No",F2)))</formula>
    </cfRule>
    <cfRule type="containsText" dxfId="220" priority="8" operator="containsText" text="Yes">
      <formula>NOT(ISERROR(SEARCH("Yes",F2)))</formula>
    </cfRule>
  </conditionalFormatting>
  <conditionalFormatting sqref="G40:G113">
    <cfRule type="containsText" dxfId="219" priority="27" operator="containsText" text="No">
      <formula>NOT(ISERROR(SEARCH("No",G40)))</formula>
    </cfRule>
    <cfRule type="containsText" dxfId="218" priority="28" operator="containsText" text="Yes">
      <formula>NOT(ISERROR(SEARCH("Yes",G40)))</formula>
    </cfRule>
  </conditionalFormatting>
  <dataValidations count="3">
    <dataValidation type="list" operator="equal" allowBlank="1" showInputMessage="1" showErrorMessage="1" sqref="D2:D39" xr:uid="{00000000-0002-0000-0B00-000000000000}">
      <formula1>"Yes,No,Partial"</formula1>
      <formula2>0</formula2>
    </dataValidation>
    <dataValidation type="list" operator="equal" allowBlank="1" showInputMessage="1" showErrorMessage="1" sqref="F2:F39" xr:uid="{00000000-0002-0000-0B00-000001000000}">
      <formula1>"Yes,No"</formula1>
      <formula2>0</formula2>
    </dataValidation>
    <dataValidation operator="equal" allowBlank="1" showInputMessage="1" showErrorMessage="1" sqref="G2:G113" xr:uid="{00000000-0002-0000-0B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82"/>
  <sheetViews>
    <sheetView zoomScale="85" zoomScaleNormal="85" workbookViewId="0">
      <selection activeCell="E45" sqref="E45:F45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504</v>
      </c>
      <c r="B1" s="7" t="s">
        <v>1236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1237</v>
      </c>
      <c r="C2" t="s">
        <v>1238</v>
      </c>
      <c r="D2" t="s">
        <v>196</v>
      </c>
      <c r="E2" t="s">
        <v>191</v>
      </c>
    </row>
    <row r="3" spans="1:8" ht="15" customHeight="1">
      <c r="A3" s="49"/>
      <c r="B3" t="s">
        <v>1239</v>
      </c>
      <c r="C3" t="s">
        <v>1240</v>
      </c>
      <c r="D3" t="s">
        <v>196</v>
      </c>
      <c r="E3" t="s">
        <v>191</v>
      </c>
    </row>
    <row r="4" spans="1:8" ht="16.350000000000001" customHeight="1">
      <c r="A4" s="49" t="s">
        <v>513</v>
      </c>
      <c r="B4" t="s">
        <v>1241</v>
      </c>
      <c r="C4" t="s">
        <v>1242</v>
      </c>
      <c r="D4" t="s">
        <v>196</v>
      </c>
      <c r="E4" t="s">
        <v>199</v>
      </c>
    </row>
    <row r="5" spans="1:8" ht="13.9" customHeight="1">
      <c r="A5" s="49"/>
      <c r="B5" t="s">
        <v>1243</v>
      </c>
      <c r="C5" t="s">
        <v>1244</v>
      </c>
      <c r="D5" t="s">
        <v>193</v>
      </c>
      <c r="F5" t="s">
        <v>196</v>
      </c>
      <c r="G5" t="s">
        <v>112</v>
      </c>
    </row>
    <row r="6" spans="1:8" ht="13.9" customHeight="1">
      <c r="A6" s="49"/>
      <c r="B6" t="s">
        <v>788</v>
      </c>
      <c r="C6" t="s">
        <v>1245</v>
      </c>
      <c r="D6" t="s">
        <v>196</v>
      </c>
      <c r="E6" t="s">
        <v>279</v>
      </c>
    </row>
    <row r="7" spans="1:8">
      <c r="A7" s="49"/>
      <c r="B7" t="s">
        <v>1246</v>
      </c>
      <c r="C7" t="s">
        <v>1247</v>
      </c>
      <c r="D7" t="s">
        <v>196</v>
      </c>
      <c r="E7" t="s">
        <v>199</v>
      </c>
    </row>
    <row r="8" spans="1:8">
      <c r="A8" s="49"/>
      <c r="B8" t="s">
        <v>283</v>
      </c>
      <c r="C8" t="s">
        <v>1248</v>
      </c>
      <c r="D8" t="s">
        <v>193</v>
      </c>
      <c r="F8" t="s">
        <v>196</v>
      </c>
      <c r="G8" t="s">
        <v>112</v>
      </c>
    </row>
    <row r="9" spans="1:8">
      <c r="A9" s="49"/>
      <c r="B9" t="s">
        <v>1249</v>
      </c>
      <c r="C9" t="s">
        <v>1250</v>
      </c>
      <c r="D9" t="s">
        <v>196</v>
      </c>
      <c r="E9" t="s">
        <v>199</v>
      </c>
    </row>
    <row r="10" spans="1:8">
      <c r="A10" s="49"/>
      <c r="B10" t="s">
        <v>1251</v>
      </c>
      <c r="C10" t="s">
        <v>1252</v>
      </c>
      <c r="D10" t="s">
        <v>196</v>
      </c>
      <c r="E10" t="s">
        <v>199</v>
      </c>
    </row>
    <row r="11" spans="1:8">
      <c r="A11" s="49"/>
      <c r="B11" t="s">
        <v>1253</v>
      </c>
      <c r="C11" t="s">
        <v>1254</v>
      </c>
      <c r="D11" t="s">
        <v>196</v>
      </c>
      <c r="E11" t="s">
        <v>199</v>
      </c>
    </row>
    <row r="12" spans="1:8" ht="15" customHeight="1">
      <c r="A12" s="49" t="s">
        <v>519</v>
      </c>
      <c r="B12" t="s">
        <v>1255</v>
      </c>
      <c r="C12" t="s">
        <v>1142</v>
      </c>
      <c r="D12" t="s">
        <v>196</v>
      </c>
      <c r="E12" t="s">
        <v>202</v>
      </c>
    </row>
    <row r="13" spans="1:8" ht="15" customHeight="1">
      <c r="A13" s="49"/>
      <c r="B13" t="s">
        <v>1256</v>
      </c>
      <c r="C13" t="s">
        <v>1257</v>
      </c>
      <c r="D13" t="s">
        <v>196</v>
      </c>
      <c r="E13" t="s">
        <v>202</v>
      </c>
    </row>
    <row r="14" spans="1:8" ht="15" customHeight="1">
      <c r="A14" s="49"/>
      <c r="B14" t="s">
        <v>817</v>
      </c>
      <c r="C14" t="s">
        <v>1258</v>
      </c>
      <c r="D14" t="s">
        <v>196</v>
      </c>
      <c r="E14" t="s">
        <v>1144</v>
      </c>
    </row>
    <row r="15" spans="1:8" ht="16.350000000000001" customHeight="1">
      <c r="A15" s="49" t="s">
        <v>536</v>
      </c>
      <c r="B15" t="s">
        <v>862</v>
      </c>
      <c r="C15" t="s">
        <v>1259</v>
      </c>
      <c r="D15" t="s">
        <v>196</v>
      </c>
      <c r="E15" t="s">
        <v>1191</v>
      </c>
    </row>
    <row r="16" spans="1:8">
      <c r="A16" s="49"/>
      <c r="B16" t="s">
        <v>1260</v>
      </c>
      <c r="C16" t="s">
        <v>1261</v>
      </c>
      <c r="D16" t="s">
        <v>196</v>
      </c>
      <c r="E16" t="s">
        <v>1194</v>
      </c>
    </row>
    <row r="17" spans="1:7" ht="16.350000000000001" customHeight="1">
      <c r="A17" s="49" t="s">
        <v>589</v>
      </c>
      <c r="B17" t="s">
        <v>595</v>
      </c>
      <c r="C17" t="s">
        <v>1262</v>
      </c>
      <c r="D17" t="s">
        <v>733</v>
      </c>
      <c r="E17" t="s">
        <v>226</v>
      </c>
      <c r="F17" t="s">
        <v>193</v>
      </c>
    </row>
    <row r="18" spans="1:7">
      <c r="A18" s="49"/>
      <c r="B18" t="s">
        <v>1263</v>
      </c>
      <c r="C18" t="s">
        <v>1264</v>
      </c>
      <c r="D18" t="s">
        <v>196</v>
      </c>
      <c r="E18" t="s">
        <v>226</v>
      </c>
    </row>
    <row r="19" spans="1:7">
      <c r="A19" s="49"/>
      <c r="B19" t="s">
        <v>921</v>
      </c>
      <c r="C19" t="s">
        <v>1199</v>
      </c>
      <c r="D19" t="s">
        <v>196</v>
      </c>
      <c r="E19" t="s">
        <v>288</v>
      </c>
    </row>
    <row r="20" spans="1:7" ht="16.350000000000001" customHeight="1">
      <c r="A20" s="44" t="s">
        <v>613</v>
      </c>
      <c r="B20" t="s">
        <v>1265</v>
      </c>
      <c r="C20" t="s">
        <v>1266</v>
      </c>
      <c r="D20" t="s">
        <v>733</v>
      </c>
      <c r="E20" t="s">
        <v>231</v>
      </c>
      <c r="F20" t="s">
        <v>193</v>
      </c>
    </row>
    <row r="21" spans="1:7" ht="13.9" customHeight="1">
      <c r="A21" s="44"/>
      <c r="B21" t="s">
        <v>1267</v>
      </c>
      <c r="C21" t="s">
        <v>1268</v>
      </c>
      <c r="D21" t="s">
        <v>733</v>
      </c>
      <c r="E21" t="s">
        <v>231</v>
      </c>
      <c r="F21" t="s">
        <v>193</v>
      </c>
    </row>
    <row r="22" spans="1:7">
      <c r="A22" s="44"/>
      <c r="B22" t="s">
        <v>1269</v>
      </c>
      <c r="C22" t="s">
        <v>1270</v>
      </c>
      <c r="D22" t="s">
        <v>733</v>
      </c>
      <c r="E22" t="s">
        <v>231</v>
      </c>
      <c r="F22" t="s">
        <v>193</v>
      </c>
    </row>
    <row r="23" spans="1:7" ht="16.350000000000001" customHeight="1">
      <c r="A23" s="49" t="s">
        <v>625</v>
      </c>
      <c r="B23" t="s">
        <v>1271</v>
      </c>
      <c r="C23" t="s">
        <v>1209</v>
      </c>
      <c r="D23" t="s">
        <v>196</v>
      </c>
      <c r="E23" t="s">
        <v>233</v>
      </c>
    </row>
    <row r="24" spans="1:7" ht="13.9" customHeight="1">
      <c r="A24" s="49"/>
      <c r="B24" t="s">
        <v>294</v>
      </c>
      <c r="C24" t="s">
        <v>1272</v>
      </c>
      <c r="D24" t="s">
        <v>193</v>
      </c>
      <c r="F24" t="s">
        <v>196</v>
      </c>
      <c r="G24" t="s">
        <v>111</v>
      </c>
    </row>
    <row r="25" spans="1:7" ht="13.9" customHeight="1">
      <c r="A25" s="49"/>
      <c r="B25" t="s">
        <v>980</v>
      </c>
      <c r="C25" t="s">
        <v>1273</v>
      </c>
      <c r="D25" t="s">
        <v>196</v>
      </c>
      <c r="E25" s="3" t="s">
        <v>234</v>
      </c>
    </row>
    <row r="26" spans="1:7">
      <c r="A26" s="49"/>
      <c r="B26" t="s">
        <v>953</v>
      </c>
      <c r="C26" t="s">
        <v>1274</v>
      </c>
      <c r="D26" t="s">
        <v>196</v>
      </c>
      <c r="E26" t="s">
        <v>233</v>
      </c>
    </row>
    <row r="27" spans="1:7">
      <c r="A27" s="49"/>
      <c r="B27" t="s">
        <v>295</v>
      </c>
      <c r="C27" t="s">
        <v>1275</v>
      </c>
      <c r="D27" t="s">
        <v>193</v>
      </c>
      <c r="F27" t="s">
        <v>196</v>
      </c>
      <c r="G27" t="s">
        <v>111</v>
      </c>
    </row>
    <row r="28" spans="1:7">
      <c r="A28" s="49"/>
      <c r="B28" t="s">
        <v>643</v>
      </c>
      <c r="C28" t="s">
        <v>1276</v>
      </c>
      <c r="D28" t="s">
        <v>193</v>
      </c>
      <c r="F28" t="s">
        <v>193</v>
      </c>
    </row>
    <row r="29" spans="1:7">
      <c r="A29" s="49"/>
      <c r="B29" t="s">
        <v>991</v>
      </c>
      <c r="C29" t="s">
        <v>1277</v>
      </c>
      <c r="D29" t="s">
        <v>196</v>
      </c>
      <c r="E29" t="s">
        <v>235</v>
      </c>
    </row>
    <row r="30" spans="1:7">
      <c r="A30" s="49"/>
      <c r="B30" t="s">
        <v>296</v>
      </c>
      <c r="C30" t="s">
        <v>1278</v>
      </c>
      <c r="D30" t="s">
        <v>193</v>
      </c>
      <c r="F30" t="s">
        <v>196</v>
      </c>
      <c r="G30" t="s">
        <v>110</v>
      </c>
    </row>
    <row r="31" spans="1:7" ht="15" customHeight="1">
      <c r="A31" s="44" t="s">
        <v>657</v>
      </c>
      <c r="B31" t="s">
        <v>1279</v>
      </c>
      <c r="C31" t="s">
        <v>1280</v>
      </c>
      <c r="D31" t="s">
        <v>196</v>
      </c>
      <c r="E31" t="s">
        <v>240</v>
      </c>
    </row>
    <row r="32" spans="1:7">
      <c r="A32" s="44"/>
      <c r="B32" t="s">
        <v>1281</v>
      </c>
      <c r="C32" t="s">
        <v>1282</v>
      </c>
      <c r="D32" t="s">
        <v>196</v>
      </c>
      <c r="E32" t="s">
        <v>240</v>
      </c>
    </row>
    <row r="33" spans="1:7">
      <c r="A33" s="44"/>
      <c r="B33" t="s">
        <v>662</v>
      </c>
      <c r="C33" t="s">
        <v>1283</v>
      </c>
      <c r="D33" t="s">
        <v>193</v>
      </c>
      <c r="F33" t="s">
        <v>193</v>
      </c>
    </row>
    <row r="34" spans="1:7">
      <c r="A34" s="44"/>
      <c r="B34" t="s">
        <v>1284</v>
      </c>
      <c r="C34" t="s">
        <v>1285</v>
      </c>
      <c r="D34" t="s">
        <v>196</v>
      </c>
      <c r="E34" t="s">
        <v>240</v>
      </c>
    </row>
    <row r="35" spans="1:7">
      <c r="A35" s="44"/>
      <c r="B35" t="s">
        <v>297</v>
      </c>
      <c r="C35" t="s">
        <v>1286</v>
      </c>
      <c r="D35" t="s">
        <v>193</v>
      </c>
      <c r="F35" t="s">
        <v>196</v>
      </c>
      <c r="G35" t="s">
        <v>110</v>
      </c>
    </row>
    <row r="36" spans="1:7" ht="16.350000000000001" customHeight="1">
      <c r="A36" s="49" t="s">
        <v>667</v>
      </c>
      <c r="B36" t="s">
        <v>1287</v>
      </c>
      <c r="C36" t="s">
        <v>1219</v>
      </c>
      <c r="D36" t="s">
        <v>196</v>
      </c>
      <c r="E36" t="s">
        <v>1220</v>
      </c>
    </row>
    <row r="37" spans="1:7">
      <c r="A37" s="49"/>
      <c r="B37" t="s">
        <v>674</v>
      </c>
      <c r="C37" t="s">
        <v>1288</v>
      </c>
      <c r="D37" t="s">
        <v>733</v>
      </c>
      <c r="E37" t="s">
        <v>1289</v>
      </c>
      <c r="F37" t="s">
        <v>193</v>
      </c>
    </row>
    <row r="38" spans="1:7">
      <c r="A38" s="49"/>
      <c r="B38" t="s">
        <v>693</v>
      </c>
      <c r="C38" t="s">
        <v>1290</v>
      </c>
      <c r="D38" t="s">
        <v>733</v>
      </c>
      <c r="E38" t="s">
        <v>248</v>
      </c>
      <c r="F38" t="s">
        <v>193</v>
      </c>
    </row>
    <row r="39" spans="1:7" ht="16.350000000000001" customHeight="1">
      <c r="A39" s="49" t="s">
        <v>695</v>
      </c>
      <c r="B39" t="s">
        <v>724</v>
      </c>
      <c r="C39" t="s">
        <v>1291</v>
      </c>
      <c r="D39" t="s">
        <v>193</v>
      </c>
      <c r="F39" t="s">
        <v>193</v>
      </c>
    </row>
    <row r="40" spans="1:7" ht="13.9" customHeight="1">
      <c r="A40" s="49"/>
      <c r="B40" t="s">
        <v>1292</v>
      </c>
      <c r="C40" t="s">
        <v>1293</v>
      </c>
      <c r="D40" t="s">
        <v>196</v>
      </c>
      <c r="E40" t="s">
        <v>253</v>
      </c>
    </row>
    <row r="41" spans="1:7">
      <c r="A41" s="49"/>
      <c r="B41" t="s">
        <v>1294</v>
      </c>
      <c r="C41" t="s">
        <v>1295</v>
      </c>
      <c r="D41" t="s">
        <v>193</v>
      </c>
      <c r="F41" t="s">
        <v>193</v>
      </c>
    </row>
    <row r="42" spans="1:7">
      <c r="A42" s="49"/>
      <c r="B42" t="s">
        <v>1296</v>
      </c>
      <c r="C42" t="s">
        <v>1297</v>
      </c>
      <c r="D42" t="s">
        <v>196</v>
      </c>
      <c r="E42" t="s">
        <v>253</v>
      </c>
    </row>
    <row r="43" spans="1:7">
      <c r="A43" s="49"/>
      <c r="B43" t="s">
        <v>703</v>
      </c>
      <c r="C43" t="s">
        <v>1298</v>
      </c>
      <c r="D43" t="s">
        <v>193</v>
      </c>
      <c r="F43" t="s">
        <v>193</v>
      </c>
    </row>
    <row r="44" spans="1:7" ht="14.45" customHeight="1">
      <c r="B44" s="16" t="s">
        <v>261</v>
      </c>
      <c r="C44" s="16" t="s">
        <v>193</v>
      </c>
      <c r="D44" s="16">
        <f>COUNTIF(D2:D43,"No")</f>
        <v>11</v>
      </c>
      <c r="E44" s="16" t="s">
        <v>69</v>
      </c>
      <c r="F44" s="16">
        <f>COUNTIF(F2:F43,"Yes")</f>
        <v>6</v>
      </c>
    </row>
    <row r="45" spans="1:7" ht="14.45" customHeight="1">
      <c r="B45" s="6"/>
      <c r="C45" s="16" t="s">
        <v>196</v>
      </c>
      <c r="D45" s="16">
        <f>COUNTIF(D2:D43,"Yes")</f>
        <v>25</v>
      </c>
      <c r="E45" s="16" t="s">
        <v>70</v>
      </c>
      <c r="F45">
        <f>COUNTIFS(D:D,"Partial",F:F,"Yes")</f>
        <v>0</v>
      </c>
    </row>
    <row r="46" spans="1:7" ht="14.45" customHeight="1">
      <c r="B46" s="6"/>
      <c r="C46" s="16" t="s">
        <v>733</v>
      </c>
      <c r="D46" s="16">
        <f>COUNTIF(D2:D43,"Partial")</f>
        <v>6</v>
      </c>
      <c r="E46" s="10" t="s">
        <v>110</v>
      </c>
      <c r="F46">
        <f>COUNTIF($G$2:$G$43,E46)</f>
        <v>2</v>
      </c>
    </row>
    <row r="47" spans="1:7" ht="15">
      <c r="E47" s="10" t="s">
        <v>111</v>
      </c>
      <c r="F47">
        <f t="shared" ref="F47:F50" si="0">COUNTIF($G$2:$G$43,E47)</f>
        <v>2</v>
      </c>
    </row>
    <row r="48" spans="1:7" ht="15">
      <c r="E48" s="10" t="s">
        <v>112</v>
      </c>
      <c r="F48">
        <f t="shared" si="0"/>
        <v>2</v>
      </c>
    </row>
    <row r="49" spans="5:6" ht="15">
      <c r="E49" s="10" t="s">
        <v>480</v>
      </c>
      <c r="F49">
        <f t="shared" si="0"/>
        <v>0</v>
      </c>
    </row>
    <row r="50" spans="5:6" ht="15">
      <c r="E50" s="10" t="s">
        <v>114</v>
      </c>
      <c r="F50">
        <f t="shared" si="0"/>
        <v>0</v>
      </c>
    </row>
    <row r="51" spans="5:6" ht="15"/>
    <row r="52" spans="5:6" ht="15">
      <c r="E52" s="16" t="s">
        <v>1175</v>
      </c>
      <c r="F52" s="16">
        <f>COUNTIF(F2:F43,"No")</f>
        <v>11</v>
      </c>
    </row>
    <row r="82" spans="27:27">
      <c r="AA82" t="s">
        <v>709</v>
      </c>
    </row>
  </sheetData>
  <mergeCells count="10">
    <mergeCell ref="A2:A3"/>
    <mergeCell ref="A12:A14"/>
    <mergeCell ref="A15:A16"/>
    <mergeCell ref="A17:A19"/>
    <mergeCell ref="A4:A11"/>
    <mergeCell ref="A20:A22"/>
    <mergeCell ref="A23:A30"/>
    <mergeCell ref="A31:A35"/>
    <mergeCell ref="A39:A43"/>
    <mergeCell ref="A36:A38"/>
  </mergeCells>
  <conditionalFormatting sqref="D2:D43">
    <cfRule type="containsText" dxfId="217" priority="9" operator="containsText" text="Partial">
      <formula>NOT(ISERROR(SEARCH("Partial",D2)))</formula>
    </cfRule>
    <cfRule type="containsText" dxfId="216" priority="10" operator="containsText" text="No">
      <formula>NOT(ISERROR(SEARCH("No",D2)))</formula>
    </cfRule>
    <cfRule type="containsText" dxfId="215" priority="11" operator="containsText" text="Yes">
      <formula>NOT(ISERROR(SEARCH("Yes",D2)))</formula>
    </cfRule>
  </conditionalFormatting>
  <conditionalFormatting sqref="F36:F43 G36:G117">
    <cfRule type="containsText" dxfId="214" priority="30" operator="containsText" text="No">
      <formula>NOT(ISERROR(SEARCH("No",F36)))</formula>
    </cfRule>
    <cfRule type="containsText" dxfId="213" priority="31" operator="containsText" text="Yes">
      <formula>NOT(ISERROR(SEARCH("Yes",F36)))</formula>
    </cfRule>
  </conditionalFormatting>
  <conditionalFormatting sqref="F2:G35">
    <cfRule type="containsText" dxfId="212" priority="1" operator="containsText" text="No">
      <formula>NOT(ISERROR(SEARCH("No",F2)))</formula>
    </cfRule>
    <cfRule type="containsText" dxfId="211" priority="2" operator="containsText" text="Yes">
      <formula>NOT(ISERROR(SEARCH("Yes",F2)))</formula>
    </cfRule>
  </conditionalFormatting>
  <dataValidations count="3">
    <dataValidation type="list" operator="equal" allowBlank="1" showInputMessage="1" showErrorMessage="1" sqref="D2:D43" xr:uid="{00000000-0002-0000-0C00-000000000000}">
      <formula1>"Yes,No,Partial"</formula1>
      <formula2>0</formula2>
    </dataValidation>
    <dataValidation type="list" operator="equal" allowBlank="1" showInputMessage="1" showErrorMessage="1" sqref="F2:F43" xr:uid="{00000000-0002-0000-0C00-000001000000}">
      <formula1>"Yes,No"</formula1>
      <formula2>0</formula2>
    </dataValidation>
    <dataValidation operator="equal" allowBlank="1" showInputMessage="1" showErrorMessage="1" sqref="G2:G117" xr:uid="{00000000-0002-0000-0C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76"/>
  <sheetViews>
    <sheetView zoomScale="85" zoomScaleNormal="85" workbookViewId="0">
      <selection activeCell="E39" sqref="E39:F39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>
      <c r="A1" s="5" t="s">
        <v>504</v>
      </c>
      <c r="B1" s="7" t="s">
        <v>1299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1300</v>
      </c>
      <c r="C2" t="s">
        <v>1301</v>
      </c>
      <c r="D2" t="s">
        <v>196</v>
      </c>
      <c r="E2" t="s">
        <v>191</v>
      </c>
    </row>
    <row r="3" spans="1:8" ht="15" customHeight="1">
      <c r="A3" s="49"/>
      <c r="B3" t="s">
        <v>1302</v>
      </c>
      <c r="C3" t="s">
        <v>1303</v>
      </c>
      <c r="D3" t="s">
        <v>196</v>
      </c>
      <c r="E3" t="s">
        <v>191</v>
      </c>
    </row>
    <row r="4" spans="1:8" ht="15" customHeight="1">
      <c r="A4" s="49"/>
      <c r="B4" t="s">
        <v>1304</v>
      </c>
      <c r="C4" t="s">
        <v>1305</v>
      </c>
      <c r="D4" t="s">
        <v>196</v>
      </c>
      <c r="E4" t="s">
        <v>191</v>
      </c>
    </row>
    <row r="5" spans="1:8" ht="16.350000000000001" customHeight="1">
      <c r="A5" s="49" t="s">
        <v>513</v>
      </c>
      <c r="B5" t="s">
        <v>1306</v>
      </c>
      <c r="C5" t="s">
        <v>1307</v>
      </c>
      <c r="D5" t="s">
        <v>196</v>
      </c>
      <c r="E5" t="s">
        <v>199</v>
      </c>
    </row>
    <row r="6" spans="1:8">
      <c r="A6" s="49"/>
      <c r="B6" t="s">
        <v>1308</v>
      </c>
      <c r="C6" t="s">
        <v>1309</v>
      </c>
      <c r="D6" t="s">
        <v>196</v>
      </c>
      <c r="E6" t="s">
        <v>199</v>
      </c>
    </row>
    <row r="7" spans="1:8">
      <c r="A7" s="49"/>
      <c r="B7" t="s">
        <v>1310</v>
      </c>
      <c r="C7" t="s">
        <v>1311</v>
      </c>
      <c r="D7" t="s">
        <v>196</v>
      </c>
      <c r="E7" t="s">
        <v>199</v>
      </c>
    </row>
    <row r="8" spans="1:8" ht="15" customHeight="1">
      <c r="A8" s="49" t="s">
        <v>519</v>
      </c>
      <c r="B8" t="s">
        <v>1312</v>
      </c>
      <c r="C8" t="s">
        <v>1142</v>
      </c>
      <c r="D8" t="s">
        <v>196</v>
      </c>
      <c r="E8" t="s">
        <v>202</v>
      </c>
    </row>
    <row r="9" spans="1:8" ht="15" customHeight="1">
      <c r="A9" s="49"/>
      <c r="B9" t="s">
        <v>1313</v>
      </c>
      <c r="C9" t="s">
        <v>1314</v>
      </c>
      <c r="D9" t="s">
        <v>196</v>
      </c>
      <c r="E9" t="s">
        <v>202</v>
      </c>
    </row>
    <row r="10" spans="1:8" ht="15" customHeight="1">
      <c r="A10" s="49"/>
      <c r="B10" t="s">
        <v>1315</v>
      </c>
      <c r="C10" t="s">
        <v>1316</v>
      </c>
      <c r="D10" t="s">
        <v>196</v>
      </c>
      <c r="E10" t="s">
        <v>202</v>
      </c>
    </row>
    <row r="11" spans="1:8" ht="15" customHeight="1">
      <c r="A11" s="49"/>
      <c r="B11" t="s">
        <v>1317</v>
      </c>
      <c r="C11" t="s">
        <v>1318</v>
      </c>
      <c r="D11" t="s">
        <v>196</v>
      </c>
      <c r="E11" t="s">
        <v>202</v>
      </c>
    </row>
    <row r="12" spans="1:8" ht="15" customHeight="1">
      <c r="A12" s="49"/>
      <c r="B12" t="s">
        <v>818</v>
      </c>
      <c r="C12" t="s">
        <v>1319</v>
      </c>
      <c r="D12" t="s">
        <v>196</v>
      </c>
      <c r="E12" s="3" t="s">
        <v>1144</v>
      </c>
    </row>
    <row r="13" spans="1:8" ht="16.350000000000001" customHeight="1">
      <c r="A13" s="49" t="s">
        <v>536</v>
      </c>
      <c r="B13" t="s">
        <v>863</v>
      </c>
      <c r="C13" t="s">
        <v>1190</v>
      </c>
      <c r="D13" t="s">
        <v>196</v>
      </c>
      <c r="E13" t="s">
        <v>1191</v>
      </c>
    </row>
    <row r="14" spans="1:8">
      <c r="A14" s="49"/>
      <c r="B14" t="s">
        <v>1320</v>
      </c>
      <c r="C14" t="s">
        <v>1193</v>
      </c>
      <c r="D14" t="s">
        <v>196</v>
      </c>
      <c r="E14" t="s">
        <v>1194</v>
      </c>
    </row>
    <row r="15" spans="1:8">
      <c r="A15" s="49"/>
      <c r="B15" t="s">
        <v>1321</v>
      </c>
      <c r="C15" t="s">
        <v>1322</v>
      </c>
      <c r="D15" t="s">
        <v>196</v>
      </c>
      <c r="E15" t="s">
        <v>1194</v>
      </c>
    </row>
    <row r="16" spans="1:8" ht="16.350000000000001" customHeight="1">
      <c r="A16" s="49" t="s">
        <v>589</v>
      </c>
      <c r="B16" t="s">
        <v>596</v>
      </c>
      <c r="C16" t="s">
        <v>1323</v>
      </c>
      <c r="D16" t="s">
        <v>733</v>
      </c>
      <c r="E16" t="s">
        <v>1155</v>
      </c>
      <c r="F16" t="s">
        <v>193</v>
      </c>
    </row>
    <row r="17" spans="1:8">
      <c r="A17" s="49"/>
      <c r="B17" t="s">
        <v>1324</v>
      </c>
      <c r="C17" t="s">
        <v>1325</v>
      </c>
      <c r="D17" t="s">
        <v>196</v>
      </c>
      <c r="E17" t="s">
        <v>226</v>
      </c>
    </row>
    <row r="18" spans="1:8">
      <c r="A18" s="49"/>
      <c r="B18" t="s">
        <v>1326</v>
      </c>
      <c r="C18" t="s">
        <v>1327</v>
      </c>
      <c r="D18" t="s">
        <v>193</v>
      </c>
      <c r="F18" t="s">
        <v>196</v>
      </c>
      <c r="G18" t="s">
        <v>480</v>
      </c>
      <c r="H18" t="s">
        <v>1161</v>
      </c>
    </row>
    <row r="19" spans="1:8" ht="16.350000000000001" customHeight="1">
      <c r="A19" s="44" t="s">
        <v>613</v>
      </c>
      <c r="B19" t="s">
        <v>1328</v>
      </c>
      <c r="C19" t="s">
        <v>1329</v>
      </c>
      <c r="D19" t="s">
        <v>733</v>
      </c>
      <c r="F19" t="s">
        <v>193</v>
      </c>
    </row>
    <row r="20" spans="1:8" ht="13.9" customHeight="1">
      <c r="A20" s="44"/>
      <c r="B20" t="s">
        <v>1330</v>
      </c>
      <c r="C20" t="s">
        <v>1331</v>
      </c>
      <c r="D20" t="s">
        <v>733</v>
      </c>
      <c r="F20" t="s">
        <v>193</v>
      </c>
    </row>
    <row r="21" spans="1:8">
      <c r="A21" s="44"/>
      <c r="B21" t="s">
        <v>1332</v>
      </c>
      <c r="C21" t="s">
        <v>1333</v>
      </c>
      <c r="D21" t="s">
        <v>733</v>
      </c>
      <c r="F21" t="s">
        <v>193</v>
      </c>
    </row>
    <row r="22" spans="1:8" ht="16.350000000000001" customHeight="1">
      <c r="A22" s="49" t="s">
        <v>625</v>
      </c>
      <c r="B22" t="s">
        <v>1334</v>
      </c>
      <c r="C22" t="s">
        <v>1209</v>
      </c>
      <c r="D22" t="s">
        <v>196</v>
      </c>
      <c r="E22" t="s">
        <v>233</v>
      </c>
    </row>
    <row r="23" spans="1:8" ht="13.9" customHeight="1">
      <c r="A23" s="49"/>
      <c r="B23" t="s">
        <v>644</v>
      </c>
      <c r="C23" t="s">
        <v>1335</v>
      </c>
      <c r="D23" t="s">
        <v>733</v>
      </c>
      <c r="E23" t="s">
        <v>233</v>
      </c>
      <c r="F23" t="s">
        <v>193</v>
      </c>
    </row>
    <row r="24" spans="1:8" ht="13.9" customHeight="1">
      <c r="A24" s="49"/>
      <c r="B24" t="s">
        <v>1336</v>
      </c>
      <c r="C24" t="s">
        <v>1337</v>
      </c>
      <c r="D24" t="s">
        <v>196</v>
      </c>
      <c r="E24" t="s">
        <v>233</v>
      </c>
    </row>
    <row r="25" spans="1:8" ht="13.9" customHeight="1">
      <c r="A25" s="49"/>
      <c r="B25" t="s">
        <v>981</v>
      </c>
      <c r="C25" t="s">
        <v>1338</v>
      </c>
      <c r="D25" t="s">
        <v>196</v>
      </c>
      <c r="E25" t="s">
        <v>1339</v>
      </c>
    </row>
    <row r="26" spans="1:8">
      <c r="A26" s="49"/>
      <c r="B26" t="s">
        <v>631</v>
      </c>
      <c r="C26" t="s">
        <v>1340</v>
      </c>
      <c r="D26" t="s">
        <v>193</v>
      </c>
      <c r="F26" t="s">
        <v>193</v>
      </c>
    </row>
    <row r="27" spans="1:8" ht="15" customHeight="1">
      <c r="A27" s="44" t="s">
        <v>657</v>
      </c>
      <c r="B27" t="s">
        <v>1341</v>
      </c>
      <c r="C27" t="s">
        <v>1342</v>
      </c>
      <c r="D27" t="s">
        <v>196</v>
      </c>
      <c r="E27" t="s">
        <v>240</v>
      </c>
    </row>
    <row r="28" spans="1:8" ht="13.9" customHeight="1">
      <c r="A28" s="44"/>
      <c r="B28" t="s">
        <v>663</v>
      </c>
      <c r="C28" t="s">
        <v>1343</v>
      </c>
      <c r="D28" t="s">
        <v>193</v>
      </c>
      <c r="F28" t="s">
        <v>193</v>
      </c>
    </row>
    <row r="29" spans="1:8">
      <c r="A29" s="44"/>
      <c r="B29" t="s">
        <v>1344</v>
      </c>
      <c r="C29" t="s">
        <v>1345</v>
      </c>
      <c r="D29" t="s">
        <v>196</v>
      </c>
      <c r="E29" t="s">
        <v>240</v>
      </c>
    </row>
    <row r="30" spans="1:8" ht="16.350000000000001" customHeight="1">
      <c r="A30" s="49" t="s">
        <v>667</v>
      </c>
      <c r="B30" t="s">
        <v>675</v>
      </c>
      <c r="C30" t="s">
        <v>1346</v>
      </c>
      <c r="D30" t="s">
        <v>733</v>
      </c>
      <c r="E30" t="s">
        <v>246</v>
      </c>
      <c r="F30" t="s">
        <v>193</v>
      </c>
    </row>
    <row r="31" spans="1:8">
      <c r="A31" s="49"/>
      <c r="B31" t="s">
        <v>1064</v>
      </c>
      <c r="C31" t="s">
        <v>1347</v>
      </c>
      <c r="D31" t="s">
        <v>196</v>
      </c>
      <c r="E31" t="s">
        <v>247</v>
      </c>
    </row>
    <row r="32" spans="1:8">
      <c r="A32" s="49"/>
      <c r="B32" t="s">
        <v>1056</v>
      </c>
      <c r="C32" t="s">
        <v>1348</v>
      </c>
      <c r="D32" t="s">
        <v>196</v>
      </c>
      <c r="E32" t="s">
        <v>248</v>
      </c>
    </row>
    <row r="33" spans="1:7" ht="16.350000000000001" customHeight="1">
      <c r="A33" s="49" t="s">
        <v>695</v>
      </c>
      <c r="B33" t="s">
        <v>725</v>
      </c>
      <c r="C33" t="s">
        <v>1349</v>
      </c>
      <c r="D33" t="s">
        <v>193</v>
      </c>
      <c r="F33" t="s">
        <v>193</v>
      </c>
    </row>
    <row r="34" spans="1:7" ht="13.9" customHeight="1">
      <c r="A34" s="49"/>
      <c r="B34" t="s">
        <v>704</v>
      </c>
      <c r="C34" t="s">
        <v>1350</v>
      </c>
      <c r="D34" t="s">
        <v>193</v>
      </c>
      <c r="F34" t="s">
        <v>193</v>
      </c>
    </row>
    <row r="35" spans="1:7" ht="13.9" customHeight="1">
      <c r="A35" s="49"/>
      <c r="B35" t="s">
        <v>1101</v>
      </c>
      <c r="C35" t="s">
        <v>1351</v>
      </c>
      <c r="D35" t="s">
        <v>196</v>
      </c>
      <c r="E35" t="s">
        <v>1352</v>
      </c>
    </row>
    <row r="36" spans="1:7">
      <c r="A36" s="49"/>
      <c r="B36" t="s">
        <v>303</v>
      </c>
      <c r="C36" t="s">
        <v>1353</v>
      </c>
      <c r="D36" t="s">
        <v>193</v>
      </c>
      <c r="F36" t="s">
        <v>196</v>
      </c>
      <c r="G36" t="s">
        <v>114</v>
      </c>
    </row>
    <row r="37" spans="1:7">
      <c r="A37" s="49"/>
      <c r="B37" t="s">
        <v>304</v>
      </c>
      <c r="C37" t="s">
        <v>1354</v>
      </c>
      <c r="D37" t="s">
        <v>193</v>
      </c>
      <c r="F37" t="s">
        <v>196</v>
      </c>
      <c r="G37" t="s">
        <v>110</v>
      </c>
    </row>
    <row r="38" spans="1:7" ht="14.45" customHeight="1">
      <c r="B38" s="16" t="s">
        <v>261</v>
      </c>
      <c r="C38" s="16" t="s">
        <v>193</v>
      </c>
      <c r="D38" s="16">
        <f>COUNTIF(D2:D37,"No")</f>
        <v>7</v>
      </c>
      <c r="E38" s="16" t="s">
        <v>69</v>
      </c>
      <c r="F38" s="16">
        <f>COUNTIF(F2:F37,"Yes")</f>
        <v>3</v>
      </c>
    </row>
    <row r="39" spans="1:7" ht="14.45" customHeight="1">
      <c r="B39" s="6"/>
      <c r="C39" s="16" t="s">
        <v>196</v>
      </c>
      <c r="D39" s="16">
        <f>COUNTIF(D2:D37,"Yes")</f>
        <v>23</v>
      </c>
      <c r="E39" s="16" t="s">
        <v>70</v>
      </c>
      <c r="F39">
        <f>COUNTIFS(D:D,"Partial",F:F,"Yes")</f>
        <v>0</v>
      </c>
    </row>
    <row r="40" spans="1:7" ht="14.45" customHeight="1">
      <c r="B40" s="6"/>
      <c r="C40" s="16" t="s">
        <v>733</v>
      </c>
      <c r="D40" s="16">
        <f>COUNTIF(D2:D37,"Partial")</f>
        <v>6</v>
      </c>
      <c r="E40" s="10" t="s">
        <v>110</v>
      </c>
      <c r="F40">
        <f>COUNTIF($G$2:$G$37,E40)</f>
        <v>1</v>
      </c>
    </row>
    <row r="41" spans="1:7" ht="15">
      <c r="E41" s="10" t="s">
        <v>111</v>
      </c>
      <c r="F41">
        <f t="shared" ref="F41:F44" si="0">COUNTIF($G$2:$G$37,E41)</f>
        <v>0</v>
      </c>
    </row>
    <row r="42" spans="1:7" ht="15">
      <c r="E42" s="10" t="s">
        <v>112</v>
      </c>
      <c r="F42">
        <f t="shared" si="0"/>
        <v>0</v>
      </c>
    </row>
    <row r="43" spans="1:7" ht="15">
      <c r="E43" s="10" t="s">
        <v>480</v>
      </c>
      <c r="F43">
        <f t="shared" si="0"/>
        <v>1</v>
      </c>
    </row>
    <row r="44" spans="1:7" ht="15">
      <c r="E44" s="10" t="s">
        <v>114</v>
      </c>
      <c r="F44">
        <f t="shared" si="0"/>
        <v>1</v>
      </c>
    </row>
    <row r="45" spans="1:7" ht="15">
      <c r="E45" s="10"/>
    </row>
    <row r="46" spans="1:7" ht="15">
      <c r="E46" s="16" t="s">
        <v>1175</v>
      </c>
      <c r="F46" s="16">
        <f>COUNTIF(F2:F37,"No")</f>
        <v>10</v>
      </c>
    </row>
    <row r="76" spans="27:27">
      <c r="AA76" t="s">
        <v>709</v>
      </c>
    </row>
  </sheetData>
  <mergeCells count="10">
    <mergeCell ref="A33:A37"/>
    <mergeCell ref="A27:A29"/>
    <mergeCell ref="A22:A26"/>
    <mergeCell ref="A2:A4"/>
    <mergeCell ref="A8:A12"/>
    <mergeCell ref="A19:A21"/>
    <mergeCell ref="A30:A32"/>
    <mergeCell ref="A5:A7"/>
    <mergeCell ref="A13:A15"/>
    <mergeCell ref="A16:A18"/>
  </mergeCells>
  <conditionalFormatting sqref="D2:D37">
    <cfRule type="containsText" dxfId="210" priority="5" operator="containsText" text="Partial">
      <formula>NOT(ISERROR(SEARCH("Partial",D2)))</formula>
    </cfRule>
    <cfRule type="containsText" dxfId="209" priority="6" operator="containsText" text="No">
      <formula>NOT(ISERROR(SEARCH("No",D2)))</formula>
    </cfRule>
    <cfRule type="containsText" dxfId="208" priority="7" operator="containsText" text="Yes">
      <formula>NOT(ISERROR(SEARCH("Yes",D2)))</formula>
    </cfRule>
  </conditionalFormatting>
  <conditionalFormatting sqref="F19:F37">
    <cfRule type="containsText" dxfId="207" priority="8" operator="containsText" text="No">
      <formula>NOT(ISERROR(SEARCH("No",F19)))</formula>
    </cfRule>
    <cfRule type="containsText" dxfId="206" priority="9" operator="containsText" text="Yes">
      <formula>NOT(ISERROR(SEARCH("Yes",F19)))</formula>
    </cfRule>
  </conditionalFormatting>
  <conditionalFormatting sqref="F2:G18">
    <cfRule type="containsText" dxfId="205" priority="13" operator="containsText" text="No">
      <formula>NOT(ISERROR(SEARCH("No",F2)))</formula>
    </cfRule>
    <cfRule type="containsText" dxfId="204" priority="14" operator="containsText" text="Yes">
      <formula>NOT(ISERROR(SEARCH("Yes",F2)))</formula>
    </cfRule>
  </conditionalFormatting>
  <conditionalFormatting sqref="G19:G111">
    <cfRule type="containsText" dxfId="203" priority="1" operator="containsText" text="No">
      <formula>NOT(ISERROR(SEARCH("No",G19)))</formula>
    </cfRule>
    <cfRule type="containsText" dxfId="202" priority="2" operator="containsText" text="Yes">
      <formula>NOT(ISERROR(SEARCH("Yes",G19)))</formula>
    </cfRule>
  </conditionalFormatting>
  <dataValidations count="3">
    <dataValidation type="list" operator="equal" allowBlank="1" showInputMessage="1" showErrorMessage="1" sqref="D2:D37" xr:uid="{00000000-0002-0000-0D00-000000000000}">
      <formula1>"Yes,No,Partial"</formula1>
      <formula2>0</formula2>
    </dataValidation>
    <dataValidation type="list" operator="equal" allowBlank="1" showInputMessage="1" showErrorMessage="1" sqref="F2:F37" xr:uid="{00000000-0002-0000-0D00-000001000000}">
      <formula1>"Yes,No"</formula1>
      <formula2>0</formula2>
    </dataValidation>
    <dataValidation operator="equal" allowBlank="1" showInputMessage="1" showErrorMessage="1" sqref="G2:G111" xr:uid="{00000000-0002-0000-0D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73"/>
  <sheetViews>
    <sheetView zoomScale="85" zoomScaleNormal="85" workbookViewId="0">
      <selection activeCell="E41" sqref="E41:F4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13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1355</v>
      </c>
      <c r="C2" t="s">
        <v>1356</v>
      </c>
      <c r="D2" t="s">
        <v>196</v>
      </c>
      <c r="E2" t="s">
        <v>191</v>
      </c>
    </row>
    <row r="3" spans="1:8" ht="15" customHeight="1">
      <c r="A3" s="49"/>
      <c r="B3" t="s">
        <v>1357</v>
      </c>
      <c r="C3" t="s">
        <v>1358</v>
      </c>
      <c r="D3" t="s">
        <v>196</v>
      </c>
      <c r="E3" t="s">
        <v>191</v>
      </c>
    </row>
    <row r="4" spans="1:8" ht="15" customHeight="1">
      <c r="A4" s="49"/>
      <c r="B4" t="s">
        <v>1359</v>
      </c>
      <c r="C4" t="s">
        <v>1360</v>
      </c>
      <c r="D4" t="s">
        <v>193</v>
      </c>
      <c r="F4" t="s">
        <v>196</v>
      </c>
      <c r="G4" t="s">
        <v>112</v>
      </c>
      <c r="H4" t="s">
        <v>1361</v>
      </c>
    </row>
    <row r="5" spans="1:8" ht="16.350000000000001" customHeight="1">
      <c r="A5" s="49" t="s">
        <v>513</v>
      </c>
      <c r="B5" t="s">
        <v>1362</v>
      </c>
      <c r="C5" t="s">
        <v>1363</v>
      </c>
      <c r="D5" t="s">
        <v>193</v>
      </c>
      <c r="F5" t="s">
        <v>196</v>
      </c>
      <c r="G5" t="s">
        <v>112</v>
      </c>
      <c r="H5" t="s">
        <v>1361</v>
      </c>
    </row>
    <row r="6" spans="1:8">
      <c r="A6" s="49"/>
      <c r="B6" t="s">
        <v>768</v>
      </c>
      <c r="C6" t="s">
        <v>1364</v>
      </c>
      <c r="D6" t="s">
        <v>196</v>
      </c>
      <c r="E6" t="s">
        <v>199</v>
      </c>
    </row>
    <row r="7" spans="1:8" ht="15" customHeight="1">
      <c r="A7" s="49" t="s">
        <v>519</v>
      </c>
      <c r="B7" t="s">
        <v>793</v>
      </c>
      <c r="C7" t="s">
        <v>1365</v>
      </c>
      <c r="D7" t="s">
        <v>196</v>
      </c>
      <c r="E7" t="s">
        <v>202</v>
      </c>
    </row>
    <row r="8" spans="1:8" ht="15" customHeight="1">
      <c r="A8" s="49"/>
      <c r="B8" t="s">
        <v>819</v>
      </c>
      <c r="C8" t="s">
        <v>1366</v>
      </c>
      <c r="D8" t="s">
        <v>733</v>
      </c>
      <c r="E8" t="s">
        <v>203</v>
      </c>
      <c r="F8" t="s">
        <v>196</v>
      </c>
      <c r="G8" t="s">
        <v>112</v>
      </c>
      <c r="H8" t="s">
        <v>1367</v>
      </c>
    </row>
    <row r="9" spans="1:8" ht="15" customHeight="1">
      <c r="A9" s="49"/>
      <c r="B9" t="s">
        <v>526</v>
      </c>
      <c r="C9" t="s">
        <v>525</v>
      </c>
      <c r="D9" t="s">
        <v>193</v>
      </c>
      <c r="F9" t="s">
        <v>193</v>
      </c>
    </row>
    <row r="10" spans="1:8" ht="15" customHeight="1">
      <c r="A10" s="49"/>
      <c r="B10" t="s">
        <v>1368</v>
      </c>
      <c r="C10" t="s">
        <v>1369</v>
      </c>
      <c r="D10" t="s">
        <v>193</v>
      </c>
      <c r="F10" t="s">
        <v>196</v>
      </c>
      <c r="G10" t="s">
        <v>110</v>
      </c>
    </row>
    <row r="11" spans="1:8" ht="15" customHeight="1">
      <c r="A11" s="49"/>
      <c r="B11" t="s">
        <v>831</v>
      </c>
      <c r="C11" t="s">
        <v>1370</v>
      </c>
      <c r="D11" t="s">
        <v>196</v>
      </c>
      <c r="E11" t="s">
        <v>205</v>
      </c>
    </row>
    <row r="12" spans="1:8" ht="16.350000000000001" customHeight="1">
      <c r="A12" s="49" t="s">
        <v>536</v>
      </c>
      <c r="B12" t="s">
        <v>837</v>
      </c>
      <c r="C12" t="s">
        <v>1190</v>
      </c>
      <c r="D12" t="s">
        <v>196</v>
      </c>
      <c r="E12" t="s">
        <v>1371</v>
      </c>
    </row>
    <row r="13" spans="1:8">
      <c r="A13" s="49"/>
      <c r="B13" t="s">
        <v>549</v>
      </c>
      <c r="C13" t="s">
        <v>1372</v>
      </c>
      <c r="D13" t="s">
        <v>193</v>
      </c>
      <c r="F13" t="s">
        <v>193</v>
      </c>
    </row>
    <row r="14" spans="1:8">
      <c r="A14" s="49"/>
      <c r="B14" t="s">
        <v>561</v>
      </c>
      <c r="C14" t="s">
        <v>1373</v>
      </c>
      <c r="D14" t="s">
        <v>193</v>
      </c>
      <c r="F14" t="s">
        <v>193</v>
      </c>
    </row>
    <row r="15" spans="1:8" ht="16.350000000000001" customHeight="1">
      <c r="A15" s="49" t="s">
        <v>589</v>
      </c>
      <c r="B15" t="s">
        <v>1374</v>
      </c>
      <c r="C15" t="s">
        <v>1375</v>
      </c>
      <c r="D15" t="s">
        <v>196</v>
      </c>
      <c r="E15" t="s">
        <v>226</v>
      </c>
    </row>
    <row r="16" spans="1:8">
      <c r="A16" s="49"/>
      <c r="B16" t="s">
        <v>1376</v>
      </c>
      <c r="C16" t="s">
        <v>1199</v>
      </c>
      <c r="D16" t="s">
        <v>196</v>
      </c>
      <c r="E16" t="s">
        <v>226</v>
      </c>
      <c r="H16" t="s">
        <v>1377</v>
      </c>
    </row>
    <row r="17" spans="1:8">
      <c r="A17" s="49"/>
      <c r="B17" t="s">
        <v>597</v>
      </c>
      <c r="C17" t="s">
        <v>1378</v>
      </c>
      <c r="D17" t="s">
        <v>193</v>
      </c>
      <c r="F17" t="s">
        <v>193</v>
      </c>
    </row>
    <row r="18" spans="1:8">
      <c r="A18" s="49"/>
      <c r="B18" t="s">
        <v>1379</v>
      </c>
      <c r="C18" t="s">
        <v>1380</v>
      </c>
      <c r="D18" t="s">
        <v>196</v>
      </c>
      <c r="E18" t="s">
        <v>226</v>
      </c>
      <c r="H18" t="s">
        <v>1377</v>
      </c>
    </row>
    <row r="19" spans="1:8" ht="16.350000000000001" customHeight="1">
      <c r="A19" s="49" t="s">
        <v>613</v>
      </c>
      <c r="B19" t="s">
        <v>1381</v>
      </c>
      <c r="C19" t="s">
        <v>614</v>
      </c>
      <c r="D19" t="s">
        <v>196</v>
      </c>
      <c r="E19" t="s">
        <v>231</v>
      </c>
    </row>
    <row r="20" spans="1:8">
      <c r="A20" s="49"/>
      <c r="B20" t="s">
        <v>1382</v>
      </c>
      <c r="C20" t="s">
        <v>1383</v>
      </c>
      <c r="D20" t="s">
        <v>196</v>
      </c>
      <c r="E20" t="s">
        <v>231</v>
      </c>
    </row>
    <row r="21" spans="1:8">
      <c r="A21" s="49"/>
      <c r="B21" t="s">
        <v>1384</v>
      </c>
      <c r="C21" t="s">
        <v>1385</v>
      </c>
      <c r="D21" t="s">
        <v>196</v>
      </c>
      <c r="E21" t="s">
        <v>231</v>
      </c>
    </row>
    <row r="22" spans="1:8">
      <c r="A22" s="49"/>
      <c r="B22" t="s">
        <v>1386</v>
      </c>
      <c r="C22" t="s">
        <v>1387</v>
      </c>
      <c r="D22" t="s">
        <v>733</v>
      </c>
      <c r="E22" t="s">
        <v>231</v>
      </c>
      <c r="F22" t="s">
        <v>193</v>
      </c>
    </row>
    <row r="23" spans="1:8">
      <c r="A23" s="49"/>
      <c r="B23" t="s">
        <v>1388</v>
      </c>
      <c r="C23" t="s">
        <v>1389</v>
      </c>
      <c r="D23" t="s">
        <v>733</v>
      </c>
      <c r="E23" t="s">
        <v>231</v>
      </c>
      <c r="F23" t="s">
        <v>193</v>
      </c>
    </row>
    <row r="24" spans="1:8" ht="16.350000000000001" customHeight="1">
      <c r="A24" s="49" t="s">
        <v>625</v>
      </c>
      <c r="B24" t="s">
        <v>1390</v>
      </c>
      <c r="C24" t="s">
        <v>1391</v>
      </c>
      <c r="D24" t="s">
        <v>196</v>
      </c>
      <c r="E24" t="s">
        <v>233</v>
      </c>
    </row>
    <row r="25" spans="1:8">
      <c r="A25" s="49"/>
      <c r="B25" t="s">
        <v>647</v>
      </c>
      <c r="C25" t="s">
        <v>646</v>
      </c>
      <c r="D25" s="30" t="s">
        <v>733</v>
      </c>
      <c r="E25" t="s">
        <v>235</v>
      </c>
      <c r="F25" t="s">
        <v>193</v>
      </c>
      <c r="H25" t="s">
        <v>1392</v>
      </c>
    </row>
    <row r="26" spans="1:8">
      <c r="A26" s="49"/>
      <c r="B26" t="s">
        <v>982</v>
      </c>
      <c r="C26" t="s">
        <v>1393</v>
      </c>
      <c r="D26" t="s">
        <v>196</v>
      </c>
      <c r="E26" t="s">
        <v>234</v>
      </c>
    </row>
    <row r="27" spans="1:8">
      <c r="A27" s="49"/>
      <c r="B27" t="s">
        <v>1394</v>
      </c>
      <c r="C27" t="s">
        <v>1395</v>
      </c>
      <c r="D27" t="s">
        <v>196</v>
      </c>
      <c r="E27" t="s">
        <v>233</v>
      </c>
    </row>
    <row r="28" spans="1:8">
      <c r="A28" s="49"/>
      <c r="B28" t="s">
        <v>649</v>
      </c>
      <c r="C28" t="s">
        <v>648</v>
      </c>
      <c r="D28" t="s">
        <v>193</v>
      </c>
      <c r="F28" t="s">
        <v>193</v>
      </c>
    </row>
    <row r="29" spans="1:8" ht="15" customHeight="1">
      <c r="A29" s="44" t="s">
        <v>657</v>
      </c>
      <c r="B29" t="s">
        <v>1396</v>
      </c>
      <c r="C29" t="s">
        <v>1397</v>
      </c>
      <c r="D29" t="s">
        <v>196</v>
      </c>
      <c r="E29" t="s">
        <v>240</v>
      </c>
    </row>
    <row r="30" spans="1:8">
      <c r="A30" s="44"/>
      <c r="B30" t="s">
        <v>1398</v>
      </c>
      <c r="C30" t="s">
        <v>1399</v>
      </c>
      <c r="D30" t="s">
        <v>196</v>
      </c>
      <c r="E30" t="s">
        <v>240</v>
      </c>
    </row>
    <row r="31" spans="1:8" ht="16.350000000000001" customHeight="1">
      <c r="A31" s="49" t="s">
        <v>667</v>
      </c>
      <c r="B31" t="s">
        <v>1400</v>
      </c>
      <c r="C31" t="s">
        <v>1401</v>
      </c>
      <c r="D31" t="s">
        <v>196</v>
      </c>
      <c r="E31" t="s">
        <v>1220</v>
      </c>
    </row>
    <row r="32" spans="1:8">
      <c r="A32" s="49"/>
      <c r="B32" t="s">
        <v>1402</v>
      </c>
      <c r="C32" t="s">
        <v>1403</v>
      </c>
      <c r="D32" t="s">
        <v>196</v>
      </c>
      <c r="E32" t="s">
        <v>1220</v>
      </c>
    </row>
    <row r="33" spans="1:7">
      <c r="A33" s="49"/>
      <c r="B33" t="s">
        <v>1404</v>
      </c>
      <c r="C33" t="s">
        <v>1405</v>
      </c>
      <c r="D33" t="s">
        <v>196</v>
      </c>
      <c r="E33" t="s">
        <v>1220</v>
      </c>
    </row>
    <row r="34" spans="1:7">
      <c r="A34" s="49"/>
      <c r="B34" t="s">
        <v>1406</v>
      </c>
      <c r="C34" t="s">
        <v>1407</v>
      </c>
      <c r="D34" t="s">
        <v>196</v>
      </c>
      <c r="E34" t="s">
        <v>1220</v>
      </c>
    </row>
    <row r="35" spans="1:7">
      <c r="A35" s="49"/>
      <c r="B35" t="s">
        <v>1408</v>
      </c>
      <c r="C35" t="s">
        <v>1409</v>
      </c>
      <c r="D35" t="s">
        <v>196</v>
      </c>
      <c r="E35" t="s">
        <v>1220</v>
      </c>
    </row>
    <row r="36" spans="1:7">
      <c r="A36" s="49"/>
      <c r="B36" t="s">
        <v>1410</v>
      </c>
      <c r="C36" t="s">
        <v>1411</v>
      </c>
      <c r="D36" t="s">
        <v>196</v>
      </c>
      <c r="E36" t="s">
        <v>1220</v>
      </c>
    </row>
    <row r="37" spans="1:7" ht="16.350000000000001" customHeight="1">
      <c r="A37" s="49" t="s">
        <v>695</v>
      </c>
      <c r="B37" t="s">
        <v>1084</v>
      </c>
      <c r="C37" t="s">
        <v>1412</v>
      </c>
      <c r="D37" t="s">
        <v>196</v>
      </c>
      <c r="E37" t="s">
        <v>351</v>
      </c>
    </row>
    <row r="38" spans="1:7">
      <c r="A38" s="49"/>
      <c r="B38" t="s">
        <v>1413</v>
      </c>
      <c r="C38" t="s">
        <v>1214</v>
      </c>
      <c r="D38" t="s">
        <v>193</v>
      </c>
      <c r="F38" t="s">
        <v>196</v>
      </c>
      <c r="G38" t="s">
        <v>110</v>
      </c>
    </row>
    <row r="39" spans="1:7">
      <c r="A39" s="49"/>
      <c r="B39" t="s">
        <v>1102</v>
      </c>
      <c r="C39" t="s">
        <v>1414</v>
      </c>
      <c r="D39" t="s">
        <v>196</v>
      </c>
      <c r="E39" t="s">
        <v>254</v>
      </c>
    </row>
    <row r="40" spans="1:7" ht="14.45" customHeight="1">
      <c r="B40" s="16" t="s">
        <v>261</v>
      </c>
      <c r="C40" s="16" t="s">
        <v>193</v>
      </c>
      <c r="D40" s="16">
        <f>COUNTIF(D2:D39,"No")</f>
        <v>9</v>
      </c>
      <c r="E40" s="16" t="s">
        <v>69</v>
      </c>
      <c r="F40" s="16">
        <f>COUNTIF(F2:F39,"Yes")</f>
        <v>5</v>
      </c>
    </row>
    <row r="41" spans="1:7" ht="14.45" customHeight="1">
      <c r="B41" s="6"/>
      <c r="C41" s="16" t="s">
        <v>196</v>
      </c>
      <c r="D41" s="16">
        <f>COUNTIF(D2:D39,"Yes")</f>
        <v>25</v>
      </c>
      <c r="E41" s="16" t="s">
        <v>70</v>
      </c>
      <c r="F41">
        <f>COUNTIFS(D:D,"Partial",F:F,"Yes")</f>
        <v>1</v>
      </c>
    </row>
    <row r="42" spans="1:7" ht="14.45" customHeight="1">
      <c r="B42" s="6"/>
      <c r="C42" s="16" t="s">
        <v>733</v>
      </c>
      <c r="D42" s="16">
        <f>COUNTIF(D2:D39,"Partial")</f>
        <v>4</v>
      </c>
      <c r="E42" s="10" t="s">
        <v>110</v>
      </c>
      <c r="F42">
        <f>COUNTIF($G$2:$G$39,E42)</f>
        <v>2</v>
      </c>
    </row>
    <row r="43" spans="1:7" ht="15">
      <c r="E43" s="10" t="s">
        <v>111</v>
      </c>
      <c r="F43">
        <f t="shared" ref="F43:F46" si="0">COUNTIF($G$2:$G$39,E43)</f>
        <v>0</v>
      </c>
    </row>
    <row r="44" spans="1:7" ht="15">
      <c r="E44" s="10" t="s">
        <v>112</v>
      </c>
      <c r="F44">
        <f t="shared" si="0"/>
        <v>3</v>
      </c>
    </row>
    <row r="45" spans="1:7" ht="15">
      <c r="E45" s="10" t="s">
        <v>480</v>
      </c>
      <c r="F45">
        <f t="shared" si="0"/>
        <v>0</v>
      </c>
    </row>
    <row r="46" spans="1:7" ht="15">
      <c r="E46" s="10" t="s">
        <v>114</v>
      </c>
      <c r="F46">
        <f t="shared" si="0"/>
        <v>0</v>
      </c>
    </row>
    <row r="47" spans="1:7" ht="15"/>
    <row r="48" spans="1:7" ht="15">
      <c r="E48" s="16" t="s">
        <v>1175</v>
      </c>
      <c r="F48" s="16">
        <f>COUNTIF(F2:F39,"No")</f>
        <v>8</v>
      </c>
    </row>
    <row r="73" spans="27:27">
      <c r="AA73" t="s">
        <v>709</v>
      </c>
    </row>
  </sheetData>
  <mergeCells count="10">
    <mergeCell ref="A2:A4"/>
    <mergeCell ref="A5:A6"/>
    <mergeCell ref="A7:A11"/>
    <mergeCell ref="A12:A14"/>
    <mergeCell ref="A15:A18"/>
    <mergeCell ref="A19:A23"/>
    <mergeCell ref="A24:A28"/>
    <mergeCell ref="A29:A30"/>
    <mergeCell ref="A31:A36"/>
    <mergeCell ref="A37:A39"/>
  </mergeCells>
  <conditionalFormatting sqref="D2:D24 D26:D39">
    <cfRule type="containsText" dxfId="201" priority="4" operator="containsText" text="Partial">
      <formula>NOT(ISERROR(SEARCH("Partial",D2)))</formula>
    </cfRule>
    <cfRule type="containsText" dxfId="200" priority="5" operator="containsText" text="No">
      <formula>NOT(ISERROR(SEARCH("No",D2)))</formula>
    </cfRule>
    <cfRule type="containsText" dxfId="199" priority="6" operator="containsText" text="Yes">
      <formula>NOT(ISERROR(SEARCH("Yes",D2)))</formula>
    </cfRule>
  </conditionalFormatting>
  <conditionalFormatting sqref="F2:F39">
    <cfRule type="containsText" dxfId="198" priority="2" operator="containsText" text="No">
      <formula>NOT(ISERROR(SEARCH("No",F2)))</formula>
    </cfRule>
    <cfRule type="containsText" dxfId="197" priority="3" operator="containsText" text="Yes">
      <formula>NOT(ISERROR(SEARCH("Yes",F2)))</formula>
    </cfRule>
  </conditionalFormatting>
  <conditionalFormatting sqref="G2:G108">
    <cfRule type="containsText" dxfId="196" priority="7" operator="containsText" text="No">
      <formula>NOT(ISERROR(SEARCH("No",G2)))</formula>
    </cfRule>
    <cfRule type="containsText" dxfId="19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0E00-000000000000}">
      <formula1>"Yes,No,Partial"</formula1>
      <formula2>0</formula2>
    </dataValidation>
    <dataValidation type="list" operator="equal" allowBlank="1" showInputMessage="1" showErrorMessage="1" sqref="F2:F39" xr:uid="{00000000-0002-0000-0E00-000001000000}">
      <formula1>"Yes,No"</formula1>
      <formula2>0</formula2>
    </dataValidation>
    <dataValidation operator="equal" allowBlank="1" showInputMessage="1" showErrorMessage="1" sqref="G2:G108" xr:uid="{00000000-0002-0000-0E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73"/>
  <sheetViews>
    <sheetView zoomScale="85" zoomScaleNormal="85" workbookViewId="0">
      <selection activeCell="E36" sqref="E36:F3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16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739</v>
      </c>
      <c r="C2" t="s">
        <v>1238</v>
      </c>
      <c r="D2" t="s">
        <v>196</v>
      </c>
      <c r="E2" t="s">
        <v>191</v>
      </c>
    </row>
    <row r="3" spans="1:8" ht="15" customHeight="1">
      <c r="A3" s="49"/>
      <c r="B3" t="s">
        <v>1415</v>
      </c>
      <c r="C3" t="s">
        <v>1416</v>
      </c>
      <c r="D3" t="s">
        <v>193</v>
      </c>
      <c r="F3" t="s">
        <v>196</v>
      </c>
      <c r="G3" t="s">
        <v>112</v>
      </c>
      <c r="H3" t="s">
        <v>1361</v>
      </c>
    </row>
    <row r="4" spans="1:8" ht="16.350000000000001" customHeight="1">
      <c r="A4" s="49" t="s">
        <v>513</v>
      </c>
      <c r="B4" t="s">
        <v>1417</v>
      </c>
      <c r="C4" t="s">
        <v>1418</v>
      </c>
      <c r="D4" t="s">
        <v>196</v>
      </c>
      <c r="E4" t="s">
        <v>199</v>
      </c>
    </row>
    <row r="5" spans="1:8">
      <c r="A5" s="49"/>
      <c r="B5" t="s">
        <v>1419</v>
      </c>
      <c r="C5" t="s">
        <v>1420</v>
      </c>
      <c r="D5" t="s">
        <v>196</v>
      </c>
      <c r="E5" t="s">
        <v>199</v>
      </c>
    </row>
    <row r="6" spans="1:8">
      <c r="A6" s="49"/>
      <c r="B6" t="s">
        <v>1421</v>
      </c>
      <c r="C6" t="s">
        <v>1422</v>
      </c>
      <c r="D6" t="s">
        <v>196</v>
      </c>
      <c r="E6" t="s">
        <v>199</v>
      </c>
    </row>
    <row r="7" spans="1:8">
      <c r="A7" s="49"/>
      <c r="B7" t="s">
        <v>1423</v>
      </c>
      <c r="C7" t="s">
        <v>1424</v>
      </c>
      <c r="D7" t="s">
        <v>196</v>
      </c>
      <c r="E7" t="s">
        <v>199</v>
      </c>
    </row>
    <row r="8" spans="1:8" ht="15" customHeight="1">
      <c r="A8" s="49" t="s">
        <v>519</v>
      </c>
      <c r="B8" t="s">
        <v>794</v>
      </c>
      <c r="C8" t="s">
        <v>1142</v>
      </c>
      <c r="D8" t="s">
        <v>196</v>
      </c>
      <c r="E8" t="s">
        <v>202</v>
      </c>
    </row>
    <row r="9" spans="1:8" ht="15" customHeight="1">
      <c r="A9" s="49"/>
      <c r="B9" t="s">
        <v>1425</v>
      </c>
      <c r="C9" t="s">
        <v>1190</v>
      </c>
      <c r="D9" t="s">
        <v>193</v>
      </c>
      <c r="F9" t="s">
        <v>196</v>
      </c>
      <c r="G9" t="s">
        <v>110</v>
      </c>
    </row>
    <row r="10" spans="1:8" ht="16.350000000000001" customHeight="1">
      <c r="A10" s="49" t="s">
        <v>536</v>
      </c>
      <c r="B10" t="s">
        <v>838</v>
      </c>
      <c r="C10" t="s">
        <v>1190</v>
      </c>
      <c r="D10" t="s">
        <v>196</v>
      </c>
      <c r="E10" t="s">
        <v>1426</v>
      </c>
    </row>
    <row r="11" spans="1:8">
      <c r="A11" s="49"/>
      <c r="B11" t="s">
        <v>864</v>
      </c>
      <c r="C11" t="s">
        <v>1427</v>
      </c>
      <c r="D11" t="s">
        <v>196</v>
      </c>
      <c r="E11" t="s">
        <v>218</v>
      </c>
    </row>
    <row r="12" spans="1:8">
      <c r="A12" s="49"/>
      <c r="B12" t="s">
        <v>854</v>
      </c>
      <c r="C12" t="s">
        <v>1428</v>
      </c>
      <c r="D12" t="s">
        <v>196</v>
      </c>
      <c r="E12" t="s">
        <v>216</v>
      </c>
    </row>
    <row r="13" spans="1:8">
      <c r="A13" s="49"/>
      <c r="B13" t="s">
        <v>564</v>
      </c>
      <c r="C13" t="s">
        <v>563</v>
      </c>
      <c r="D13" t="s">
        <v>193</v>
      </c>
      <c r="F13" t="s">
        <v>193</v>
      </c>
    </row>
    <row r="14" spans="1:8">
      <c r="A14" s="49"/>
      <c r="B14" t="s">
        <v>850</v>
      </c>
      <c r="C14" t="s">
        <v>1429</v>
      </c>
      <c r="D14" t="s">
        <v>196</v>
      </c>
      <c r="E14" t="s">
        <v>215</v>
      </c>
    </row>
    <row r="15" spans="1:8" ht="16.350000000000001" customHeight="1">
      <c r="A15" s="49" t="s">
        <v>589</v>
      </c>
      <c r="B15" t="s">
        <v>1430</v>
      </c>
      <c r="C15" t="s">
        <v>1431</v>
      </c>
      <c r="D15" t="s">
        <v>196</v>
      </c>
      <c r="E15" t="s">
        <v>226</v>
      </c>
    </row>
    <row r="16" spans="1:8">
      <c r="A16" s="49"/>
      <c r="B16" t="s">
        <v>601</v>
      </c>
      <c r="C16" t="s">
        <v>600</v>
      </c>
      <c r="D16" t="s">
        <v>193</v>
      </c>
      <c r="F16" t="s">
        <v>193</v>
      </c>
    </row>
    <row r="17" spans="1:8">
      <c r="A17" s="49"/>
      <c r="B17" t="s">
        <v>598</v>
      </c>
      <c r="C17" t="s">
        <v>1432</v>
      </c>
      <c r="D17" t="s">
        <v>193</v>
      </c>
      <c r="F17" t="s">
        <v>193</v>
      </c>
    </row>
    <row r="18" spans="1:8">
      <c r="A18" s="49"/>
      <c r="B18" t="s">
        <v>1433</v>
      </c>
      <c r="C18" t="s">
        <v>1434</v>
      </c>
      <c r="D18" t="s">
        <v>196</v>
      </c>
      <c r="E18" t="s">
        <v>226</v>
      </c>
    </row>
    <row r="19" spans="1:8" ht="15" customHeight="1">
      <c r="A19" s="3" t="s">
        <v>613</v>
      </c>
      <c r="B19" t="s">
        <v>927</v>
      </c>
      <c r="C19" t="s">
        <v>1162</v>
      </c>
      <c r="D19" t="s">
        <v>196</v>
      </c>
      <c r="E19" t="s">
        <v>231</v>
      </c>
    </row>
    <row r="20" spans="1:8" ht="16.350000000000001" customHeight="1">
      <c r="A20" s="49" t="s">
        <v>625</v>
      </c>
      <c r="B20" t="s">
        <v>1435</v>
      </c>
      <c r="C20" t="s">
        <v>1436</v>
      </c>
      <c r="D20" t="s">
        <v>196</v>
      </c>
      <c r="E20" t="s">
        <v>233</v>
      </c>
    </row>
    <row r="21" spans="1:8">
      <c r="A21" s="49"/>
      <c r="B21" t="s">
        <v>1437</v>
      </c>
      <c r="C21" t="s">
        <v>1438</v>
      </c>
      <c r="D21" t="s">
        <v>196</v>
      </c>
      <c r="E21" t="s">
        <v>233</v>
      </c>
    </row>
    <row r="22" spans="1:8">
      <c r="A22" s="49"/>
      <c r="B22" t="s">
        <v>634</v>
      </c>
      <c r="C22" t="s">
        <v>1439</v>
      </c>
      <c r="D22" t="s">
        <v>193</v>
      </c>
      <c r="F22" t="s">
        <v>193</v>
      </c>
    </row>
    <row r="23" spans="1:8">
      <c r="A23" s="49"/>
      <c r="B23" t="s">
        <v>983</v>
      </c>
      <c r="C23" t="s">
        <v>1440</v>
      </c>
      <c r="D23" t="s">
        <v>196</v>
      </c>
      <c r="E23" t="s">
        <v>234</v>
      </c>
    </row>
    <row r="24" spans="1:8">
      <c r="A24" s="49"/>
      <c r="B24" t="s">
        <v>992</v>
      </c>
      <c r="C24" t="s">
        <v>1441</v>
      </c>
      <c r="D24" t="s">
        <v>196</v>
      </c>
      <c r="E24" t="s">
        <v>235</v>
      </c>
    </row>
    <row r="25" spans="1:8" ht="15" customHeight="1">
      <c r="A25" s="44" t="s">
        <v>657</v>
      </c>
      <c r="B25" t="s">
        <v>1442</v>
      </c>
      <c r="C25" t="s">
        <v>1165</v>
      </c>
      <c r="D25" t="s">
        <v>196</v>
      </c>
      <c r="E25" t="s">
        <v>240</v>
      </c>
    </row>
    <row r="26" spans="1:8">
      <c r="A26" s="44"/>
      <c r="B26" t="s">
        <v>1443</v>
      </c>
      <c r="C26" t="s">
        <v>1444</v>
      </c>
      <c r="D26" t="s">
        <v>196</v>
      </c>
      <c r="E26" t="s">
        <v>240</v>
      </c>
    </row>
    <row r="27" spans="1:8" ht="16.350000000000001" customHeight="1">
      <c r="A27" s="49" t="s">
        <v>667</v>
      </c>
      <c r="B27" t="s">
        <v>1445</v>
      </c>
      <c r="C27" t="s">
        <v>1446</v>
      </c>
      <c r="D27" t="s">
        <v>196</v>
      </c>
      <c r="E27" t="s">
        <v>246</v>
      </c>
    </row>
    <row r="28" spans="1:8">
      <c r="A28" s="49"/>
      <c r="B28" t="s">
        <v>1447</v>
      </c>
      <c r="C28" t="s">
        <v>1448</v>
      </c>
      <c r="D28" t="s">
        <v>196</v>
      </c>
      <c r="E28" t="s">
        <v>246</v>
      </c>
    </row>
    <row r="29" spans="1:8">
      <c r="A29" s="49"/>
      <c r="B29" t="s">
        <v>678</v>
      </c>
      <c r="C29" t="s">
        <v>677</v>
      </c>
      <c r="D29" t="s">
        <v>193</v>
      </c>
      <c r="F29" t="s">
        <v>193</v>
      </c>
    </row>
    <row r="30" spans="1:8" ht="16.350000000000001" customHeight="1">
      <c r="A30" s="49" t="s">
        <v>695</v>
      </c>
      <c r="B30" t="s">
        <v>1449</v>
      </c>
      <c r="C30" t="s">
        <v>1450</v>
      </c>
      <c r="D30" t="s">
        <v>196</v>
      </c>
      <c r="E30" t="s">
        <v>351</v>
      </c>
    </row>
    <row r="31" spans="1:8">
      <c r="A31" s="49"/>
      <c r="B31" t="s">
        <v>1451</v>
      </c>
      <c r="C31" t="s">
        <v>1452</v>
      </c>
      <c r="D31" t="s">
        <v>193</v>
      </c>
      <c r="F31" t="s">
        <v>196</v>
      </c>
      <c r="G31" t="s">
        <v>110</v>
      </c>
      <c r="H31" t="s">
        <v>1453</v>
      </c>
    </row>
    <row r="32" spans="1:8">
      <c r="A32" s="49"/>
      <c r="B32" t="s">
        <v>1454</v>
      </c>
      <c r="C32" t="s">
        <v>1298</v>
      </c>
      <c r="D32" t="s">
        <v>193</v>
      </c>
      <c r="F32" t="s">
        <v>193</v>
      </c>
    </row>
    <row r="33" spans="1:6">
      <c r="A33" s="49"/>
      <c r="B33" t="s">
        <v>714</v>
      </c>
      <c r="C33" t="s">
        <v>713</v>
      </c>
      <c r="D33" t="s">
        <v>733</v>
      </c>
      <c r="E33" t="s">
        <v>351</v>
      </c>
      <c r="F33" t="s">
        <v>193</v>
      </c>
    </row>
    <row r="34" spans="1:6">
      <c r="A34" s="49"/>
      <c r="B34" t="s">
        <v>1114</v>
      </c>
      <c r="C34" t="s">
        <v>1174</v>
      </c>
      <c r="D34" t="s">
        <v>196</v>
      </c>
      <c r="E34" t="s">
        <v>254</v>
      </c>
    </row>
    <row r="35" spans="1:6" ht="14.45" customHeight="1">
      <c r="B35" s="16" t="s">
        <v>261</v>
      </c>
      <c r="C35" s="16" t="s">
        <v>193</v>
      </c>
      <c r="D35" s="16">
        <f>COUNTIF(D2:D34,"No")</f>
        <v>9</v>
      </c>
      <c r="E35" s="16" t="s">
        <v>69</v>
      </c>
      <c r="F35" s="16">
        <f>COUNTIF(F2:F34,"Yes")</f>
        <v>3</v>
      </c>
    </row>
    <row r="36" spans="1:6" ht="14.45" customHeight="1">
      <c r="B36" s="6"/>
      <c r="C36" s="16" t="s">
        <v>196</v>
      </c>
      <c r="D36" s="16">
        <f>COUNTIF(D2:D34,"Yes")</f>
        <v>23</v>
      </c>
      <c r="E36" s="16" t="s">
        <v>70</v>
      </c>
      <c r="F36">
        <f>COUNTIFS(D:D,"Partial",F:F,"Yes")</f>
        <v>0</v>
      </c>
    </row>
    <row r="37" spans="1:6" ht="14.45" customHeight="1">
      <c r="B37" s="6"/>
      <c r="C37" s="16" t="s">
        <v>733</v>
      </c>
      <c r="D37" s="16">
        <f>COUNTIF(D2:D34,"Partial")</f>
        <v>1</v>
      </c>
      <c r="E37" s="10" t="s">
        <v>110</v>
      </c>
      <c r="F37">
        <f>COUNTIF($G$2:$G$34,E37)</f>
        <v>2</v>
      </c>
    </row>
    <row r="38" spans="1:6" ht="15">
      <c r="E38" s="10" t="s">
        <v>111</v>
      </c>
      <c r="F38">
        <f t="shared" ref="F38:F41" si="0">COUNTIF($G$2:$G$34,E38)</f>
        <v>0</v>
      </c>
    </row>
    <row r="39" spans="1:6" ht="15">
      <c r="E39" s="10" t="s">
        <v>112</v>
      </c>
      <c r="F39">
        <f t="shared" si="0"/>
        <v>1</v>
      </c>
    </row>
    <row r="40" spans="1:6" ht="15">
      <c r="E40" s="10" t="s">
        <v>480</v>
      </c>
      <c r="F40">
        <f t="shared" si="0"/>
        <v>0</v>
      </c>
    </row>
    <row r="41" spans="1:6" ht="15">
      <c r="E41" s="10" t="s">
        <v>114</v>
      </c>
      <c r="F41">
        <f t="shared" si="0"/>
        <v>0</v>
      </c>
    </row>
    <row r="42" spans="1:6" ht="15"/>
    <row r="43" spans="1:6" ht="15">
      <c r="E43" s="16" t="s">
        <v>1175</v>
      </c>
      <c r="F43" s="16">
        <f>COUNTIF(F2:F34,"No")</f>
        <v>7</v>
      </c>
    </row>
    <row r="73" spans="27:27">
      <c r="AA73" t="s">
        <v>709</v>
      </c>
    </row>
  </sheetData>
  <mergeCells count="9">
    <mergeCell ref="A20:A24"/>
    <mergeCell ref="A25:A26"/>
    <mergeCell ref="A27:A29"/>
    <mergeCell ref="A30:A34"/>
    <mergeCell ref="A2:A3"/>
    <mergeCell ref="A4:A7"/>
    <mergeCell ref="A8:A9"/>
    <mergeCell ref="A10:A14"/>
    <mergeCell ref="A15:A18"/>
  </mergeCells>
  <conditionalFormatting sqref="D2:D34">
    <cfRule type="containsText" dxfId="194" priority="2" operator="containsText" text="Partial">
      <formula>NOT(ISERROR(SEARCH("Partial",D2)))</formula>
    </cfRule>
    <cfRule type="containsText" dxfId="193" priority="3" operator="containsText" text="No">
      <formula>NOT(ISERROR(SEARCH("No",D2)))</formula>
    </cfRule>
    <cfRule type="containsText" dxfId="192" priority="4" operator="containsText" text="Yes">
      <formula>NOT(ISERROR(SEARCH("Yes",D2)))</formula>
    </cfRule>
  </conditionalFormatting>
  <conditionalFormatting sqref="F2:F34">
    <cfRule type="containsText" dxfId="191" priority="5" operator="containsText" text="No">
      <formula>NOT(ISERROR(SEARCH("No",F2)))</formula>
    </cfRule>
    <cfRule type="containsText" dxfId="190" priority="6" operator="containsText" text="Yes">
      <formula>NOT(ISERROR(SEARCH("Yes",F2)))</formula>
    </cfRule>
  </conditionalFormatting>
  <conditionalFormatting sqref="G2:G108">
    <cfRule type="containsText" dxfId="189" priority="7" operator="containsText" text="No">
      <formula>NOT(ISERROR(SEARCH("No",G2)))</formula>
    </cfRule>
    <cfRule type="containsText" dxfId="18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4" xr:uid="{00000000-0002-0000-0F00-000000000000}">
      <formula1>"Yes,No,Partial"</formula1>
      <formula2>0</formula2>
    </dataValidation>
    <dataValidation type="list" operator="equal" allowBlank="1" showInputMessage="1" showErrorMessage="1" sqref="F2:F34" xr:uid="{00000000-0002-0000-0F00-000001000000}">
      <formula1>"Yes,No"</formula1>
      <formula2>0</formula2>
    </dataValidation>
    <dataValidation operator="equal" allowBlank="1" showInputMessage="1" showErrorMessage="1" sqref="G2:G108" xr:uid="{00000000-0002-0000-0F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35"/>
  <sheetViews>
    <sheetView topLeftCell="A107" zoomScale="85" zoomScaleNormal="85" workbookViewId="0">
      <selection activeCell="E128" sqref="E128:F128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19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1455</v>
      </c>
      <c r="C2" t="s">
        <v>1178</v>
      </c>
      <c r="D2" t="s">
        <v>196</v>
      </c>
      <c r="E2" t="s">
        <v>191</v>
      </c>
    </row>
    <row r="3" spans="1:8" ht="15" customHeight="1">
      <c r="A3" s="49"/>
      <c r="B3" t="s">
        <v>195</v>
      </c>
      <c r="C3" t="s">
        <v>1456</v>
      </c>
      <c r="D3" t="s">
        <v>193</v>
      </c>
      <c r="F3" t="s">
        <v>196</v>
      </c>
      <c r="G3" t="s">
        <v>112</v>
      </c>
      <c r="H3" t="s">
        <v>1361</v>
      </c>
    </row>
    <row r="4" spans="1:8" ht="15" customHeight="1">
      <c r="A4" s="49"/>
      <c r="B4" t="s">
        <v>1457</v>
      </c>
      <c r="C4" t="s">
        <v>1458</v>
      </c>
      <c r="D4" t="s">
        <v>196</v>
      </c>
      <c r="E4" t="s">
        <v>191</v>
      </c>
    </row>
    <row r="5" spans="1:8" ht="15" customHeight="1">
      <c r="A5" s="49"/>
      <c r="B5" t="s">
        <v>512</v>
      </c>
      <c r="C5" t="s">
        <v>511</v>
      </c>
      <c r="D5" t="s">
        <v>193</v>
      </c>
      <c r="F5" t="s">
        <v>193</v>
      </c>
    </row>
    <row r="6" spans="1:8" ht="15" customHeight="1">
      <c r="A6" s="49"/>
      <c r="B6" t="s">
        <v>197</v>
      </c>
      <c r="C6" t="s">
        <v>1459</v>
      </c>
      <c r="D6" t="s">
        <v>193</v>
      </c>
      <c r="F6" t="s">
        <v>196</v>
      </c>
      <c r="G6" t="s">
        <v>112</v>
      </c>
      <c r="H6" t="s">
        <v>1361</v>
      </c>
    </row>
    <row r="7" spans="1:8" ht="15" customHeight="1">
      <c r="A7" s="49"/>
      <c r="B7" t="s">
        <v>198</v>
      </c>
      <c r="C7" t="s">
        <v>1460</v>
      </c>
      <c r="D7" t="s">
        <v>193</v>
      </c>
      <c r="F7" t="s">
        <v>196</v>
      </c>
      <c r="G7" t="s">
        <v>112</v>
      </c>
      <c r="H7" t="s">
        <v>1361</v>
      </c>
    </row>
    <row r="8" spans="1:8" ht="16.350000000000001" customHeight="1">
      <c r="A8" s="49" t="s">
        <v>513</v>
      </c>
      <c r="B8" t="s">
        <v>1461</v>
      </c>
      <c r="C8" t="s">
        <v>1462</v>
      </c>
      <c r="D8" t="s">
        <v>196</v>
      </c>
      <c r="E8" t="s">
        <v>199</v>
      </c>
    </row>
    <row r="9" spans="1:8" ht="14.25" customHeight="1">
      <c r="A9" s="49"/>
      <c r="B9" t="s">
        <v>1463</v>
      </c>
      <c r="C9" t="s">
        <v>1464</v>
      </c>
      <c r="D9" t="s">
        <v>196</v>
      </c>
      <c r="E9" t="s">
        <v>199</v>
      </c>
    </row>
    <row r="10" spans="1:8" ht="14.25" customHeight="1">
      <c r="A10" s="49"/>
      <c r="B10" t="s">
        <v>1465</v>
      </c>
      <c r="C10" t="s">
        <v>1466</v>
      </c>
      <c r="D10" t="s">
        <v>196</v>
      </c>
      <c r="E10" t="s">
        <v>199</v>
      </c>
    </row>
    <row r="11" spans="1:8">
      <c r="A11" s="49"/>
      <c r="B11" t="s">
        <v>200</v>
      </c>
      <c r="C11" t="s">
        <v>1467</v>
      </c>
      <c r="D11" t="s">
        <v>193</v>
      </c>
      <c r="F11" t="s">
        <v>196</v>
      </c>
      <c r="G11" t="s">
        <v>110</v>
      </c>
    </row>
    <row r="12" spans="1:8">
      <c r="A12" s="49"/>
      <c r="B12" t="s">
        <v>1468</v>
      </c>
      <c r="C12" t="s">
        <v>1469</v>
      </c>
      <c r="D12" t="s">
        <v>196</v>
      </c>
      <c r="E12" t="s">
        <v>199</v>
      </c>
    </row>
    <row r="13" spans="1:8">
      <c r="A13" s="49"/>
      <c r="B13" t="s">
        <v>1470</v>
      </c>
      <c r="C13" t="s">
        <v>1471</v>
      </c>
      <c r="D13" t="s">
        <v>196</v>
      </c>
      <c r="E13" t="s">
        <v>199</v>
      </c>
    </row>
    <row r="14" spans="1:8">
      <c r="A14" s="49"/>
      <c r="B14" t="s">
        <v>1472</v>
      </c>
      <c r="C14" t="s">
        <v>1473</v>
      </c>
      <c r="D14" t="s">
        <v>196</v>
      </c>
      <c r="E14" t="s">
        <v>199</v>
      </c>
    </row>
    <row r="15" spans="1:8" ht="15" customHeight="1">
      <c r="A15" s="49" t="s">
        <v>519</v>
      </c>
      <c r="B15" t="s">
        <v>201</v>
      </c>
      <c r="C15" t="s">
        <v>1474</v>
      </c>
      <c r="D15" t="s">
        <v>193</v>
      </c>
      <c r="F15" t="s">
        <v>196</v>
      </c>
      <c r="G15" t="s">
        <v>112</v>
      </c>
      <c r="H15" t="s">
        <v>1147</v>
      </c>
    </row>
    <row r="16" spans="1:8" ht="15" customHeight="1">
      <c r="A16" s="49"/>
      <c r="B16" t="s">
        <v>820</v>
      </c>
      <c r="C16" t="s">
        <v>1475</v>
      </c>
      <c r="D16" t="s">
        <v>196</v>
      </c>
      <c r="E16" t="s">
        <v>1144</v>
      </c>
    </row>
    <row r="17" spans="1:8" ht="15" customHeight="1">
      <c r="A17" s="49"/>
      <c r="B17" t="s">
        <v>206</v>
      </c>
      <c r="C17" t="s">
        <v>1366</v>
      </c>
      <c r="D17" t="s">
        <v>193</v>
      </c>
      <c r="F17" t="s">
        <v>196</v>
      </c>
      <c r="G17" t="s">
        <v>112</v>
      </c>
      <c r="H17" t="s">
        <v>1147</v>
      </c>
    </row>
    <row r="18" spans="1:8" ht="15" customHeight="1">
      <c r="A18" s="49"/>
      <c r="B18" t="s">
        <v>207</v>
      </c>
      <c r="C18" t="s">
        <v>1476</v>
      </c>
      <c r="D18" t="s">
        <v>193</v>
      </c>
      <c r="F18" t="s">
        <v>196</v>
      </c>
      <c r="G18" t="s">
        <v>112</v>
      </c>
      <c r="H18" t="s">
        <v>1147</v>
      </c>
    </row>
    <row r="19" spans="1:8" ht="15" customHeight="1">
      <c r="A19" s="49"/>
      <c r="B19" t="s">
        <v>1477</v>
      </c>
      <c r="C19" t="s">
        <v>1478</v>
      </c>
      <c r="D19" t="s">
        <v>196</v>
      </c>
      <c r="E19" t="s">
        <v>202</v>
      </c>
    </row>
    <row r="20" spans="1:8" ht="15" customHeight="1">
      <c r="A20" s="49"/>
      <c r="B20" t="s">
        <v>1479</v>
      </c>
      <c r="C20" t="s">
        <v>1480</v>
      </c>
      <c r="D20" t="s">
        <v>196</v>
      </c>
      <c r="E20" t="s">
        <v>202</v>
      </c>
    </row>
    <row r="21" spans="1:8" ht="15" customHeight="1">
      <c r="A21" s="49"/>
      <c r="B21" t="s">
        <v>1481</v>
      </c>
      <c r="C21" t="s">
        <v>1482</v>
      </c>
      <c r="D21" t="s">
        <v>196</v>
      </c>
      <c r="E21" t="s">
        <v>202</v>
      </c>
    </row>
    <row r="22" spans="1:8" ht="15" customHeight="1">
      <c r="A22" s="49"/>
      <c r="B22" t="s">
        <v>208</v>
      </c>
      <c r="C22" t="s">
        <v>1146</v>
      </c>
      <c r="D22" t="s">
        <v>193</v>
      </c>
      <c r="F22" t="s">
        <v>196</v>
      </c>
      <c r="G22" t="s">
        <v>112</v>
      </c>
      <c r="H22" t="s">
        <v>1147</v>
      </c>
    </row>
    <row r="23" spans="1:8" ht="15" customHeight="1">
      <c r="A23" s="49"/>
      <c r="B23" t="s">
        <v>209</v>
      </c>
      <c r="C23" t="s">
        <v>1190</v>
      </c>
      <c r="D23" t="s">
        <v>193</v>
      </c>
      <c r="F23" t="s">
        <v>196</v>
      </c>
      <c r="G23" t="s">
        <v>110</v>
      </c>
    </row>
    <row r="24" spans="1:8" ht="15" customHeight="1">
      <c r="A24" s="49"/>
      <c r="B24" t="s">
        <v>210</v>
      </c>
      <c r="C24" t="s">
        <v>1483</v>
      </c>
      <c r="D24" t="s">
        <v>193</v>
      </c>
      <c r="F24" t="s">
        <v>196</v>
      </c>
      <c r="G24" t="s">
        <v>110</v>
      </c>
    </row>
    <row r="25" spans="1:8" ht="15" customHeight="1">
      <c r="A25" s="49"/>
      <c r="B25" t="s">
        <v>211</v>
      </c>
      <c r="C25" t="s">
        <v>1484</v>
      </c>
      <c r="D25" t="s">
        <v>193</v>
      </c>
      <c r="F25" t="s">
        <v>196</v>
      </c>
      <c r="G25" t="s">
        <v>110</v>
      </c>
    </row>
    <row r="26" spans="1:8" ht="15" customHeight="1">
      <c r="A26" s="49"/>
      <c r="B26" t="s">
        <v>212</v>
      </c>
      <c r="C26" t="s">
        <v>1485</v>
      </c>
      <c r="D26" t="s">
        <v>193</v>
      </c>
      <c r="F26" t="s">
        <v>196</v>
      </c>
      <c r="G26" t="s">
        <v>112</v>
      </c>
      <c r="H26" t="s">
        <v>1147</v>
      </c>
    </row>
    <row r="27" spans="1:8" ht="15" customHeight="1">
      <c r="A27" s="49"/>
      <c r="B27" t="s">
        <v>213</v>
      </c>
      <c r="C27" t="s">
        <v>1486</v>
      </c>
      <c r="D27" t="s">
        <v>193</v>
      </c>
      <c r="F27" t="s">
        <v>196</v>
      </c>
      <c r="G27" t="s">
        <v>112</v>
      </c>
      <c r="H27" t="s">
        <v>1147</v>
      </c>
    </row>
    <row r="28" spans="1:8" ht="15" customHeight="1">
      <c r="A28" s="49"/>
      <c r="B28" t="s">
        <v>1487</v>
      </c>
      <c r="C28" t="s">
        <v>1488</v>
      </c>
      <c r="D28" t="s">
        <v>196</v>
      </c>
      <c r="E28" t="s">
        <v>204</v>
      </c>
    </row>
    <row r="29" spans="1:8" ht="15" customHeight="1">
      <c r="A29" s="49"/>
      <c r="B29" t="s">
        <v>1489</v>
      </c>
      <c r="C29" t="s">
        <v>1490</v>
      </c>
      <c r="D29" t="s">
        <v>196</v>
      </c>
      <c r="E29" t="s">
        <v>204</v>
      </c>
    </row>
    <row r="30" spans="1:8" ht="15" customHeight="1">
      <c r="A30" s="49"/>
      <c r="B30" t="s">
        <v>1491</v>
      </c>
      <c r="C30" t="s">
        <v>1492</v>
      </c>
      <c r="D30" t="s">
        <v>196</v>
      </c>
      <c r="E30" t="s">
        <v>204</v>
      </c>
    </row>
    <row r="31" spans="1:8" ht="15" customHeight="1">
      <c r="A31" s="49"/>
      <c r="B31" t="s">
        <v>1493</v>
      </c>
      <c r="C31" t="s">
        <v>1494</v>
      </c>
      <c r="D31" t="s">
        <v>196</v>
      </c>
      <c r="E31" t="s">
        <v>204</v>
      </c>
    </row>
    <row r="32" spans="1:8" ht="16.350000000000001" customHeight="1">
      <c r="A32" s="49" t="s">
        <v>536</v>
      </c>
      <c r="B32" t="s">
        <v>1495</v>
      </c>
      <c r="C32" t="s">
        <v>1496</v>
      </c>
      <c r="D32" t="s">
        <v>196</v>
      </c>
      <c r="E32" t="s">
        <v>1497</v>
      </c>
    </row>
    <row r="33" spans="1:6" ht="14.25" customHeight="1">
      <c r="A33" s="49"/>
      <c r="B33" t="s">
        <v>1498</v>
      </c>
      <c r="C33" t="s">
        <v>1499</v>
      </c>
      <c r="D33" t="s">
        <v>196</v>
      </c>
      <c r="E33" t="s">
        <v>1497</v>
      </c>
    </row>
    <row r="34" spans="1:6" ht="14.25" customHeight="1">
      <c r="A34" s="49"/>
      <c r="B34" t="s">
        <v>865</v>
      </c>
      <c r="C34" t="s">
        <v>1500</v>
      </c>
      <c r="D34" t="s">
        <v>196</v>
      </c>
      <c r="E34" t="s">
        <v>218</v>
      </c>
    </row>
    <row r="35" spans="1:6" ht="14.25" customHeight="1">
      <c r="A35" s="49"/>
      <c r="B35" t="s">
        <v>585</v>
      </c>
      <c r="C35" t="s">
        <v>584</v>
      </c>
      <c r="D35" t="s">
        <v>193</v>
      </c>
      <c r="F35" t="s">
        <v>193</v>
      </c>
    </row>
    <row r="36" spans="1:6" ht="14.25" customHeight="1">
      <c r="A36" s="49"/>
      <c r="B36" t="s">
        <v>855</v>
      </c>
      <c r="C36" t="s">
        <v>1428</v>
      </c>
      <c r="D36" t="s">
        <v>196</v>
      </c>
      <c r="E36" t="s">
        <v>216</v>
      </c>
    </row>
    <row r="37" spans="1:6">
      <c r="A37" s="49"/>
      <c r="B37" t="s">
        <v>1501</v>
      </c>
      <c r="C37" t="s">
        <v>1502</v>
      </c>
      <c r="D37" t="s">
        <v>196</v>
      </c>
      <c r="E37" t="s">
        <v>216</v>
      </c>
    </row>
    <row r="38" spans="1:6">
      <c r="A38" s="49"/>
      <c r="B38" t="s">
        <v>550</v>
      </c>
      <c r="C38" t="s">
        <v>1372</v>
      </c>
      <c r="D38" t="s">
        <v>193</v>
      </c>
      <c r="F38" t="s">
        <v>193</v>
      </c>
    </row>
    <row r="39" spans="1:6">
      <c r="A39" s="49"/>
      <c r="B39" t="s">
        <v>565</v>
      </c>
      <c r="C39" t="s">
        <v>563</v>
      </c>
      <c r="D39" t="s">
        <v>193</v>
      </c>
      <c r="F39" t="s">
        <v>193</v>
      </c>
    </row>
    <row r="40" spans="1:6">
      <c r="A40" s="49"/>
      <c r="B40" t="s">
        <v>887</v>
      </c>
      <c r="C40" t="s">
        <v>1503</v>
      </c>
      <c r="D40" t="s">
        <v>196</v>
      </c>
      <c r="E40" t="s">
        <v>221</v>
      </c>
    </row>
    <row r="41" spans="1:6">
      <c r="A41" s="49"/>
      <c r="B41" t="s">
        <v>588</v>
      </c>
      <c r="C41" t="s">
        <v>587</v>
      </c>
      <c r="D41" t="s">
        <v>193</v>
      </c>
      <c r="F41" t="s">
        <v>193</v>
      </c>
    </row>
    <row r="42" spans="1:6">
      <c r="A42" s="49"/>
      <c r="B42" t="s">
        <v>872</v>
      </c>
      <c r="C42" t="s">
        <v>1504</v>
      </c>
      <c r="D42" t="s">
        <v>196</v>
      </c>
      <c r="E42" t="s">
        <v>219</v>
      </c>
    </row>
    <row r="43" spans="1:6">
      <c r="A43" s="49"/>
      <c r="B43" t="s">
        <v>859</v>
      </c>
      <c r="C43" t="s">
        <v>1505</v>
      </c>
      <c r="D43" t="s">
        <v>196</v>
      </c>
      <c r="E43" t="s">
        <v>217</v>
      </c>
    </row>
    <row r="44" spans="1:6" ht="16.350000000000001" customHeight="1">
      <c r="A44" s="49" t="s">
        <v>589</v>
      </c>
      <c r="B44" t="s">
        <v>1506</v>
      </c>
      <c r="C44" t="s">
        <v>1507</v>
      </c>
      <c r="D44" t="s">
        <v>196</v>
      </c>
      <c r="E44" t="s">
        <v>226</v>
      </c>
    </row>
    <row r="45" spans="1:6" ht="14.25" customHeight="1">
      <c r="A45" s="49"/>
      <c r="B45" t="s">
        <v>603</v>
      </c>
      <c r="C45" t="s">
        <v>1508</v>
      </c>
      <c r="D45" t="s">
        <v>193</v>
      </c>
      <c r="F45" t="s">
        <v>193</v>
      </c>
    </row>
    <row r="46" spans="1:6" ht="14.25" customHeight="1">
      <c r="A46" s="49"/>
      <c r="B46" t="s">
        <v>599</v>
      </c>
      <c r="C46" t="s">
        <v>1509</v>
      </c>
      <c r="D46" t="s">
        <v>193</v>
      </c>
      <c r="F46" t="s">
        <v>193</v>
      </c>
    </row>
    <row r="47" spans="1:6">
      <c r="A47" s="49"/>
      <c r="B47" t="s">
        <v>1510</v>
      </c>
      <c r="C47" t="s">
        <v>1154</v>
      </c>
      <c r="D47" t="s">
        <v>196</v>
      </c>
      <c r="E47" t="s">
        <v>226</v>
      </c>
    </row>
    <row r="48" spans="1:6">
      <c r="A48" s="49"/>
      <c r="B48" t="s">
        <v>1511</v>
      </c>
      <c r="C48" t="s">
        <v>1512</v>
      </c>
      <c r="D48" t="s">
        <v>196</v>
      </c>
      <c r="E48" t="s">
        <v>226</v>
      </c>
    </row>
    <row r="49" spans="1:8">
      <c r="A49" s="49"/>
      <c r="B49" t="s">
        <v>229</v>
      </c>
      <c r="C49" t="s">
        <v>1513</v>
      </c>
      <c r="D49" t="s">
        <v>193</v>
      </c>
      <c r="F49" t="s">
        <v>196</v>
      </c>
      <c r="G49" t="s">
        <v>111</v>
      </c>
      <c r="H49" t="s">
        <v>1361</v>
      </c>
    </row>
    <row r="50" spans="1:8">
      <c r="A50" s="49"/>
      <c r="B50" t="s">
        <v>230</v>
      </c>
      <c r="C50" t="s">
        <v>1514</v>
      </c>
      <c r="D50" t="s">
        <v>193</v>
      </c>
      <c r="F50" t="s">
        <v>196</v>
      </c>
      <c r="G50" t="s">
        <v>111</v>
      </c>
      <c r="H50" t="s">
        <v>1361</v>
      </c>
    </row>
    <row r="51" spans="1:8">
      <c r="A51" s="49"/>
      <c r="B51" t="s">
        <v>1515</v>
      </c>
      <c r="C51" t="s">
        <v>1516</v>
      </c>
      <c r="D51" t="s">
        <v>196</v>
      </c>
      <c r="E51" t="s">
        <v>226</v>
      </c>
    </row>
    <row r="52" spans="1:8">
      <c r="A52" s="49"/>
      <c r="B52" t="s">
        <v>1517</v>
      </c>
      <c r="C52" t="s">
        <v>1518</v>
      </c>
      <c r="D52" t="s">
        <v>196</v>
      </c>
      <c r="E52" t="s">
        <v>226</v>
      </c>
    </row>
    <row r="53" spans="1:8" ht="16.350000000000001" customHeight="1">
      <c r="A53" s="52" t="s">
        <v>613</v>
      </c>
      <c r="B53" t="s">
        <v>1519</v>
      </c>
      <c r="C53" t="s">
        <v>1329</v>
      </c>
      <c r="D53" t="s">
        <v>196</v>
      </c>
      <c r="E53" t="s">
        <v>231</v>
      </c>
    </row>
    <row r="54" spans="1:8">
      <c r="A54" s="52"/>
      <c r="B54" t="s">
        <v>1520</v>
      </c>
      <c r="C54" t="s">
        <v>1521</v>
      </c>
      <c r="D54" t="s">
        <v>196</v>
      </c>
      <c r="E54" t="s">
        <v>231</v>
      </c>
    </row>
    <row r="55" spans="1:8">
      <c r="A55" s="52"/>
      <c r="B55" t="s">
        <v>1522</v>
      </c>
      <c r="C55" t="s">
        <v>1523</v>
      </c>
      <c r="D55" t="s">
        <v>196</v>
      </c>
      <c r="E55" t="s">
        <v>231</v>
      </c>
    </row>
    <row r="56" spans="1:8">
      <c r="A56" s="52"/>
      <c r="B56" t="s">
        <v>1524</v>
      </c>
      <c r="C56" t="s">
        <v>1525</v>
      </c>
      <c r="D56" t="s">
        <v>196</v>
      </c>
      <c r="E56" t="s">
        <v>231</v>
      </c>
    </row>
    <row r="57" spans="1:8">
      <c r="A57" s="52"/>
      <c r="B57" t="s">
        <v>1526</v>
      </c>
      <c r="C57" t="s">
        <v>1527</v>
      </c>
      <c r="D57" t="s">
        <v>196</v>
      </c>
      <c r="E57" t="s">
        <v>231</v>
      </c>
    </row>
    <row r="58" spans="1:8">
      <c r="A58" s="52"/>
      <c r="B58" t="s">
        <v>1528</v>
      </c>
      <c r="C58" t="s">
        <v>1529</v>
      </c>
      <c r="D58" t="s">
        <v>196</v>
      </c>
      <c r="E58" t="s">
        <v>231</v>
      </c>
    </row>
    <row r="59" spans="1:8">
      <c r="A59" s="52"/>
      <c r="B59" t="s">
        <v>1530</v>
      </c>
      <c r="C59" t="s">
        <v>1531</v>
      </c>
      <c r="D59" t="s">
        <v>196</v>
      </c>
      <c r="E59" t="s">
        <v>231</v>
      </c>
    </row>
    <row r="60" spans="1:8">
      <c r="A60" s="52"/>
      <c r="B60" t="s">
        <v>622</v>
      </c>
      <c r="C60" t="s">
        <v>1532</v>
      </c>
      <c r="D60" t="s">
        <v>193</v>
      </c>
      <c r="F60" t="s">
        <v>193</v>
      </c>
    </row>
    <row r="61" spans="1:8" ht="16.350000000000001" customHeight="1">
      <c r="A61" s="49" t="s">
        <v>625</v>
      </c>
      <c r="B61" t="s">
        <v>1533</v>
      </c>
      <c r="C61" t="s">
        <v>1534</v>
      </c>
      <c r="D61" t="s">
        <v>196</v>
      </c>
      <c r="E61" t="s">
        <v>235</v>
      </c>
      <c r="H61" t="s">
        <v>1535</v>
      </c>
    </row>
    <row r="62" spans="1:8" ht="14.25" customHeight="1">
      <c r="A62" s="49"/>
      <c r="B62" t="s">
        <v>1536</v>
      </c>
      <c r="C62" t="s">
        <v>1537</v>
      </c>
      <c r="D62" t="s">
        <v>196</v>
      </c>
      <c r="E62" t="s">
        <v>233</v>
      </c>
    </row>
    <row r="63" spans="1:8" ht="14.25" customHeight="1">
      <c r="A63" s="49"/>
      <c r="B63" t="s">
        <v>1538</v>
      </c>
      <c r="C63" t="s">
        <v>1539</v>
      </c>
      <c r="D63" t="s">
        <v>196</v>
      </c>
      <c r="E63" t="s">
        <v>233</v>
      </c>
    </row>
    <row r="64" spans="1:8">
      <c r="A64" s="49"/>
      <c r="B64" t="s">
        <v>645</v>
      </c>
      <c r="C64" t="s">
        <v>1540</v>
      </c>
      <c r="D64" t="s">
        <v>193</v>
      </c>
      <c r="F64" t="s">
        <v>193</v>
      </c>
    </row>
    <row r="65" spans="1:27">
      <c r="A65" s="49"/>
      <c r="B65" t="s">
        <v>651</v>
      </c>
      <c r="C65" t="s">
        <v>650</v>
      </c>
      <c r="D65" t="s">
        <v>193</v>
      </c>
      <c r="F65" t="s">
        <v>193</v>
      </c>
    </row>
    <row r="66" spans="1:27">
      <c r="A66" s="49"/>
      <c r="B66" t="s">
        <v>653</v>
      </c>
      <c r="C66" t="s">
        <v>652</v>
      </c>
      <c r="D66" t="s">
        <v>193</v>
      </c>
      <c r="F66" t="s">
        <v>193</v>
      </c>
    </row>
    <row r="67" spans="1:27">
      <c r="A67" s="49"/>
      <c r="B67" t="s">
        <v>1541</v>
      </c>
      <c r="C67" t="s">
        <v>1542</v>
      </c>
      <c r="D67" t="s">
        <v>196</v>
      </c>
      <c r="E67" t="s">
        <v>233</v>
      </c>
    </row>
    <row r="68" spans="1:27">
      <c r="A68" s="49"/>
      <c r="B68" t="s">
        <v>635</v>
      </c>
      <c r="C68" t="s">
        <v>1543</v>
      </c>
      <c r="D68" t="s">
        <v>193</v>
      </c>
      <c r="F68" t="s">
        <v>193</v>
      </c>
    </row>
    <row r="69" spans="1:27">
      <c r="A69" s="49"/>
      <c r="B69" t="s">
        <v>1544</v>
      </c>
      <c r="C69" t="s">
        <v>1545</v>
      </c>
      <c r="D69" t="s">
        <v>196</v>
      </c>
      <c r="E69" t="s">
        <v>233</v>
      </c>
    </row>
    <row r="70" spans="1:27">
      <c r="A70" s="49"/>
      <c r="B70" t="s">
        <v>1546</v>
      </c>
      <c r="C70" t="s">
        <v>1547</v>
      </c>
      <c r="D70" t="s">
        <v>196</v>
      </c>
      <c r="E70" t="s">
        <v>233</v>
      </c>
    </row>
    <row r="71" spans="1:27">
      <c r="A71" s="49"/>
      <c r="B71" t="s">
        <v>1548</v>
      </c>
      <c r="C71" t="s">
        <v>1549</v>
      </c>
      <c r="D71" t="s">
        <v>196</v>
      </c>
      <c r="E71" t="s">
        <v>233</v>
      </c>
    </row>
    <row r="72" spans="1:27">
      <c r="A72" s="49"/>
      <c r="B72" t="s">
        <v>1550</v>
      </c>
      <c r="C72" t="s">
        <v>1551</v>
      </c>
      <c r="D72" t="s">
        <v>196</v>
      </c>
      <c r="E72" t="s">
        <v>233</v>
      </c>
    </row>
    <row r="73" spans="1:27">
      <c r="A73" s="49"/>
      <c r="B73" t="s">
        <v>1552</v>
      </c>
      <c r="C73" t="s">
        <v>1553</v>
      </c>
      <c r="D73" t="s">
        <v>196</v>
      </c>
      <c r="E73" t="s">
        <v>233</v>
      </c>
      <c r="AA73" t="s">
        <v>709</v>
      </c>
    </row>
    <row r="74" spans="1:27">
      <c r="A74" s="49"/>
      <c r="B74" t="s">
        <v>1554</v>
      </c>
      <c r="C74" t="s">
        <v>1555</v>
      </c>
      <c r="D74" t="s">
        <v>196</v>
      </c>
      <c r="E74" t="s">
        <v>235</v>
      </c>
    </row>
    <row r="75" spans="1:27">
      <c r="A75" s="49"/>
      <c r="B75" t="s">
        <v>1556</v>
      </c>
      <c r="C75" t="s">
        <v>1557</v>
      </c>
      <c r="D75" t="s">
        <v>196</v>
      </c>
      <c r="E75" t="s">
        <v>233</v>
      </c>
    </row>
    <row r="76" spans="1:27">
      <c r="A76" s="49"/>
      <c r="B76" t="s">
        <v>1558</v>
      </c>
      <c r="C76" t="s">
        <v>1559</v>
      </c>
      <c r="D76" t="s">
        <v>196</v>
      </c>
      <c r="E76" t="s">
        <v>233</v>
      </c>
    </row>
    <row r="77" spans="1:27">
      <c r="A77" s="49"/>
      <c r="B77" t="s">
        <v>1560</v>
      </c>
      <c r="C77" t="s">
        <v>1561</v>
      </c>
      <c r="D77" t="s">
        <v>196</v>
      </c>
      <c r="E77" t="s">
        <v>233</v>
      </c>
    </row>
    <row r="78" spans="1:27">
      <c r="A78" s="49"/>
      <c r="B78" t="s">
        <v>1562</v>
      </c>
      <c r="C78" t="s">
        <v>1563</v>
      </c>
      <c r="D78" t="s">
        <v>196</v>
      </c>
      <c r="E78" t="s">
        <v>233</v>
      </c>
    </row>
    <row r="79" spans="1:27">
      <c r="A79" s="49"/>
      <c r="B79" t="s">
        <v>1564</v>
      </c>
      <c r="C79" t="s">
        <v>1565</v>
      </c>
      <c r="D79" t="s">
        <v>196</v>
      </c>
      <c r="E79" t="s">
        <v>233</v>
      </c>
    </row>
    <row r="80" spans="1:27">
      <c r="A80" s="49"/>
      <c r="B80" t="s">
        <v>1566</v>
      </c>
      <c r="C80" t="s">
        <v>1567</v>
      </c>
      <c r="D80" t="s">
        <v>196</v>
      </c>
      <c r="E80" t="s">
        <v>233</v>
      </c>
    </row>
    <row r="81" spans="1:8">
      <c r="A81" s="49"/>
      <c r="B81" t="s">
        <v>1568</v>
      </c>
      <c r="C81" t="s">
        <v>1569</v>
      </c>
      <c r="D81" t="s">
        <v>196</v>
      </c>
      <c r="E81" t="s">
        <v>233</v>
      </c>
    </row>
    <row r="82" spans="1:8">
      <c r="A82" s="49"/>
      <c r="B82" t="s">
        <v>1570</v>
      </c>
      <c r="C82" t="s">
        <v>1571</v>
      </c>
      <c r="D82" t="s">
        <v>196</v>
      </c>
      <c r="E82" t="s">
        <v>233</v>
      </c>
    </row>
    <row r="83" spans="1:8">
      <c r="A83" s="49"/>
      <c r="B83" t="s">
        <v>1572</v>
      </c>
      <c r="C83" t="s">
        <v>1573</v>
      </c>
      <c r="D83" t="s">
        <v>196</v>
      </c>
      <c r="E83" t="s">
        <v>233</v>
      </c>
    </row>
    <row r="84" spans="1:8">
      <c r="A84" s="49"/>
      <c r="B84" t="s">
        <v>1574</v>
      </c>
      <c r="C84" t="s">
        <v>1575</v>
      </c>
      <c r="D84" t="s">
        <v>196</v>
      </c>
      <c r="E84" t="s">
        <v>233</v>
      </c>
    </row>
    <row r="85" spans="1:8">
      <c r="A85" s="49"/>
      <c r="B85" t="s">
        <v>1576</v>
      </c>
      <c r="C85" t="s">
        <v>1577</v>
      </c>
      <c r="D85" t="s">
        <v>196</v>
      </c>
      <c r="E85" t="s">
        <v>233</v>
      </c>
    </row>
    <row r="86" spans="1:8">
      <c r="A86" s="49"/>
      <c r="B86" t="s">
        <v>1578</v>
      </c>
      <c r="C86" t="s">
        <v>1579</v>
      </c>
      <c r="D86" t="s">
        <v>196</v>
      </c>
      <c r="E86" t="s">
        <v>233</v>
      </c>
    </row>
    <row r="87" spans="1:8">
      <c r="A87" s="49"/>
      <c r="B87" t="s">
        <v>1580</v>
      </c>
      <c r="C87" t="s">
        <v>1581</v>
      </c>
      <c r="D87" t="s">
        <v>196</v>
      </c>
      <c r="E87" t="s">
        <v>233</v>
      </c>
    </row>
    <row r="88" spans="1:8">
      <c r="A88" s="49"/>
      <c r="B88" t="s">
        <v>1582</v>
      </c>
      <c r="C88" t="s">
        <v>1583</v>
      </c>
      <c r="D88" t="s">
        <v>196</v>
      </c>
      <c r="E88" t="s">
        <v>233</v>
      </c>
    </row>
    <row r="89" spans="1:8">
      <c r="A89" s="49"/>
      <c r="B89" t="s">
        <v>1584</v>
      </c>
      <c r="C89" t="s">
        <v>1585</v>
      </c>
      <c r="D89" t="s">
        <v>196</v>
      </c>
      <c r="E89" t="s">
        <v>233</v>
      </c>
    </row>
    <row r="90" spans="1:8">
      <c r="A90" s="49"/>
      <c r="B90" t="s">
        <v>1586</v>
      </c>
      <c r="C90" t="s">
        <v>1587</v>
      </c>
      <c r="D90" t="s">
        <v>196</v>
      </c>
      <c r="E90" t="s">
        <v>233</v>
      </c>
    </row>
    <row r="91" spans="1:8">
      <c r="A91" s="49"/>
      <c r="B91" t="s">
        <v>1588</v>
      </c>
      <c r="C91" t="s">
        <v>1589</v>
      </c>
      <c r="D91" t="s">
        <v>196</v>
      </c>
      <c r="E91" t="s">
        <v>233</v>
      </c>
    </row>
    <row r="92" spans="1:8">
      <c r="A92" s="49"/>
      <c r="B92" t="s">
        <v>1590</v>
      </c>
      <c r="C92" t="s">
        <v>1591</v>
      </c>
      <c r="D92" t="s">
        <v>196</v>
      </c>
      <c r="E92" t="s">
        <v>233</v>
      </c>
    </row>
    <row r="93" spans="1:8">
      <c r="A93" s="49"/>
      <c r="B93" t="s">
        <v>984</v>
      </c>
      <c r="C93" t="s">
        <v>1592</v>
      </c>
      <c r="D93" t="s">
        <v>196</v>
      </c>
      <c r="E93" t="s">
        <v>234</v>
      </c>
    </row>
    <row r="94" spans="1:8" ht="15" customHeight="1">
      <c r="A94" s="49" t="s">
        <v>657</v>
      </c>
      <c r="B94" t="s">
        <v>1004</v>
      </c>
      <c r="C94" t="s">
        <v>1593</v>
      </c>
      <c r="D94" t="s">
        <v>196</v>
      </c>
      <c r="E94" t="s">
        <v>240</v>
      </c>
    </row>
    <row r="95" spans="1:8">
      <c r="A95" s="49"/>
      <c r="B95" t="s">
        <v>664</v>
      </c>
      <c r="C95" t="s">
        <v>1594</v>
      </c>
      <c r="D95" t="s">
        <v>193</v>
      </c>
      <c r="F95" t="s">
        <v>193</v>
      </c>
    </row>
    <row r="96" spans="1:8">
      <c r="A96" s="49"/>
      <c r="B96" t="s">
        <v>243</v>
      </c>
      <c r="C96" t="s">
        <v>1595</v>
      </c>
      <c r="D96" t="s">
        <v>193</v>
      </c>
      <c r="F96" t="s">
        <v>196</v>
      </c>
      <c r="G96" t="s">
        <v>114</v>
      </c>
      <c r="H96" t="s">
        <v>1596</v>
      </c>
    </row>
    <row r="97" spans="1:8">
      <c r="A97" s="49"/>
      <c r="B97" t="s">
        <v>666</v>
      </c>
      <c r="C97" t="s">
        <v>665</v>
      </c>
      <c r="D97" t="s">
        <v>193</v>
      </c>
      <c r="F97" t="s">
        <v>193</v>
      </c>
    </row>
    <row r="98" spans="1:8">
      <c r="A98" s="49"/>
      <c r="B98" t="s">
        <v>244</v>
      </c>
      <c r="C98" t="s">
        <v>1597</v>
      </c>
      <c r="D98" t="s">
        <v>193</v>
      </c>
      <c r="F98" t="s">
        <v>196</v>
      </c>
      <c r="G98" t="s">
        <v>114</v>
      </c>
      <c r="H98" t="s">
        <v>1596</v>
      </c>
    </row>
    <row r="99" spans="1:8">
      <c r="A99" s="49"/>
      <c r="B99" t="s">
        <v>245</v>
      </c>
      <c r="C99" t="s">
        <v>1598</v>
      </c>
      <c r="D99" t="s">
        <v>193</v>
      </c>
      <c r="F99" t="s">
        <v>196</v>
      </c>
      <c r="G99" t="s">
        <v>114</v>
      </c>
      <c r="H99" t="s">
        <v>1596</v>
      </c>
    </row>
    <row r="100" spans="1:8" ht="16.350000000000001" customHeight="1">
      <c r="A100" s="49" t="s">
        <v>667</v>
      </c>
      <c r="B100" t="s">
        <v>1599</v>
      </c>
      <c r="C100" t="s">
        <v>1600</v>
      </c>
      <c r="D100" t="s">
        <v>196</v>
      </c>
      <c r="E100" t="s">
        <v>248</v>
      </c>
    </row>
    <row r="101" spans="1:8" ht="14.25" customHeight="1">
      <c r="A101" s="49"/>
      <c r="B101" t="s">
        <v>1601</v>
      </c>
      <c r="C101" t="s">
        <v>1602</v>
      </c>
      <c r="D101" t="s">
        <v>196</v>
      </c>
      <c r="E101" t="s">
        <v>246</v>
      </c>
    </row>
    <row r="102" spans="1:8" ht="14.25" customHeight="1">
      <c r="A102" s="49"/>
      <c r="B102" t="s">
        <v>252</v>
      </c>
      <c r="C102" t="s">
        <v>1603</v>
      </c>
      <c r="D102" t="s">
        <v>193</v>
      </c>
      <c r="F102" t="s">
        <v>196</v>
      </c>
      <c r="G102" t="s">
        <v>111</v>
      </c>
      <c r="H102" t="s">
        <v>1604</v>
      </c>
    </row>
    <row r="103" spans="1:8">
      <c r="A103" s="49"/>
      <c r="B103" t="s">
        <v>1605</v>
      </c>
      <c r="C103" t="s">
        <v>1606</v>
      </c>
      <c r="D103" t="s">
        <v>196</v>
      </c>
      <c r="E103" t="s">
        <v>246</v>
      </c>
    </row>
    <row r="104" spans="1:8">
      <c r="A104" s="49"/>
      <c r="B104" t="s">
        <v>1607</v>
      </c>
      <c r="C104" t="s">
        <v>1608</v>
      </c>
      <c r="D104" t="s">
        <v>196</v>
      </c>
      <c r="E104" t="s">
        <v>248</v>
      </c>
    </row>
    <row r="105" spans="1:8">
      <c r="A105" s="49"/>
      <c r="B105" t="s">
        <v>1609</v>
      </c>
      <c r="C105" t="s">
        <v>1610</v>
      </c>
      <c r="D105" t="s">
        <v>196</v>
      </c>
      <c r="E105" t="s">
        <v>246</v>
      </c>
    </row>
    <row r="106" spans="1:8">
      <c r="A106" s="49"/>
      <c r="B106" t="s">
        <v>689</v>
      </c>
      <c r="C106" t="s">
        <v>1611</v>
      </c>
      <c r="D106" t="s">
        <v>193</v>
      </c>
      <c r="F106" t="s">
        <v>193</v>
      </c>
    </row>
    <row r="107" spans="1:8">
      <c r="A107" s="49"/>
      <c r="B107" t="s">
        <v>1612</v>
      </c>
      <c r="C107" t="s">
        <v>1613</v>
      </c>
      <c r="D107" t="s">
        <v>196</v>
      </c>
      <c r="E107" t="s">
        <v>246</v>
      </c>
    </row>
    <row r="108" spans="1:8">
      <c r="A108" s="49"/>
      <c r="B108" t="s">
        <v>1614</v>
      </c>
      <c r="C108" t="s">
        <v>1615</v>
      </c>
      <c r="D108" t="s">
        <v>196</v>
      </c>
      <c r="E108" t="s">
        <v>248</v>
      </c>
    </row>
    <row r="109" spans="1:8">
      <c r="A109" s="49"/>
      <c r="B109" t="s">
        <v>1057</v>
      </c>
      <c r="C109" t="s">
        <v>1616</v>
      </c>
      <c r="D109" t="s">
        <v>196</v>
      </c>
      <c r="E109" t="s">
        <v>247</v>
      </c>
    </row>
    <row r="110" spans="1:8">
      <c r="A110" s="49"/>
      <c r="B110" t="s">
        <v>680</v>
      </c>
      <c r="C110" t="s">
        <v>1617</v>
      </c>
      <c r="D110" t="s">
        <v>193</v>
      </c>
      <c r="F110" t="s">
        <v>193</v>
      </c>
    </row>
    <row r="111" spans="1:8">
      <c r="A111" s="49"/>
      <c r="B111" t="s">
        <v>676</v>
      </c>
      <c r="C111" t="s">
        <v>1618</v>
      </c>
      <c r="D111" t="s">
        <v>193</v>
      </c>
      <c r="F111" t="s">
        <v>193</v>
      </c>
    </row>
    <row r="112" spans="1:8">
      <c r="A112" s="49"/>
      <c r="B112" t="s">
        <v>1619</v>
      </c>
      <c r="C112" t="s">
        <v>1620</v>
      </c>
      <c r="D112" t="s">
        <v>196</v>
      </c>
      <c r="E112" t="s">
        <v>246</v>
      </c>
    </row>
    <row r="113" spans="1:8">
      <c r="A113" s="49"/>
      <c r="B113" t="s">
        <v>1621</v>
      </c>
      <c r="C113" t="s">
        <v>1622</v>
      </c>
      <c r="D113" t="s">
        <v>196</v>
      </c>
      <c r="E113" t="s">
        <v>246</v>
      </c>
    </row>
    <row r="114" spans="1:8">
      <c r="A114" s="49"/>
      <c r="B114" t="s">
        <v>1623</v>
      </c>
      <c r="C114" t="s">
        <v>1624</v>
      </c>
      <c r="D114" t="s">
        <v>196</v>
      </c>
      <c r="E114" t="s">
        <v>248</v>
      </c>
    </row>
    <row r="115" spans="1:8" ht="16.350000000000001" customHeight="1">
      <c r="A115" s="49" t="s">
        <v>695</v>
      </c>
      <c r="B115" t="s">
        <v>1625</v>
      </c>
      <c r="C115" t="s">
        <v>1349</v>
      </c>
      <c r="D115" t="s">
        <v>196</v>
      </c>
      <c r="E115" t="s">
        <v>253</v>
      </c>
    </row>
    <row r="116" spans="1:8" ht="14.25" customHeight="1">
      <c r="A116" s="49"/>
      <c r="B116" t="s">
        <v>1626</v>
      </c>
      <c r="C116" t="s">
        <v>1627</v>
      </c>
      <c r="D116" t="s">
        <v>196</v>
      </c>
      <c r="E116" t="s">
        <v>253</v>
      </c>
    </row>
    <row r="117" spans="1:8">
      <c r="A117" s="49"/>
      <c r="B117" t="s">
        <v>1628</v>
      </c>
      <c r="C117" t="s">
        <v>1629</v>
      </c>
      <c r="D117" t="s">
        <v>196</v>
      </c>
      <c r="E117" t="s">
        <v>253</v>
      </c>
    </row>
    <row r="118" spans="1:8">
      <c r="A118" s="49"/>
      <c r="B118" t="s">
        <v>706</v>
      </c>
      <c r="C118" t="s">
        <v>1630</v>
      </c>
      <c r="D118" t="s">
        <v>193</v>
      </c>
      <c r="F118" t="s">
        <v>193</v>
      </c>
    </row>
    <row r="119" spans="1:8">
      <c r="A119" s="49"/>
      <c r="B119" t="s">
        <v>256</v>
      </c>
      <c r="C119" t="s">
        <v>1631</v>
      </c>
      <c r="D119" t="s">
        <v>193</v>
      </c>
      <c r="F119" t="s">
        <v>196</v>
      </c>
      <c r="G119" t="s">
        <v>111</v>
      </c>
      <c r="H119" t="s">
        <v>1632</v>
      </c>
    </row>
    <row r="120" spans="1:8">
      <c r="A120" s="49"/>
      <c r="B120" t="s">
        <v>257</v>
      </c>
      <c r="C120" t="s">
        <v>1633</v>
      </c>
      <c r="D120" t="s">
        <v>193</v>
      </c>
      <c r="F120" t="s">
        <v>196</v>
      </c>
      <c r="G120" t="s">
        <v>111</v>
      </c>
      <c r="H120" t="s">
        <v>1632</v>
      </c>
    </row>
    <row r="121" spans="1:8">
      <c r="A121" s="49"/>
      <c r="B121" t="s">
        <v>258</v>
      </c>
      <c r="C121" t="s">
        <v>1634</v>
      </c>
      <c r="D121" t="s">
        <v>193</v>
      </c>
      <c r="F121" t="s">
        <v>196</v>
      </c>
      <c r="G121" t="s">
        <v>114</v>
      </c>
      <c r="H121" t="s">
        <v>1604</v>
      </c>
    </row>
    <row r="122" spans="1:8">
      <c r="A122" s="49"/>
      <c r="B122" t="s">
        <v>259</v>
      </c>
      <c r="C122" t="s">
        <v>1635</v>
      </c>
      <c r="D122" t="s">
        <v>193</v>
      </c>
      <c r="F122" t="s">
        <v>196</v>
      </c>
      <c r="G122" t="s">
        <v>480</v>
      </c>
      <c r="H122" t="s">
        <v>1636</v>
      </c>
    </row>
    <row r="123" spans="1:8">
      <c r="A123" s="49"/>
      <c r="B123" t="s">
        <v>1637</v>
      </c>
      <c r="C123" t="s">
        <v>1638</v>
      </c>
      <c r="D123" t="s">
        <v>196</v>
      </c>
      <c r="E123" t="s">
        <v>253</v>
      </c>
    </row>
    <row r="124" spans="1:8">
      <c r="A124" s="49"/>
      <c r="B124" t="s">
        <v>1639</v>
      </c>
      <c r="C124" t="s">
        <v>1640</v>
      </c>
      <c r="D124" t="s">
        <v>196</v>
      </c>
      <c r="E124" t="s">
        <v>253</v>
      </c>
    </row>
    <row r="125" spans="1:8">
      <c r="A125" s="49"/>
      <c r="B125" t="s">
        <v>260</v>
      </c>
      <c r="C125" t="s">
        <v>1641</v>
      </c>
      <c r="D125" t="s">
        <v>193</v>
      </c>
      <c r="F125" t="s">
        <v>196</v>
      </c>
      <c r="G125" t="s">
        <v>111</v>
      </c>
      <c r="H125" t="s">
        <v>1632</v>
      </c>
    </row>
    <row r="126" spans="1:8">
      <c r="A126" s="49"/>
      <c r="B126" t="s">
        <v>1115</v>
      </c>
      <c r="C126" t="s">
        <v>1642</v>
      </c>
      <c r="D126" t="s">
        <v>196</v>
      </c>
      <c r="E126" t="s">
        <v>254</v>
      </c>
    </row>
    <row r="127" spans="1:8" ht="14.45" customHeight="1">
      <c r="B127" s="16" t="s">
        <v>261</v>
      </c>
      <c r="C127" s="16" t="s">
        <v>193</v>
      </c>
      <c r="D127" s="16">
        <f>COUNTIF(D2:D126,"No")</f>
        <v>42</v>
      </c>
      <c r="E127" s="16" t="s">
        <v>69</v>
      </c>
      <c r="F127" s="16">
        <f>COUNTIF(F2:F126,"Yes")</f>
        <v>24</v>
      </c>
    </row>
    <row r="128" spans="1:8" ht="15">
      <c r="B128" s="6"/>
      <c r="C128" s="16" t="s">
        <v>196</v>
      </c>
      <c r="D128" s="16">
        <f>COUNTIF(D2:D126,"Yes")</f>
        <v>83</v>
      </c>
      <c r="E128" s="16" t="s">
        <v>70</v>
      </c>
      <c r="F128">
        <f>COUNTIFS(D:D,"Partial",F:F,"Yes")</f>
        <v>0</v>
      </c>
    </row>
    <row r="129" spans="2:6" ht="15">
      <c r="B129" s="6"/>
      <c r="C129" s="16" t="s">
        <v>733</v>
      </c>
      <c r="D129" s="16">
        <f>COUNTIF(D2:D126,"Partial")</f>
        <v>0</v>
      </c>
      <c r="E129" s="10" t="s">
        <v>110</v>
      </c>
      <c r="F129">
        <f>COUNTIF($G$2:$G$126,E129)</f>
        <v>4</v>
      </c>
    </row>
    <row r="130" spans="2:6" ht="15">
      <c r="E130" s="10" t="s">
        <v>111</v>
      </c>
      <c r="F130">
        <f t="shared" ref="F130:F133" si="0">COUNTIF($G$2:$G$126,E130)</f>
        <v>6</v>
      </c>
    </row>
    <row r="131" spans="2:6" ht="15">
      <c r="E131" s="10" t="s">
        <v>112</v>
      </c>
      <c r="F131">
        <f t="shared" si="0"/>
        <v>9</v>
      </c>
    </row>
    <row r="132" spans="2:6" ht="15">
      <c r="E132" s="10" t="s">
        <v>480</v>
      </c>
      <c r="F132">
        <f t="shared" si="0"/>
        <v>1</v>
      </c>
    </row>
    <row r="133" spans="2:6" ht="15">
      <c r="E133" s="10" t="s">
        <v>114</v>
      </c>
      <c r="F133">
        <f t="shared" si="0"/>
        <v>4</v>
      </c>
    </row>
    <row r="134" spans="2:6" ht="15">
      <c r="E134" s="10"/>
    </row>
    <row r="135" spans="2:6" ht="15">
      <c r="E135" s="16" t="s">
        <v>1175</v>
      </c>
      <c r="F135" s="16">
        <f>COUNTIF(F2:F126,"No")</f>
        <v>18</v>
      </c>
    </row>
  </sheetData>
  <mergeCells count="10">
    <mergeCell ref="A2:A7"/>
    <mergeCell ref="A8:A14"/>
    <mergeCell ref="A15:A31"/>
    <mergeCell ref="A32:A43"/>
    <mergeCell ref="A44:A52"/>
    <mergeCell ref="A53:A60"/>
    <mergeCell ref="A61:A93"/>
    <mergeCell ref="A94:A99"/>
    <mergeCell ref="A100:A114"/>
    <mergeCell ref="A115:A126"/>
  </mergeCells>
  <conditionalFormatting sqref="D2:D126">
    <cfRule type="containsText" dxfId="187" priority="4" operator="containsText" text="Partial">
      <formula>NOT(ISERROR(SEARCH("Partial",D2)))</formula>
    </cfRule>
    <cfRule type="containsText" dxfId="186" priority="5" operator="containsText" text="No">
      <formula>NOT(ISERROR(SEARCH("No",D2)))</formula>
    </cfRule>
    <cfRule type="containsText" dxfId="185" priority="6" operator="containsText" text="Yes">
      <formula>NOT(ISERROR(SEARCH("Yes",D2)))</formula>
    </cfRule>
  </conditionalFormatting>
  <conditionalFormatting sqref="E134">
    <cfRule type="containsText" dxfId="184" priority="1" operator="containsText" text="No">
      <formula>NOT(ISERROR(SEARCH("No",E134)))</formula>
    </cfRule>
    <cfRule type="containsText" dxfId="183" priority="2" operator="containsText" text="Yes">
      <formula>NOT(ISERROR(SEARCH("Yes",E134)))</formula>
    </cfRule>
  </conditionalFormatting>
  <conditionalFormatting sqref="F2:F126">
    <cfRule type="containsText" dxfId="182" priority="7" operator="containsText" text="No">
      <formula>NOT(ISERROR(SEARCH("No",F2)))</formula>
    </cfRule>
    <cfRule type="containsText" dxfId="181" priority="8" operator="containsText" text="Yes">
      <formula>NOT(ISERROR(SEARCH("Yes",F2)))</formula>
    </cfRule>
  </conditionalFormatting>
  <conditionalFormatting sqref="G2:G108 G119:G122 G125">
    <cfRule type="containsText" dxfId="180" priority="9" operator="containsText" text="No">
      <formula>NOT(ISERROR(SEARCH("No",G2)))</formula>
    </cfRule>
    <cfRule type="containsText" dxfId="179" priority="10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126" xr:uid="{00000000-0002-0000-1000-000000000000}">
      <formula1>"Yes,No,Partial"</formula1>
      <formula2>0</formula2>
    </dataValidation>
    <dataValidation type="list" operator="equal" allowBlank="1" showInputMessage="1" showErrorMessage="1" sqref="F2:F126" xr:uid="{00000000-0002-0000-1000-000001000000}">
      <formula1>"Yes,No"</formula1>
      <formula2>0</formula2>
    </dataValidation>
    <dataValidation operator="equal" allowBlank="1" showInputMessage="1" showErrorMessage="1" sqref="G2:G108 G119:G122 G125 E134" xr:uid="{00000000-0002-0000-10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73"/>
  <sheetViews>
    <sheetView zoomScale="85" zoomScaleNormal="85" workbookViewId="0">
      <selection activeCell="E38" sqref="E38:F38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22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1643</v>
      </c>
      <c r="C2" t="s">
        <v>1644</v>
      </c>
      <c r="D2" t="s">
        <v>193</v>
      </c>
      <c r="F2" t="s">
        <v>196</v>
      </c>
      <c r="G2" t="s">
        <v>111</v>
      </c>
    </row>
    <row r="3" spans="1:8" ht="15" customHeight="1">
      <c r="A3" s="49"/>
      <c r="B3" t="s">
        <v>741</v>
      </c>
      <c r="C3" t="s">
        <v>1645</v>
      </c>
      <c r="D3" t="s">
        <v>196</v>
      </c>
      <c r="E3" t="s">
        <v>191</v>
      </c>
    </row>
    <row r="4" spans="1:8" ht="15" customHeight="1">
      <c r="A4" s="49"/>
      <c r="B4" t="s">
        <v>1646</v>
      </c>
      <c r="C4" t="s">
        <v>1647</v>
      </c>
      <c r="D4" t="s">
        <v>193</v>
      </c>
      <c r="F4" t="s">
        <v>196</v>
      </c>
      <c r="G4" t="s">
        <v>111</v>
      </c>
    </row>
    <row r="5" spans="1:8" ht="16.350000000000001" customHeight="1">
      <c r="A5" s="49" t="s">
        <v>513</v>
      </c>
      <c r="B5" t="s">
        <v>1648</v>
      </c>
      <c r="C5" t="s">
        <v>1649</v>
      </c>
      <c r="D5" t="s">
        <v>193</v>
      </c>
      <c r="F5" t="s">
        <v>196</v>
      </c>
      <c r="G5" t="s">
        <v>480</v>
      </c>
      <c r="H5" t="s">
        <v>1650</v>
      </c>
    </row>
    <row r="6" spans="1:8">
      <c r="A6" s="49"/>
      <c r="B6" t="s">
        <v>1651</v>
      </c>
      <c r="C6" t="s">
        <v>1652</v>
      </c>
      <c r="D6" t="s">
        <v>196</v>
      </c>
      <c r="E6" t="s">
        <v>199</v>
      </c>
    </row>
    <row r="7" spans="1:8">
      <c r="A7" s="49"/>
      <c r="B7" t="s">
        <v>1653</v>
      </c>
      <c r="C7" t="s">
        <v>1654</v>
      </c>
      <c r="D7" t="s">
        <v>196</v>
      </c>
      <c r="E7" t="s">
        <v>199</v>
      </c>
    </row>
    <row r="8" spans="1:8">
      <c r="A8" s="49"/>
      <c r="B8" t="s">
        <v>1655</v>
      </c>
      <c r="C8" t="s">
        <v>1656</v>
      </c>
      <c r="D8" t="s">
        <v>193</v>
      </c>
      <c r="F8" t="s">
        <v>196</v>
      </c>
      <c r="G8" t="s">
        <v>114</v>
      </c>
      <c r="H8" t="s">
        <v>1650</v>
      </c>
    </row>
    <row r="9" spans="1:8">
      <c r="A9" s="49"/>
      <c r="B9" t="s">
        <v>1657</v>
      </c>
      <c r="C9" t="s">
        <v>1658</v>
      </c>
      <c r="D9" t="s">
        <v>193</v>
      </c>
      <c r="F9" t="s">
        <v>196</v>
      </c>
      <c r="G9" t="s">
        <v>114</v>
      </c>
      <c r="H9" t="s">
        <v>1650</v>
      </c>
    </row>
    <row r="10" spans="1:8" ht="15" customHeight="1">
      <c r="A10" s="49" t="s">
        <v>519</v>
      </c>
      <c r="B10" t="s">
        <v>1659</v>
      </c>
      <c r="C10" t="s">
        <v>1660</v>
      </c>
      <c r="D10" t="s">
        <v>193</v>
      </c>
      <c r="F10" t="s">
        <v>196</v>
      </c>
      <c r="G10" t="s">
        <v>112</v>
      </c>
      <c r="H10" t="s">
        <v>1147</v>
      </c>
    </row>
    <row r="11" spans="1:8" ht="15" customHeight="1">
      <c r="A11" s="49"/>
      <c r="B11" t="s">
        <v>1661</v>
      </c>
      <c r="C11" t="s">
        <v>1662</v>
      </c>
      <c r="D11" t="s">
        <v>193</v>
      </c>
      <c r="F11" t="s">
        <v>196</v>
      </c>
      <c r="G11" t="s">
        <v>112</v>
      </c>
      <c r="H11" t="s">
        <v>1147</v>
      </c>
    </row>
    <row r="12" spans="1:8" ht="15" customHeight="1">
      <c r="A12" s="49"/>
      <c r="B12" t="s">
        <v>1663</v>
      </c>
      <c r="C12" t="s">
        <v>1664</v>
      </c>
      <c r="D12" t="s">
        <v>193</v>
      </c>
      <c r="F12" t="s">
        <v>196</v>
      </c>
      <c r="G12" t="s">
        <v>112</v>
      </c>
      <c r="H12" t="s">
        <v>1147</v>
      </c>
    </row>
    <row r="13" spans="1:8" ht="15" customHeight="1">
      <c r="A13" s="49"/>
      <c r="B13" t="s">
        <v>1665</v>
      </c>
      <c r="C13" t="s">
        <v>1666</v>
      </c>
      <c r="D13" t="s">
        <v>193</v>
      </c>
      <c r="F13" t="s">
        <v>196</v>
      </c>
      <c r="G13" t="s">
        <v>112</v>
      </c>
      <c r="H13" t="s">
        <v>1147</v>
      </c>
    </row>
    <row r="14" spans="1:8" ht="15" customHeight="1">
      <c r="A14" s="49"/>
      <c r="B14" t="s">
        <v>1667</v>
      </c>
      <c r="C14" t="s">
        <v>1668</v>
      </c>
      <c r="D14" t="s">
        <v>193</v>
      </c>
      <c r="F14" t="s">
        <v>196</v>
      </c>
      <c r="G14" t="s">
        <v>112</v>
      </c>
      <c r="H14" t="s">
        <v>1147</v>
      </c>
    </row>
    <row r="15" spans="1:8" ht="16.350000000000001" customHeight="1">
      <c r="A15" s="49" t="s">
        <v>536</v>
      </c>
      <c r="B15" t="s">
        <v>840</v>
      </c>
      <c r="C15" t="s">
        <v>1669</v>
      </c>
      <c r="D15" t="s">
        <v>196</v>
      </c>
      <c r="E15" t="s">
        <v>1191</v>
      </c>
    </row>
    <row r="16" spans="1:8">
      <c r="A16" s="49"/>
      <c r="B16" t="s">
        <v>551</v>
      </c>
      <c r="C16" t="s">
        <v>1369</v>
      </c>
      <c r="D16" t="s">
        <v>193</v>
      </c>
      <c r="F16" t="s">
        <v>193</v>
      </c>
    </row>
    <row r="17" spans="1:8" ht="16.350000000000001" customHeight="1">
      <c r="A17" s="49" t="s">
        <v>589</v>
      </c>
      <c r="B17" t="s">
        <v>607</v>
      </c>
      <c r="C17" t="s">
        <v>1670</v>
      </c>
      <c r="D17" t="s">
        <v>193</v>
      </c>
      <c r="F17" t="s">
        <v>193</v>
      </c>
    </row>
    <row r="18" spans="1:8" ht="14.25" customHeight="1">
      <c r="A18" s="49"/>
      <c r="B18" t="s">
        <v>1671</v>
      </c>
      <c r="C18" t="s">
        <v>1672</v>
      </c>
      <c r="D18" t="s">
        <v>196</v>
      </c>
      <c r="E18" t="s">
        <v>226</v>
      </c>
    </row>
    <row r="19" spans="1:8" ht="14.25" customHeight="1">
      <c r="A19" s="49"/>
      <c r="B19" t="s">
        <v>1673</v>
      </c>
      <c r="C19" t="s">
        <v>1674</v>
      </c>
      <c r="D19" t="s">
        <v>196</v>
      </c>
      <c r="E19" t="s">
        <v>226</v>
      </c>
    </row>
    <row r="20" spans="1:8">
      <c r="A20" s="49"/>
      <c r="B20" t="s">
        <v>1675</v>
      </c>
      <c r="C20" t="s">
        <v>1676</v>
      </c>
      <c r="D20" t="s">
        <v>196</v>
      </c>
      <c r="E20" t="s">
        <v>226</v>
      </c>
    </row>
    <row r="21" spans="1:8">
      <c r="A21" s="49"/>
      <c r="B21" t="s">
        <v>1677</v>
      </c>
      <c r="C21" t="s">
        <v>1678</v>
      </c>
      <c r="D21" t="s">
        <v>196</v>
      </c>
      <c r="E21" t="s">
        <v>226</v>
      </c>
    </row>
    <row r="22" spans="1:8" ht="15" customHeight="1">
      <c r="A22" s="3" t="s">
        <v>613</v>
      </c>
      <c r="B22" t="s">
        <v>929</v>
      </c>
      <c r="C22" t="s">
        <v>1162</v>
      </c>
      <c r="D22" t="s">
        <v>196</v>
      </c>
      <c r="E22" t="s">
        <v>231</v>
      </c>
    </row>
    <row r="23" spans="1:8" ht="16.350000000000001" customHeight="1">
      <c r="A23" s="49" t="s">
        <v>625</v>
      </c>
      <c r="B23" t="s">
        <v>655</v>
      </c>
      <c r="C23" t="s">
        <v>654</v>
      </c>
      <c r="D23" t="s">
        <v>193</v>
      </c>
      <c r="F23" t="s">
        <v>193</v>
      </c>
    </row>
    <row r="24" spans="1:8">
      <c r="A24" s="49"/>
      <c r="B24" t="s">
        <v>1679</v>
      </c>
      <c r="C24" t="s">
        <v>1680</v>
      </c>
      <c r="D24" t="s">
        <v>193</v>
      </c>
      <c r="F24" t="s">
        <v>196</v>
      </c>
      <c r="G24" t="s">
        <v>111</v>
      </c>
    </row>
    <row r="25" spans="1:8">
      <c r="A25" s="49"/>
      <c r="B25" t="s">
        <v>958</v>
      </c>
      <c r="C25" t="s">
        <v>1681</v>
      </c>
      <c r="D25" t="s">
        <v>196</v>
      </c>
      <c r="E25" t="s">
        <v>233</v>
      </c>
      <c r="F25" t="s">
        <v>193</v>
      </c>
    </row>
    <row r="26" spans="1:8" ht="15" customHeight="1">
      <c r="A26" s="49" t="s">
        <v>657</v>
      </c>
      <c r="B26" t="s">
        <v>1005</v>
      </c>
      <c r="C26" t="s">
        <v>1682</v>
      </c>
      <c r="D26" t="s">
        <v>196</v>
      </c>
      <c r="E26" t="s">
        <v>240</v>
      </c>
    </row>
    <row r="27" spans="1:8">
      <c r="A27" s="49"/>
      <c r="B27" t="s">
        <v>1683</v>
      </c>
      <c r="C27" t="s">
        <v>1684</v>
      </c>
      <c r="D27" t="s">
        <v>193</v>
      </c>
      <c r="F27" t="s">
        <v>196</v>
      </c>
      <c r="G27" t="s">
        <v>114</v>
      </c>
      <c r="H27" t="s">
        <v>1596</v>
      </c>
    </row>
    <row r="28" spans="1:8">
      <c r="A28" s="49"/>
      <c r="B28" t="s">
        <v>1685</v>
      </c>
      <c r="C28" t="s">
        <v>1686</v>
      </c>
      <c r="D28" t="s">
        <v>193</v>
      </c>
      <c r="F28" t="s">
        <v>196</v>
      </c>
      <c r="G28" t="s">
        <v>114</v>
      </c>
      <c r="H28" t="s">
        <v>1596</v>
      </c>
    </row>
    <row r="29" spans="1:8" ht="16.350000000000001" customHeight="1">
      <c r="A29" s="49" t="s">
        <v>667</v>
      </c>
      <c r="B29" t="s">
        <v>1058</v>
      </c>
      <c r="C29" t="s">
        <v>1687</v>
      </c>
      <c r="D29" t="s">
        <v>196</v>
      </c>
      <c r="E29" t="s">
        <v>247</v>
      </c>
    </row>
    <row r="30" spans="1:8">
      <c r="A30" s="49"/>
      <c r="B30" t="s">
        <v>1688</v>
      </c>
      <c r="C30" t="s">
        <v>1689</v>
      </c>
      <c r="D30" t="s">
        <v>196</v>
      </c>
      <c r="E30" t="s">
        <v>246</v>
      </c>
    </row>
    <row r="31" spans="1:8">
      <c r="A31" s="49"/>
      <c r="B31" t="s">
        <v>1690</v>
      </c>
      <c r="C31" t="s">
        <v>1691</v>
      </c>
      <c r="D31" t="s">
        <v>196</v>
      </c>
      <c r="E31" t="s">
        <v>246</v>
      </c>
    </row>
    <row r="32" spans="1:8">
      <c r="A32" s="49"/>
      <c r="B32" t="s">
        <v>1066</v>
      </c>
      <c r="C32" t="s">
        <v>1692</v>
      </c>
      <c r="D32" t="s">
        <v>196</v>
      </c>
      <c r="E32" t="s">
        <v>248</v>
      </c>
    </row>
    <row r="33" spans="1:8">
      <c r="A33" s="49"/>
      <c r="B33" t="s">
        <v>1693</v>
      </c>
      <c r="C33" t="s">
        <v>1694</v>
      </c>
      <c r="D33" t="s">
        <v>196</v>
      </c>
      <c r="E33" t="s">
        <v>246</v>
      </c>
    </row>
    <row r="34" spans="1:8" ht="16.350000000000001" customHeight="1">
      <c r="A34" s="49" t="s">
        <v>695</v>
      </c>
      <c r="B34" t="s">
        <v>1104</v>
      </c>
      <c r="C34" t="s">
        <v>1695</v>
      </c>
      <c r="D34" t="s">
        <v>196</v>
      </c>
      <c r="E34" t="s">
        <v>253</v>
      </c>
    </row>
    <row r="35" spans="1:8">
      <c r="A35" s="49"/>
      <c r="B35" t="s">
        <v>1696</v>
      </c>
      <c r="C35" t="s">
        <v>1697</v>
      </c>
      <c r="D35" t="s">
        <v>193</v>
      </c>
      <c r="F35" t="s">
        <v>196</v>
      </c>
      <c r="G35" t="s">
        <v>114</v>
      </c>
      <c r="H35" t="s">
        <v>1604</v>
      </c>
    </row>
    <row r="36" spans="1:8">
      <c r="A36" s="49"/>
      <c r="B36" t="s">
        <v>1698</v>
      </c>
      <c r="C36" t="s">
        <v>1699</v>
      </c>
      <c r="D36" t="s">
        <v>193</v>
      </c>
      <c r="F36" t="s">
        <v>196</v>
      </c>
      <c r="G36" t="s">
        <v>114</v>
      </c>
      <c r="H36" t="s">
        <v>1604</v>
      </c>
    </row>
    <row r="37" spans="1:8" ht="14.45" customHeight="1">
      <c r="B37" s="16" t="s">
        <v>261</v>
      </c>
      <c r="C37" s="16" t="s">
        <v>193</v>
      </c>
      <c r="D37" s="16">
        <f>COUNTIF(D2:D36,"No")</f>
        <v>18</v>
      </c>
      <c r="E37" s="16" t="s">
        <v>69</v>
      </c>
      <c r="F37" s="16">
        <f>COUNTIF(F2:F36,"Yes")</f>
        <v>15</v>
      </c>
    </row>
    <row r="38" spans="1:8" ht="14.45" customHeight="1">
      <c r="B38" s="6"/>
      <c r="C38" s="16" t="s">
        <v>196</v>
      </c>
      <c r="D38" s="16">
        <f>COUNTIF(D2:D36,"Yes")</f>
        <v>17</v>
      </c>
      <c r="E38" s="16" t="s">
        <v>70</v>
      </c>
      <c r="F38">
        <f>COUNTIFS(D:D,"Partial",F:F,"Yes")</f>
        <v>0</v>
      </c>
    </row>
    <row r="39" spans="1:8" ht="14.45" customHeight="1">
      <c r="B39" s="6"/>
      <c r="C39" s="16" t="s">
        <v>733</v>
      </c>
      <c r="D39" s="16">
        <f>COUNTIF(D2:D36,"Partial")</f>
        <v>0</v>
      </c>
      <c r="E39" s="10" t="s">
        <v>110</v>
      </c>
      <c r="F39">
        <f>COUNTIF($G$2:$G$36,E39)</f>
        <v>0</v>
      </c>
    </row>
    <row r="40" spans="1:8" ht="15">
      <c r="E40" s="10" t="s">
        <v>111</v>
      </c>
      <c r="F40">
        <f t="shared" ref="F40:F43" si="0">COUNTIF($G$2:$G$36,E40)</f>
        <v>3</v>
      </c>
    </row>
    <row r="41" spans="1:8" ht="15">
      <c r="E41" s="10" t="s">
        <v>112</v>
      </c>
      <c r="F41">
        <f t="shared" si="0"/>
        <v>5</v>
      </c>
    </row>
    <row r="42" spans="1:8" ht="15">
      <c r="E42" s="10" t="s">
        <v>480</v>
      </c>
      <c r="F42">
        <f t="shared" si="0"/>
        <v>1</v>
      </c>
    </row>
    <row r="43" spans="1:8" ht="15">
      <c r="E43" s="10" t="s">
        <v>114</v>
      </c>
      <c r="F43">
        <f t="shared" si="0"/>
        <v>6</v>
      </c>
    </row>
    <row r="44" spans="1:8" ht="15"/>
    <row r="45" spans="1:8" ht="15">
      <c r="E45" s="16" t="s">
        <v>1175</v>
      </c>
      <c r="F45" s="16">
        <f>COUNTIF(F2:F36,"No")</f>
        <v>4</v>
      </c>
    </row>
    <row r="73" spans="27:27">
      <c r="AA73" t="s">
        <v>709</v>
      </c>
    </row>
  </sheetData>
  <mergeCells count="9">
    <mergeCell ref="A23:A25"/>
    <mergeCell ref="A26:A28"/>
    <mergeCell ref="A29:A33"/>
    <mergeCell ref="A34:A36"/>
    <mergeCell ref="A2:A4"/>
    <mergeCell ref="A5:A9"/>
    <mergeCell ref="A10:A14"/>
    <mergeCell ref="A15:A16"/>
    <mergeCell ref="A17:A21"/>
  </mergeCells>
  <conditionalFormatting sqref="D2:D36">
    <cfRule type="containsText" dxfId="178" priority="10" operator="containsText" text="Partial">
      <formula>NOT(ISERROR(SEARCH("Partial",D2)))</formula>
    </cfRule>
    <cfRule type="containsText" dxfId="177" priority="11" operator="containsText" text="No">
      <formula>NOT(ISERROR(SEARCH("No",D2)))</formula>
    </cfRule>
    <cfRule type="containsText" dxfId="176" priority="12" operator="containsText" text="Yes">
      <formula>NOT(ISERROR(SEARCH("Yes",D2)))</formula>
    </cfRule>
  </conditionalFormatting>
  <conditionalFormatting sqref="F2:F36">
    <cfRule type="containsText" dxfId="175" priority="8" operator="containsText" text="No">
      <formula>NOT(ISERROR(SEARCH("No",F2)))</formula>
    </cfRule>
    <cfRule type="containsText" dxfId="174" priority="9" operator="containsText" text="Yes">
      <formula>NOT(ISERROR(SEARCH("Yes",F2)))</formula>
    </cfRule>
  </conditionalFormatting>
  <conditionalFormatting sqref="G2:G108">
    <cfRule type="containsText" dxfId="173" priority="1" operator="containsText" text="No">
      <formula>NOT(ISERROR(SEARCH("No",G2)))</formula>
    </cfRule>
    <cfRule type="containsText" dxfId="172" priority="2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6" xr:uid="{00000000-0002-0000-1100-000000000000}">
      <formula1>"Yes,No,Partial"</formula1>
      <formula2>0</formula2>
    </dataValidation>
    <dataValidation type="list" operator="equal" allowBlank="1" showInputMessage="1" showErrorMessage="1" sqref="F2:F36" xr:uid="{00000000-0002-0000-1100-000001000000}">
      <formula1>"Yes,No"</formula1>
      <formula2>0</formula2>
    </dataValidation>
    <dataValidation operator="equal" allowBlank="1" showInputMessage="1" showErrorMessage="1" sqref="G2:G108" xr:uid="{00000000-0002-0000-11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73"/>
  <sheetViews>
    <sheetView zoomScale="85" zoomScaleNormal="85" workbookViewId="0">
      <selection activeCell="E43" sqref="E43:F43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9" s="7" customFormat="1">
      <c r="A1" s="5" t="s">
        <v>504</v>
      </c>
      <c r="B1" s="7" t="s">
        <v>25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  <c r="I1"/>
    </row>
    <row r="2" spans="1:9" ht="15" customHeight="1">
      <c r="A2" s="49" t="s">
        <v>508</v>
      </c>
      <c r="B2" t="s">
        <v>832</v>
      </c>
      <c r="C2" t="s">
        <v>1178</v>
      </c>
      <c r="D2" t="s">
        <v>196</v>
      </c>
      <c r="E2" t="s">
        <v>191</v>
      </c>
    </row>
    <row r="3" spans="1:9" ht="15" customHeight="1">
      <c r="A3" s="49"/>
      <c r="B3" t="s">
        <v>1700</v>
      </c>
      <c r="C3" t="s">
        <v>1701</v>
      </c>
      <c r="D3" t="s">
        <v>196</v>
      </c>
      <c r="E3" t="s">
        <v>191</v>
      </c>
    </row>
    <row r="4" spans="1:9" ht="15" customHeight="1">
      <c r="A4" s="49"/>
      <c r="B4" t="s">
        <v>1702</v>
      </c>
      <c r="C4" t="s">
        <v>1703</v>
      </c>
      <c r="D4" t="s">
        <v>196</v>
      </c>
      <c r="E4" t="s">
        <v>191</v>
      </c>
    </row>
    <row r="5" spans="1:9" ht="16.350000000000001" customHeight="1">
      <c r="A5" s="49" t="s">
        <v>513</v>
      </c>
      <c r="B5" t="s">
        <v>1704</v>
      </c>
      <c r="C5" t="s">
        <v>1705</v>
      </c>
      <c r="D5" t="s">
        <v>196</v>
      </c>
      <c r="E5" t="s">
        <v>199</v>
      </c>
    </row>
    <row r="6" spans="1:9">
      <c r="A6" s="49"/>
      <c r="B6" t="s">
        <v>1706</v>
      </c>
      <c r="C6" t="s">
        <v>1707</v>
      </c>
      <c r="D6" t="s">
        <v>196</v>
      </c>
      <c r="E6" t="s">
        <v>199</v>
      </c>
    </row>
    <row r="7" spans="1:9" ht="15" customHeight="1">
      <c r="A7" s="49" t="s">
        <v>519</v>
      </c>
      <c r="B7" t="s">
        <v>1708</v>
      </c>
      <c r="C7" t="s">
        <v>1709</v>
      </c>
      <c r="D7" t="s">
        <v>196</v>
      </c>
      <c r="E7" t="s">
        <v>1710</v>
      </c>
    </row>
    <row r="8" spans="1:9" ht="15" customHeight="1">
      <c r="A8" s="49"/>
      <c r="B8" t="s">
        <v>1711</v>
      </c>
      <c r="C8" t="s">
        <v>1496</v>
      </c>
      <c r="D8" t="s">
        <v>196</v>
      </c>
      <c r="E8" t="s">
        <v>202</v>
      </c>
    </row>
    <row r="9" spans="1:9" ht="15" customHeight="1">
      <c r="A9" s="49"/>
      <c r="B9" t="s">
        <v>1712</v>
      </c>
      <c r="C9" t="s">
        <v>1713</v>
      </c>
      <c r="D9" t="s">
        <v>196</v>
      </c>
      <c r="E9" t="s">
        <v>202</v>
      </c>
    </row>
    <row r="10" spans="1:9" ht="15" customHeight="1">
      <c r="A10" s="49"/>
      <c r="B10" t="s">
        <v>1714</v>
      </c>
      <c r="C10" t="s">
        <v>1428</v>
      </c>
      <c r="D10" t="s">
        <v>196</v>
      </c>
      <c r="E10" t="s">
        <v>202</v>
      </c>
    </row>
    <row r="11" spans="1:9" ht="16.350000000000001" customHeight="1">
      <c r="A11" s="49" t="s">
        <v>536</v>
      </c>
      <c r="B11" t="s">
        <v>873</v>
      </c>
      <c r="C11" t="s">
        <v>1190</v>
      </c>
      <c r="D11" t="s">
        <v>196</v>
      </c>
      <c r="E11" t="s">
        <v>219</v>
      </c>
    </row>
    <row r="12" spans="1:9" ht="14.25" customHeight="1">
      <c r="A12" s="49"/>
      <c r="B12" t="s">
        <v>866</v>
      </c>
      <c r="C12" t="s">
        <v>1500</v>
      </c>
      <c r="D12" t="s">
        <v>196</v>
      </c>
      <c r="E12" t="s">
        <v>218</v>
      </c>
    </row>
    <row r="13" spans="1:9" ht="14.25" customHeight="1">
      <c r="A13" s="49"/>
      <c r="B13" t="s">
        <v>586</v>
      </c>
      <c r="C13" t="s">
        <v>584</v>
      </c>
      <c r="D13" t="s">
        <v>193</v>
      </c>
      <c r="F13" t="s">
        <v>193</v>
      </c>
    </row>
    <row r="14" spans="1:9" ht="14.25" customHeight="1">
      <c r="A14" s="49"/>
      <c r="B14" t="s">
        <v>1715</v>
      </c>
      <c r="C14" t="s">
        <v>1428</v>
      </c>
      <c r="D14" t="s">
        <v>196</v>
      </c>
      <c r="E14" t="s">
        <v>216</v>
      </c>
    </row>
    <row r="15" spans="1:9" ht="14.25" customHeight="1">
      <c r="A15" s="49"/>
      <c r="B15" t="s">
        <v>851</v>
      </c>
      <c r="C15" t="s">
        <v>1716</v>
      </c>
      <c r="D15" t="s">
        <v>196</v>
      </c>
      <c r="E15" t="s">
        <v>215</v>
      </c>
    </row>
    <row r="16" spans="1:9">
      <c r="A16" s="49"/>
      <c r="B16" t="s">
        <v>566</v>
      </c>
      <c r="C16" t="s">
        <v>563</v>
      </c>
      <c r="D16" t="s">
        <v>193</v>
      </c>
      <c r="F16" t="s">
        <v>193</v>
      </c>
    </row>
    <row r="17" spans="1:8">
      <c r="A17" s="49"/>
      <c r="B17" t="s">
        <v>1717</v>
      </c>
      <c r="C17" t="s">
        <v>1502</v>
      </c>
      <c r="D17" t="s">
        <v>196</v>
      </c>
      <c r="E17" t="s">
        <v>216</v>
      </c>
    </row>
    <row r="18" spans="1:8" ht="16.350000000000001" customHeight="1">
      <c r="A18" s="49" t="s">
        <v>589</v>
      </c>
      <c r="B18" t="s">
        <v>1718</v>
      </c>
      <c r="C18" t="s">
        <v>1719</v>
      </c>
      <c r="D18" t="s">
        <v>196</v>
      </c>
      <c r="E18" t="s">
        <v>226</v>
      </c>
    </row>
    <row r="19" spans="1:8">
      <c r="A19" s="49"/>
      <c r="B19" t="s">
        <v>608</v>
      </c>
      <c r="C19" t="s">
        <v>1720</v>
      </c>
      <c r="D19" t="s">
        <v>733</v>
      </c>
      <c r="E19" t="s">
        <v>288</v>
      </c>
      <c r="F19" t="s">
        <v>193</v>
      </c>
    </row>
    <row r="20" spans="1:8">
      <c r="A20" s="49"/>
      <c r="B20" t="s">
        <v>1721</v>
      </c>
      <c r="C20" t="s">
        <v>1722</v>
      </c>
      <c r="D20" t="s">
        <v>196</v>
      </c>
      <c r="E20" t="s">
        <v>226</v>
      </c>
    </row>
    <row r="21" spans="1:8">
      <c r="A21" s="49"/>
      <c r="B21" t="s">
        <v>1723</v>
      </c>
      <c r="C21" t="s">
        <v>1724</v>
      </c>
      <c r="D21" t="s">
        <v>193</v>
      </c>
      <c r="F21" t="s">
        <v>196</v>
      </c>
      <c r="G21" t="s">
        <v>112</v>
      </c>
      <c r="H21" t="s">
        <v>1725</v>
      </c>
    </row>
    <row r="22" spans="1:8">
      <c r="A22" s="49"/>
      <c r="B22" t="s">
        <v>1726</v>
      </c>
      <c r="C22" t="s">
        <v>1727</v>
      </c>
      <c r="D22" t="s">
        <v>193</v>
      </c>
      <c r="F22" t="s">
        <v>196</v>
      </c>
      <c r="G22" t="s">
        <v>110</v>
      </c>
      <c r="H22" t="s">
        <v>1728</v>
      </c>
    </row>
    <row r="23" spans="1:8" ht="14.25" customHeight="1">
      <c r="A23" s="44" t="s">
        <v>613</v>
      </c>
      <c r="B23" t="s">
        <v>1729</v>
      </c>
      <c r="C23" t="s">
        <v>1525</v>
      </c>
      <c r="D23" t="s">
        <v>196</v>
      </c>
      <c r="E23" t="s">
        <v>231</v>
      </c>
    </row>
    <row r="24" spans="1:8" ht="14.25" customHeight="1">
      <c r="A24" s="44"/>
      <c r="B24" t="s">
        <v>1730</v>
      </c>
      <c r="C24" t="s">
        <v>1731</v>
      </c>
      <c r="D24" t="s">
        <v>196</v>
      </c>
      <c r="E24" t="s">
        <v>231</v>
      </c>
    </row>
    <row r="25" spans="1:8">
      <c r="A25" s="44"/>
      <c r="B25" t="s">
        <v>1732</v>
      </c>
      <c r="C25" t="s">
        <v>1733</v>
      </c>
      <c r="D25" t="s">
        <v>196</v>
      </c>
      <c r="E25" t="s">
        <v>231</v>
      </c>
    </row>
    <row r="26" spans="1:8" ht="16.350000000000001" customHeight="1">
      <c r="A26" s="49" t="s">
        <v>625</v>
      </c>
      <c r="B26" t="s">
        <v>656</v>
      </c>
      <c r="C26" t="s">
        <v>1734</v>
      </c>
      <c r="D26" t="s">
        <v>193</v>
      </c>
      <c r="F26" t="s">
        <v>193</v>
      </c>
    </row>
    <row r="27" spans="1:8">
      <c r="A27" s="49"/>
      <c r="B27" t="s">
        <v>636</v>
      </c>
      <c r="C27" t="s">
        <v>1735</v>
      </c>
      <c r="D27" t="s">
        <v>193</v>
      </c>
      <c r="F27" t="s">
        <v>193</v>
      </c>
    </row>
    <row r="28" spans="1:8">
      <c r="A28" s="49"/>
      <c r="B28" t="s">
        <v>1736</v>
      </c>
      <c r="C28" t="s">
        <v>1737</v>
      </c>
      <c r="D28" t="s">
        <v>193</v>
      </c>
      <c r="F28" t="s">
        <v>196</v>
      </c>
      <c r="G28" t="s">
        <v>114</v>
      </c>
      <c r="H28" t="s">
        <v>1604</v>
      </c>
    </row>
    <row r="29" spans="1:8" ht="15" customHeight="1">
      <c r="A29" s="49" t="s">
        <v>657</v>
      </c>
      <c r="B29" t="s">
        <v>1006</v>
      </c>
      <c r="C29" t="s">
        <v>1738</v>
      </c>
      <c r="D29" t="s">
        <v>196</v>
      </c>
      <c r="E29" t="s">
        <v>240</v>
      </c>
    </row>
    <row r="30" spans="1:8">
      <c r="A30" s="49"/>
      <c r="B30" t="s">
        <v>1739</v>
      </c>
      <c r="C30" t="s">
        <v>1682</v>
      </c>
      <c r="D30" t="s">
        <v>193</v>
      </c>
      <c r="F30" t="s">
        <v>196</v>
      </c>
      <c r="G30" t="s">
        <v>114</v>
      </c>
      <c r="H30" t="s">
        <v>1596</v>
      </c>
    </row>
    <row r="31" spans="1:8">
      <c r="A31" s="49"/>
      <c r="B31" t="s">
        <v>1740</v>
      </c>
      <c r="C31" t="s">
        <v>1686</v>
      </c>
      <c r="D31" t="s">
        <v>193</v>
      </c>
      <c r="F31" t="s">
        <v>196</v>
      </c>
      <c r="G31" t="s">
        <v>114</v>
      </c>
      <c r="H31" t="s">
        <v>1596</v>
      </c>
    </row>
    <row r="32" spans="1:8">
      <c r="A32" s="49"/>
      <c r="B32" t="s">
        <v>1741</v>
      </c>
      <c r="C32" t="s">
        <v>1684</v>
      </c>
      <c r="D32" t="s">
        <v>193</v>
      </c>
      <c r="F32" t="s">
        <v>196</v>
      </c>
      <c r="G32" t="s">
        <v>114</v>
      </c>
      <c r="H32" t="s">
        <v>1596</v>
      </c>
    </row>
    <row r="33" spans="1:6" ht="16.350000000000001" customHeight="1">
      <c r="A33" s="49" t="s">
        <v>667</v>
      </c>
      <c r="B33" t="s">
        <v>1742</v>
      </c>
      <c r="C33" t="s">
        <v>1743</v>
      </c>
      <c r="D33" t="s">
        <v>196</v>
      </c>
      <c r="E33" t="s">
        <v>246</v>
      </c>
    </row>
    <row r="34" spans="1:6">
      <c r="A34" s="49"/>
      <c r="B34" t="s">
        <v>1067</v>
      </c>
      <c r="C34" t="s">
        <v>1347</v>
      </c>
      <c r="D34" t="s">
        <v>196</v>
      </c>
      <c r="E34" t="s">
        <v>248</v>
      </c>
    </row>
    <row r="35" spans="1:6">
      <c r="A35" s="49"/>
      <c r="B35" t="s">
        <v>1744</v>
      </c>
      <c r="C35" t="s">
        <v>1745</v>
      </c>
      <c r="D35" t="s">
        <v>196</v>
      </c>
      <c r="E35" t="s">
        <v>246</v>
      </c>
    </row>
    <row r="36" spans="1:6">
      <c r="A36" s="49"/>
      <c r="B36" t="s">
        <v>1746</v>
      </c>
      <c r="C36" t="s">
        <v>1747</v>
      </c>
      <c r="D36" t="s">
        <v>196</v>
      </c>
      <c r="E36" t="s">
        <v>246</v>
      </c>
    </row>
    <row r="37" spans="1:6">
      <c r="A37" s="49"/>
      <c r="B37" t="s">
        <v>681</v>
      </c>
      <c r="C37" t="s">
        <v>1748</v>
      </c>
      <c r="D37" t="s">
        <v>193</v>
      </c>
      <c r="F37" t="s">
        <v>193</v>
      </c>
    </row>
    <row r="38" spans="1:6" ht="14.25" customHeight="1">
      <c r="A38" s="49" t="s">
        <v>695</v>
      </c>
      <c r="B38" t="s">
        <v>1749</v>
      </c>
      <c r="C38" t="s">
        <v>1349</v>
      </c>
      <c r="D38" t="s">
        <v>196</v>
      </c>
      <c r="E38" t="s">
        <v>253</v>
      </c>
    </row>
    <row r="39" spans="1:6" ht="14.25" customHeight="1">
      <c r="A39" s="49"/>
      <c r="B39" t="s">
        <v>1116</v>
      </c>
      <c r="C39" t="s">
        <v>1750</v>
      </c>
      <c r="D39" t="s">
        <v>196</v>
      </c>
      <c r="E39" t="s">
        <v>254</v>
      </c>
    </row>
    <row r="40" spans="1:6">
      <c r="A40" s="49"/>
      <c r="B40" t="s">
        <v>716</v>
      </c>
      <c r="C40" t="s">
        <v>1751</v>
      </c>
      <c r="D40" t="s">
        <v>193</v>
      </c>
      <c r="F40" t="s">
        <v>193</v>
      </c>
    </row>
    <row r="41" spans="1:6">
      <c r="A41" s="49"/>
      <c r="B41" t="s">
        <v>1752</v>
      </c>
      <c r="C41" t="s">
        <v>1753</v>
      </c>
      <c r="D41" t="s">
        <v>196</v>
      </c>
      <c r="E41" t="s">
        <v>253</v>
      </c>
    </row>
    <row r="42" spans="1:6" ht="14.45" customHeight="1">
      <c r="B42" s="16" t="s">
        <v>261</v>
      </c>
      <c r="C42" s="16" t="s">
        <v>193</v>
      </c>
      <c r="D42" s="16">
        <f>COUNTIF(D2:D41,"No")</f>
        <v>12</v>
      </c>
      <c r="E42" s="16" t="s">
        <v>69</v>
      </c>
      <c r="F42" s="16">
        <f>COUNTIF(F2:F41,"Yes")</f>
        <v>6</v>
      </c>
    </row>
    <row r="43" spans="1:6" ht="14.45" customHeight="1">
      <c r="B43" s="6"/>
      <c r="C43" s="16" t="s">
        <v>196</v>
      </c>
      <c r="D43" s="16">
        <f>COUNTIF(D2:D41,"Yes")</f>
        <v>27</v>
      </c>
      <c r="E43" s="16" t="s">
        <v>70</v>
      </c>
      <c r="F43">
        <f>COUNTIFS(D:D,"Partial",F:F,"Yes")</f>
        <v>0</v>
      </c>
    </row>
    <row r="44" spans="1:6" ht="14.45" customHeight="1">
      <c r="B44" s="6"/>
      <c r="C44" s="16" t="s">
        <v>733</v>
      </c>
      <c r="D44" s="16">
        <f>COUNTIF(D2:D41,"Partial")</f>
        <v>1</v>
      </c>
      <c r="E44" s="10" t="s">
        <v>110</v>
      </c>
      <c r="F44">
        <f>COUNTIF($G$2:$G$41,E44)</f>
        <v>1</v>
      </c>
    </row>
    <row r="45" spans="1:6" ht="15">
      <c r="E45" s="10" t="s">
        <v>111</v>
      </c>
      <c r="F45">
        <f t="shared" ref="F45:F48" si="0">COUNTIF($G$2:$G$41,E45)</f>
        <v>0</v>
      </c>
    </row>
    <row r="46" spans="1:6" ht="15">
      <c r="E46" s="10" t="s">
        <v>112</v>
      </c>
      <c r="F46">
        <f t="shared" si="0"/>
        <v>1</v>
      </c>
    </row>
    <row r="47" spans="1:6" ht="15">
      <c r="E47" s="10" t="s">
        <v>480</v>
      </c>
      <c r="F47">
        <f t="shared" si="0"/>
        <v>0</v>
      </c>
    </row>
    <row r="48" spans="1:6" ht="15">
      <c r="E48" s="10" t="s">
        <v>114</v>
      </c>
      <c r="F48">
        <f t="shared" si="0"/>
        <v>4</v>
      </c>
    </row>
    <row r="49" spans="5:6" ht="15"/>
    <row r="50" spans="5:6" ht="15">
      <c r="E50" s="16" t="s">
        <v>1175</v>
      </c>
      <c r="F50" s="16">
        <f>COUNTIF(F2:F41,"No")</f>
        <v>7</v>
      </c>
    </row>
    <row r="73" spans="27:27">
      <c r="AA73" t="s">
        <v>709</v>
      </c>
    </row>
  </sheetData>
  <mergeCells count="10">
    <mergeCell ref="A2:A4"/>
    <mergeCell ref="A5:A6"/>
    <mergeCell ref="A7:A10"/>
    <mergeCell ref="A11:A17"/>
    <mergeCell ref="A18:A22"/>
    <mergeCell ref="A23:A25"/>
    <mergeCell ref="A26:A28"/>
    <mergeCell ref="A29:A32"/>
    <mergeCell ref="A33:A37"/>
    <mergeCell ref="A38:A41"/>
  </mergeCells>
  <conditionalFormatting sqref="D2:D41">
    <cfRule type="containsText" dxfId="171" priority="2" operator="containsText" text="Partial">
      <formula>NOT(ISERROR(SEARCH("Partial",D2)))</formula>
    </cfRule>
    <cfRule type="containsText" dxfId="170" priority="3" operator="containsText" text="No">
      <formula>NOT(ISERROR(SEARCH("No",D2)))</formula>
    </cfRule>
    <cfRule type="containsText" dxfId="169" priority="4" operator="containsText" text="Yes">
      <formula>NOT(ISERROR(SEARCH("Yes",D2)))</formula>
    </cfRule>
  </conditionalFormatting>
  <conditionalFormatting sqref="F2:F41">
    <cfRule type="containsText" dxfId="168" priority="5" operator="containsText" text="No">
      <formula>NOT(ISERROR(SEARCH("No",F2)))</formula>
    </cfRule>
    <cfRule type="containsText" dxfId="167" priority="6" operator="containsText" text="Yes">
      <formula>NOT(ISERROR(SEARCH("Yes",F2)))</formula>
    </cfRule>
  </conditionalFormatting>
  <conditionalFormatting sqref="G2:G21 G23:G108">
    <cfRule type="containsText" dxfId="166" priority="7" operator="containsText" text="No">
      <formula>NOT(ISERROR(SEARCH("No",G2)))</formula>
    </cfRule>
    <cfRule type="containsText" dxfId="16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1" xr:uid="{00000000-0002-0000-1400-000000000000}">
      <formula1>"Yes,No,Partial"</formula1>
      <formula2>0</formula2>
    </dataValidation>
    <dataValidation type="list" operator="equal" allowBlank="1" showInputMessage="1" showErrorMessage="1" sqref="F2:F41" xr:uid="{00000000-0002-0000-1400-000001000000}">
      <formula1>"Yes,No"</formula1>
      <formula2>0</formula2>
    </dataValidation>
    <dataValidation operator="equal" allowBlank="1" showInputMessage="1" showErrorMessage="1" sqref="G2:G21 G23:G108" xr:uid="{00000000-0002-0000-14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73"/>
  <sheetViews>
    <sheetView topLeftCell="A16" zoomScale="85" zoomScaleNormal="85" workbookViewId="0">
      <selection activeCell="E46" sqref="E46:F4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28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1754</v>
      </c>
      <c r="C2" t="s">
        <v>1178</v>
      </c>
      <c r="D2" t="s">
        <v>196</v>
      </c>
      <c r="E2" t="s">
        <v>191</v>
      </c>
    </row>
    <row r="3" spans="1:8" ht="15" customHeight="1">
      <c r="A3" s="49"/>
      <c r="B3" t="s">
        <v>1755</v>
      </c>
      <c r="C3" t="s">
        <v>1756</v>
      </c>
      <c r="D3" t="s">
        <v>196</v>
      </c>
      <c r="E3" t="s">
        <v>191</v>
      </c>
    </row>
    <row r="4" spans="1:8" ht="15" customHeight="1">
      <c r="A4" s="49"/>
      <c r="B4" t="s">
        <v>1757</v>
      </c>
      <c r="C4" t="s">
        <v>1758</v>
      </c>
      <c r="D4" t="s">
        <v>196</v>
      </c>
      <c r="E4" t="s">
        <v>191</v>
      </c>
    </row>
    <row r="5" spans="1:8" ht="15" customHeight="1">
      <c r="A5" s="49"/>
      <c r="B5" t="s">
        <v>1759</v>
      </c>
      <c r="C5" t="s">
        <v>1760</v>
      </c>
      <c r="D5" t="s">
        <v>193</v>
      </c>
      <c r="F5" t="s">
        <v>196</v>
      </c>
      <c r="G5" t="s">
        <v>110</v>
      </c>
      <c r="H5" t="s">
        <v>1761</v>
      </c>
    </row>
    <row r="6" spans="1:8" ht="15" customHeight="1">
      <c r="A6" s="49" t="s">
        <v>513</v>
      </c>
      <c r="B6" t="s">
        <v>1762</v>
      </c>
      <c r="C6" t="s">
        <v>1471</v>
      </c>
      <c r="D6" t="s">
        <v>196</v>
      </c>
      <c r="E6" t="s">
        <v>199</v>
      </c>
    </row>
    <row r="7" spans="1:8" ht="15" customHeight="1">
      <c r="A7" s="49"/>
      <c r="B7" t="s">
        <v>1763</v>
      </c>
      <c r="C7" t="s">
        <v>1764</v>
      </c>
      <c r="D7" t="s">
        <v>193</v>
      </c>
      <c r="F7" t="s">
        <v>196</v>
      </c>
      <c r="G7" t="s">
        <v>110</v>
      </c>
    </row>
    <row r="8" spans="1:8" ht="15" customHeight="1">
      <c r="A8" s="49"/>
      <c r="B8" t="s">
        <v>1765</v>
      </c>
      <c r="C8" t="s">
        <v>1766</v>
      </c>
      <c r="D8" t="s">
        <v>196</v>
      </c>
      <c r="E8" t="s">
        <v>199</v>
      </c>
    </row>
    <row r="9" spans="1:8" ht="15" customHeight="1">
      <c r="A9" s="49" t="s">
        <v>519</v>
      </c>
      <c r="B9" t="s">
        <v>1767</v>
      </c>
      <c r="C9" t="s">
        <v>1482</v>
      </c>
      <c r="D9" t="s">
        <v>196</v>
      </c>
      <c r="E9" t="s">
        <v>202</v>
      </c>
    </row>
    <row r="10" spans="1:8" ht="15" customHeight="1">
      <c r="A10" s="49"/>
      <c r="B10" t="s">
        <v>1768</v>
      </c>
      <c r="C10" t="s">
        <v>1769</v>
      </c>
      <c r="D10" t="s">
        <v>193</v>
      </c>
      <c r="F10" t="s">
        <v>196</v>
      </c>
      <c r="G10" t="s">
        <v>112</v>
      </c>
      <c r="H10" t="s">
        <v>1770</v>
      </c>
    </row>
    <row r="11" spans="1:8" ht="15" customHeight="1">
      <c r="A11" s="49"/>
      <c r="B11" t="s">
        <v>1771</v>
      </c>
      <c r="C11" t="s">
        <v>1772</v>
      </c>
      <c r="D11" t="s">
        <v>196</v>
      </c>
      <c r="E11" t="s">
        <v>202</v>
      </c>
    </row>
    <row r="12" spans="1:8" ht="15" customHeight="1">
      <c r="A12" s="49"/>
      <c r="B12" t="s">
        <v>1773</v>
      </c>
      <c r="C12" t="s">
        <v>1774</v>
      </c>
      <c r="D12" t="s">
        <v>196</v>
      </c>
      <c r="E12" t="s">
        <v>202</v>
      </c>
    </row>
    <row r="13" spans="1:8" ht="15" customHeight="1">
      <c r="A13" s="49"/>
      <c r="B13" t="s">
        <v>1775</v>
      </c>
      <c r="C13" t="s">
        <v>1776</v>
      </c>
      <c r="D13" t="s">
        <v>193</v>
      </c>
      <c r="F13" t="s">
        <v>193</v>
      </c>
    </row>
    <row r="14" spans="1:8" ht="15" customHeight="1">
      <c r="A14" s="49"/>
      <c r="B14" t="s">
        <v>1777</v>
      </c>
      <c r="C14" t="s">
        <v>1778</v>
      </c>
      <c r="D14" t="s">
        <v>193</v>
      </c>
      <c r="F14" t="s">
        <v>196</v>
      </c>
      <c r="G14" t="s">
        <v>110</v>
      </c>
      <c r="H14" t="s">
        <v>1770</v>
      </c>
    </row>
    <row r="15" spans="1:8" ht="15" customHeight="1">
      <c r="A15" s="49"/>
      <c r="B15" t="s">
        <v>1779</v>
      </c>
      <c r="C15" t="s">
        <v>1780</v>
      </c>
      <c r="D15" t="s">
        <v>193</v>
      </c>
      <c r="F15" t="s">
        <v>196</v>
      </c>
      <c r="G15" t="s">
        <v>110</v>
      </c>
      <c r="H15" t="s">
        <v>1770</v>
      </c>
    </row>
    <row r="16" spans="1:8" ht="15" customHeight="1">
      <c r="A16" s="49"/>
      <c r="B16" t="s">
        <v>1781</v>
      </c>
      <c r="C16" t="s">
        <v>1782</v>
      </c>
      <c r="D16" t="s">
        <v>193</v>
      </c>
      <c r="F16" t="s">
        <v>196</v>
      </c>
      <c r="G16" t="s">
        <v>110</v>
      </c>
      <c r="H16" t="s">
        <v>1770</v>
      </c>
    </row>
    <row r="17" spans="1:8" ht="15" customHeight="1">
      <c r="A17" s="49"/>
      <c r="B17" t="s">
        <v>1783</v>
      </c>
      <c r="C17" t="s">
        <v>1784</v>
      </c>
      <c r="D17" t="s">
        <v>193</v>
      </c>
      <c r="F17" t="s">
        <v>196</v>
      </c>
      <c r="G17" t="s">
        <v>110</v>
      </c>
      <c r="H17" t="s">
        <v>1770</v>
      </c>
    </row>
    <row r="18" spans="1:8" ht="15" customHeight="1">
      <c r="A18" s="49"/>
      <c r="B18" t="s">
        <v>1785</v>
      </c>
      <c r="C18" t="s">
        <v>1786</v>
      </c>
      <c r="D18" t="s">
        <v>193</v>
      </c>
      <c r="F18" t="s">
        <v>196</v>
      </c>
      <c r="G18" t="s">
        <v>110</v>
      </c>
      <c r="H18" t="s">
        <v>1770</v>
      </c>
    </row>
    <row r="19" spans="1:8" ht="15" customHeight="1">
      <c r="A19" s="49" t="s">
        <v>536</v>
      </c>
      <c r="B19" t="s">
        <v>1787</v>
      </c>
      <c r="C19" t="s">
        <v>1788</v>
      </c>
      <c r="D19" t="s">
        <v>196</v>
      </c>
      <c r="E19" t="s">
        <v>1789</v>
      </c>
    </row>
    <row r="20" spans="1:8">
      <c r="A20" s="49"/>
      <c r="B20" t="s">
        <v>1790</v>
      </c>
      <c r="C20" t="s">
        <v>1791</v>
      </c>
      <c r="D20" t="s">
        <v>196</v>
      </c>
      <c r="E20" t="s">
        <v>1789</v>
      </c>
    </row>
    <row r="21" spans="1:8">
      <c r="A21" s="49"/>
      <c r="B21" t="s">
        <v>1792</v>
      </c>
      <c r="C21" t="s">
        <v>1793</v>
      </c>
      <c r="D21" t="s">
        <v>196</v>
      </c>
      <c r="E21" t="s">
        <v>1789</v>
      </c>
    </row>
    <row r="22" spans="1:8">
      <c r="A22" s="49"/>
      <c r="B22" t="s">
        <v>1794</v>
      </c>
      <c r="C22" t="s">
        <v>1795</v>
      </c>
      <c r="D22" t="s">
        <v>193</v>
      </c>
      <c r="F22" t="s">
        <v>196</v>
      </c>
      <c r="G22" t="s">
        <v>110</v>
      </c>
      <c r="H22" t="s">
        <v>1770</v>
      </c>
    </row>
    <row r="23" spans="1:8">
      <c r="A23" s="49"/>
      <c r="B23" t="s">
        <v>1796</v>
      </c>
      <c r="C23" t="s">
        <v>1797</v>
      </c>
      <c r="D23" t="s">
        <v>193</v>
      </c>
      <c r="F23" t="s">
        <v>196</v>
      </c>
      <c r="G23" t="s">
        <v>110</v>
      </c>
      <c r="H23" t="s">
        <v>1770</v>
      </c>
    </row>
    <row r="24" spans="1:8" ht="16.350000000000001" customHeight="1">
      <c r="A24" s="49" t="s">
        <v>589</v>
      </c>
      <c r="B24" t="s">
        <v>1798</v>
      </c>
      <c r="C24" t="s">
        <v>1799</v>
      </c>
      <c r="D24" t="s">
        <v>196</v>
      </c>
      <c r="E24" t="s">
        <v>226</v>
      </c>
    </row>
    <row r="25" spans="1:8">
      <c r="A25" s="49"/>
      <c r="B25" t="s">
        <v>1800</v>
      </c>
      <c r="C25" t="s">
        <v>1801</v>
      </c>
      <c r="D25" t="s">
        <v>196</v>
      </c>
      <c r="E25" t="s">
        <v>226</v>
      </c>
    </row>
    <row r="26" spans="1:8">
      <c r="A26" s="49"/>
      <c r="B26" t="s">
        <v>1802</v>
      </c>
      <c r="C26" t="s">
        <v>1201</v>
      </c>
      <c r="D26" t="s">
        <v>196</v>
      </c>
      <c r="E26" t="s">
        <v>226</v>
      </c>
    </row>
    <row r="27" spans="1:8" ht="15" customHeight="1">
      <c r="A27" s="3" t="s">
        <v>613</v>
      </c>
      <c r="B27" t="s">
        <v>949</v>
      </c>
      <c r="C27" t="s">
        <v>1803</v>
      </c>
      <c r="D27" t="s">
        <v>196</v>
      </c>
      <c r="E27" t="s">
        <v>231</v>
      </c>
    </row>
    <row r="28" spans="1:8" ht="15" customHeight="1">
      <c r="A28" s="49" t="s">
        <v>625</v>
      </c>
      <c r="B28" t="s">
        <v>1804</v>
      </c>
      <c r="C28" t="s">
        <v>1805</v>
      </c>
      <c r="D28" t="s">
        <v>196</v>
      </c>
      <c r="E28" t="s">
        <v>233</v>
      </c>
    </row>
    <row r="29" spans="1:8">
      <c r="A29" s="49"/>
      <c r="B29" t="s">
        <v>1806</v>
      </c>
      <c r="C29" t="s">
        <v>1807</v>
      </c>
      <c r="D29" t="s">
        <v>193</v>
      </c>
      <c r="F29" t="s">
        <v>196</v>
      </c>
      <c r="G29" t="s">
        <v>110</v>
      </c>
      <c r="H29" t="s">
        <v>1770</v>
      </c>
    </row>
    <row r="30" spans="1:8">
      <c r="A30" s="49"/>
      <c r="B30" t="s">
        <v>1808</v>
      </c>
      <c r="C30" t="s">
        <v>1809</v>
      </c>
      <c r="D30" t="s">
        <v>196</v>
      </c>
      <c r="E30" t="s">
        <v>233</v>
      </c>
    </row>
    <row r="31" spans="1:8">
      <c r="A31" s="49"/>
      <c r="B31" t="s">
        <v>1810</v>
      </c>
      <c r="C31" t="s">
        <v>1811</v>
      </c>
      <c r="D31" t="s">
        <v>193</v>
      </c>
      <c r="F31" t="s">
        <v>196</v>
      </c>
      <c r="G31" t="s">
        <v>110</v>
      </c>
      <c r="H31" t="s">
        <v>1761</v>
      </c>
    </row>
    <row r="32" spans="1:8" ht="29.1">
      <c r="A32" s="3" t="s">
        <v>657</v>
      </c>
      <c r="B32" t="s">
        <v>1025</v>
      </c>
      <c r="C32" t="s">
        <v>1812</v>
      </c>
      <c r="D32" t="s">
        <v>196</v>
      </c>
      <c r="E32" t="s">
        <v>240</v>
      </c>
    </row>
    <row r="33" spans="1:8" ht="15" customHeight="1">
      <c r="A33" s="49" t="s">
        <v>667</v>
      </c>
      <c r="B33" t="s">
        <v>1051</v>
      </c>
      <c r="C33" t="s">
        <v>1813</v>
      </c>
      <c r="D33" t="s">
        <v>196</v>
      </c>
      <c r="E33" t="s">
        <v>246</v>
      </c>
    </row>
    <row r="34" spans="1:8">
      <c r="A34" s="49"/>
      <c r="B34" t="s">
        <v>1814</v>
      </c>
      <c r="C34" t="s">
        <v>1815</v>
      </c>
      <c r="D34" t="s">
        <v>193</v>
      </c>
      <c r="F34" t="s">
        <v>196</v>
      </c>
      <c r="G34" t="s">
        <v>110</v>
      </c>
      <c r="H34" t="s">
        <v>1770</v>
      </c>
    </row>
    <row r="35" spans="1:8">
      <c r="A35" s="49"/>
      <c r="B35" t="s">
        <v>1816</v>
      </c>
      <c r="C35" t="s">
        <v>1817</v>
      </c>
      <c r="D35" t="s">
        <v>196</v>
      </c>
      <c r="E35" t="s">
        <v>248</v>
      </c>
    </row>
    <row r="36" spans="1:8">
      <c r="A36" s="49"/>
      <c r="B36" t="s">
        <v>1818</v>
      </c>
      <c r="C36" t="s">
        <v>1819</v>
      </c>
      <c r="D36" t="s">
        <v>193</v>
      </c>
      <c r="F36" t="s">
        <v>193</v>
      </c>
    </row>
    <row r="37" spans="1:8">
      <c r="A37" s="49"/>
      <c r="B37" t="s">
        <v>1820</v>
      </c>
      <c r="C37" t="s">
        <v>1821</v>
      </c>
      <c r="D37" t="s">
        <v>196</v>
      </c>
      <c r="E37" t="s">
        <v>248</v>
      </c>
    </row>
    <row r="38" spans="1:8">
      <c r="A38" s="49"/>
      <c r="B38" t="s">
        <v>1822</v>
      </c>
      <c r="C38" t="s">
        <v>1823</v>
      </c>
      <c r="D38" t="s">
        <v>196</v>
      </c>
      <c r="E38" t="s">
        <v>248</v>
      </c>
    </row>
    <row r="39" spans="1:8">
      <c r="A39" s="49"/>
      <c r="B39" t="s">
        <v>1824</v>
      </c>
      <c r="C39" t="s">
        <v>1825</v>
      </c>
      <c r="D39" t="s">
        <v>196</v>
      </c>
      <c r="E39" t="s">
        <v>248</v>
      </c>
    </row>
    <row r="40" spans="1:8" ht="15" customHeight="1">
      <c r="A40" s="49" t="s">
        <v>695</v>
      </c>
      <c r="B40" t="s">
        <v>1112</v>
      </c>
      <c r="C40" t="s">
        <v>1826</v>
      </c>
      <c r="D40" t="s">
        <v>196</v>
      </c>
      <c r="E40" t="s">
        <v>253</v>
      </c>
    </row>
    <row r="41" spans="1:8">
      <c r="A41" s="49"/>
      <c r="B41" t="s">
        <v>1827</v>
      </c>
      <c r="C41" t="s">
        <v>1828</v>
      </c>
      <c r="D41" t="s">
        <v>193</v>
      </c>
      <c r="F41" t="s">
        <v>196</v>
      </c>
      <c r="G41" t="s">
        <v>110</v>
      </c>
      <c r="H41" t="s">
        <v>1770</v>
      </c>
    </row>
    <row r="42" spans="1:8">
      <c r="A42" s="49"/>
      <c r="B42" t="s">
        <v>1829</v>
      </c>
      <c r="C42" t="s">
        <v>1830</v>
      </c>
      <c r="D42" t="s">
        <v>193</v>
      </c>
      <c r="F42" t="s">
        <v>196</v>
      </c>
      <c r="G42" t="s">
        <v>110</v>
      </c>
      <c r="H42" t="s">
        <v>1770</v>
      </c>
    </row>
    <row r="43" spans="1:8">
      <c r="A43" s="49"/>
      <c r="B43" t="s">
        <v>1831</v>
      </c>
      <c r="C43" t="s">
        <v>1832</v>
      </c>
      <c r="D43" t="s">
        <v>193</v>
      </c>
      <c r="F43" t="s">
        <v>196</v>
      </c>
      <c r="G43" t="s">
        <v>110</v>
      </c>
      <c r="H43" t="s">
        <v>1770</v>
      </c>
    </row>
    <row r="44" spans="1:8">
      <c r="A44" s="49"/>
      <c r="B44" t="s">
        <v>1833</v>
      </c>
      <c r="C44" t="s">
        <v>1753</v>
      </c>
      <c r="D44" t="s">
        <v>193</v>
      </c>
      <c r="F44" t="s">
        <v>196</v>
      </c>
      <c r="G44" t="s">
        <v>110</v>
      </c>
      <c r="H44" t="s">
        <v>1770</v>
      </c>
    </row>
    <row r="45" spans="1:8" ht="14.45" customHeight="1">
      <c r="B45" s="16" t="s">
        <v>261</v>
      </c>
      <c r="C45" s="16" t="s">
        <v>193</v>
      </c>
      <c r="D45" s="16">
        <f>COUNTIF(D2:D44,"No")</f>
        <v>19</v>
      </c>
      <c r="E45" s="16" t="s">
        <v>69</v>
      </c>
      <c r="F45" s="16">
        <f>COUNTIF(F2:F44,"Yes")</f>
        <v>17</v>
      </c>
    </row>
    <row r="46" spans="1:8" ht="14.45" customHeight="1">
      <c r="B46" s="6"/>
      <c r="C46" s="16" t="s">
        <v>196</v>
      </c>
      <c r="D46" s="16">
        <f>COUNTIF(D2:D44,"Yes")</f>
        <v>24</v>
      </c>
      <c r="E46" s="16" t="s">
        <v>70</v>
      </c>
      <c r="F46">
        <f>COUNTIFS(D:D,"Partial",F:F,"Yes")</f>
        <v>0</v>
      </c>
    </row>
    <row r="47" spans="1:8" ht="14.45" customHeight="1">
      <c r="B47" s="6"/>
      <c r="C47" s="16" t="s">
        <v>733</v>
      </c>
      <c r="D47" s="16">
        <f>COUNTIF(D2:D44,"Partial")</f>
        <v>0</v>
      </c>
      <c r="E47" s="10" t="s">
        <v>110</v>
      </c>
      <c r="F47">
        <f>COUNTIF($G$2:$G$44,E47)</f>
        <v>16</v>
      </c>
    </row>
    <row r="48" spans="1:8" ht="15">
      <c r="E48" s="10" t="s">
        <v>111</v>
      </c>
      <c r="F48">
        <f t="shared" ref="F48:F51" si="0">COUNTIF($G$2:$G$44,E48)</f>
        <v>0</v>
      </c>
    </row>
    <row r="49" spans="5:6" ht="15">
      <c r="E49" s="10" t="s">
        <v>112</v>
      </c>
      <c r="F49">
        <f t="shared" si="0"/>
        <v>1</v>
      </c>
    </row>
    <row r="50" spans="5:6" ht="15">
      <c r="E50" s="10" t="s">
        <v>480</v>
      </c>
      <c r="F50">
        <f t="shared" si="0"/>
        <v>0</v>
      </c>
    </row>
    <row r="51" spans="5:6" ht="15">
      <c r="E51" s="10" t="s">
        <v>114</v>
      </c>
      <c r="F51">
        <f t="shared" si="0"/>
        <v>0</v>
      </c>
    </row>
    <row r="52" spans="5:6" ht="15"/>
    <row r="53" spans="5:6" ht="15">
      <c r="E53" s="16" t="s">
        <v>1175</v>
      </c>
      <c r="F53" s="16">
        <f>COUNTIF(F2:F44,"No")</f>
        <v>2</v>
      </c>
    </row>
    <row r="73" spans="27:27">
      <c r="AA73" t="s">
        <v>709</v>
      </c>
    </row>
  </sheetData>
  <mergeCells count="8">
    <mergeCell ref="A28:A31"/>
    <mergeCell ref="A33:A39"/>
    <mergeCell ref="A40:A44"/>
    <mergeCell ref="A2:A5"/>
    <mergeCell ref="A6:A8"/>
    <mergeCell ref="A9:A18"/>
    <mergeCell ref="A19:A23"/>
    <mergeCell ref="A24:A26"/>
  </mergeCells>
  <conditionalFormatting sqref="D2:D44">
    <cfRule type="containsText" dxfId="164" priority="4" operator="containsText" text="Partial">
      <formula>NOT(ISERROR(SEARCH("Partial",D2)))</formula>
    </cfRule>
    <cfRule type="containsText" dxfId="163" priority="5" operator="containsText" text="No">
      <formula>NOT(ISERROR(SEARCH("No",D2)))</formula>
    </cfRule>
    <cfRule type="containsText" dxfId="162" priority="6" operator="containsText" text="Yes">
      <formula>NOT(ISERROR(SEARCH("Yes",D2)))</formula>
    </cfRule>
  </conditionalFormatting>
  <conditionalFormatting sqref="F2:F44">
    <cfRule type="containsText" dxfId="161" priority="2" operator="containsText" text="No">
      <formula>NOT(ISERROR(SEARCH("No",F2)))</formula>
    </cfRule>
    <cfRule type="containsText" dxfId="160" priority="3" operator="containsText" text="Yes">
      <formula>NOT(ISERROR(SEARCH("Yes",F2)))</formula>
    </cfRule>
  </conditionalFormatting>
  <conditionalFormatting sqref="G2:G108">
    <cfRule type="containsText" dxfId="159" priority="7" operator="containsText" text="No">
      <formula>NOT(ISERROR(SEARCH("No",G2)))</formula>
    </cfRule>
    <cfRule type="containsText" dxfId="15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4" xr:uid="{00000000-0002-0000-1200-000000000000}">
      <formula1>"Yes,No,Partial"</formula1>
      <formula2>0</formula2>
    </dataValidation>
    <dataValidation type="list" operator="equal" allowBlank="1" showInputMessage="1" showErrorMessage="1" sqref="F2:F44" xr:uid="{00000000-0002-0000-1200-000001000000}">
      <formula1>"Yes,No"</formula1>
      <formula2>0</formula2>
    </dataValidation>
    <dataValidation operator="equal" allowBlank="1" showInputMessage="1" showErrorMessage="1" sqref="G2:G108" xr:uid="{00000000-0002-0000-12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73"/>
  <sheetViews>
    <sheetView zoomScale="85" zoomScaleNormal="85" workbookViewId="0">
      <selection activeCell="E47" sqref="E47:F47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30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762</v>
      </c>
      <c r="C2" t="s">
        <v>1834</v>
      </c>
      <c r="D2" t="s">
        <v>196</v>
      </c>
      <c r="E2" t="s">
        <v>191</v>
      </c>
    </row>
    <row r="3" spans="1:8" ht="15" customHeight="1">
      <c r="A3" s="49"/>
      <c r="B3" t="s">
        <v>1835</v>
      </c>
      <c r="C3" t="s">
        <v>1836</v>
      </c>
      <c r="D3" t="s">
        <v>193</v>
      </c>
      <c r="F3" t="s">
        <v>196</v>
      </c>
      <c r="G3" t="s">
        <v>114</v>
      </c>
      <c r="H3" t="s">
        <v>1770</v>
      </c>
    </row>
    <row r="4" spans="1:8" ht="15" customHeight="1">
      <c r="A4" s="49" t="s">
        <v>513</v>
      </c>
      <c r="B4" t="s">
        <v>1837</v>
      </c>
      <c r="C4" t="s">
        <v>1838</v>
      </c>
      <c r="D4" t="s">
        <v>193</v>
      </c>
      <c r="F4" t="s">
        <v>196</v>
      </c>
      <c r="G4" t="s">
        <v>114</v>
      </c>
      <c r="H4" t="s">
        <v>1770</v>
      </c>
    </row>
    <row r="5" spans="1:8" ht="15" customHeight="1">
      <c r="A5" s="49"/>
      <c r="B5" t="s">
        <v>1839</v>
      </c>
      <c r="C5" t="s">
        <v>1840</v>
      </c>
      <c r="D5" t="s">
        <v>196</v>
      </c>
      <c r="E5" t="s">
        <v>199</v>
      </c>
    </row>
    <row r="6" spans="1:8" ht="15" customHeight="1">
      <c r="A6" s="49"/>
      <c r="B6" t="s">
        <v>1841</v>
      </c>
      <c r="C6" t="s">
        <v>1842</v>
      </c>
      <c r="D6" t="s">
        <v>196</v>
      </c>
      <c r="E6" t="s">
        <v>199</v>
      </c>
    </row>
    <row r="7" spans="1:8" ht="15" customHeight="1">
      <c r="A7" s="49" t="s">
        <v>519</v>
      </c>
      <c r="B7" t="s">
        <v>1843</v>
      </c>
      <c r="C7" t="s">
        <v>1844</v>
      </c>
      <c r="D7" t="s">
        <v>193</v>
      </c>
      <c r="F7" t="s">
        <v>196</v>
      </c>
      <c r="G7" t="s">
        <v>110</v>
      </c>
      <c r="H7" t="s">
        <v>1770</v>
      </c>
    </row>
    <row r="8" spans="1:8" ht="15" customHeight="1">
      <c r="A8" s="49"/>
      <c r="B8" t="s">
        <v>1845</v>
      </c>
      <c r="C8" t="s">
        <v>1846</v>
      </c>
      <c r="D8" t="s">
        <v>193</v>
      </c>
      <c r="F8" t="s">
        <v>196</v>
      </c>
      <c r="G8" t="s">
        <v>110</v>
      </c>
      <c r="H8" t="s">
        <v>1770</v>
      </c>
    </row>
    <row r="9" spans="1:8" ht="15" customHeight="1">
      <c r="A9" s="49"/>
      <c r="B9" t="s">
        <v>1847</v>
      </c>
      <c r="C9" t="s">
        <v>1500</v>
      </c>
      <c r="D9" t="s">
        <v>193</v>
      </c>
      <c r="F9" t="s">
        <v>196</v>
      </c>
      <c r="G9" t="s">
        <v>110</v>
      </c>
      <c r="H9" t="s">
        <v>1770</v>
      </c>
    </row>
    <row r="10" spans="1:8" ht="15" customHeight="1">
      <c r="A10" s="49"/>
      <c r="B10" t="s">
        <v>1848</v>
      </c>
      <c r="C10" t="s">
        <v>1849</v>
      </c>
      <c r="D10" t="s">
        <v>193</v>
      </c>
      <c r="F10" t="s">
        <v>196</v>
      </c>
      <c r="G10" t="s">
        <v>110</v>
      </c>
      <c r="H10" t="s">
        <v>1770</v>
      </c>
    </row>
    <row r="11" spans="1:8" ht="15" customHeight="1">
      <c r="A11" s="49"/>
      <c r="B11" t="s">
        <v>1850</v>
      </c>
      <c r="C11" t="s">
        <v>1428</v>
      </c>
      <c r="D11" t="s">
        <v>193</v>
      </c>
      <c r="F11" t="s">
        <v>196</v>
      </c>
      <c r="G11" t="s">
        <v>110</v>
      </c>
      <c r="H11" t="s">
        <v>1770</v>
      </c>
    </row>
    <row r="12" spans="1:8" ht="15" customHeight="1">
      <c r="A12" s="49"/>
      <c r="B12" t="s">
        <v>1851</v>
      </c>
      <c r="C12" t="s">
        <v>1852</v>
      </c>
      <c r="D12" t="s">
        <v>193</v>
      </c>
      <c r="F12" t="s">
        <v>196</v>
      </c>
      <c r="G12" t="s">
        <v>110</v>
      </c>
      <c r="H12" t="s">
        <v>1770</v>
      </c>
    </row>
    <row r="13" spans="1:8" ht="15" customHeight="1">
      <c r="A13" s="49"/>
      <c r="B13" t="s">
        <v>1853</v>
      </c>
      <c r="C13" t="s">
        <v>1502</v>
      </c>
      <c r="D13" t="s">
        <v>193</v>
      </c>
      <c r="F13" t="s">
        <v>196</v>
      </c>
      <c r="G13" t="s">
        <v>110</v>
      </c>
      <c r="H13" t="s">
        <v>1770</v>
      </c>
    </row>
    <row r="14" spans="1:8" ht="15" customHeight="1">
      <c r="A14" s="49" t="s">
        <v>536</v>
      </c>
      <c r="B14" t="s">
        <v>853</v>
      </c>
      <c r="C14" t="s">
        <v>1854</v>
      </c>
      <c r="D14" t="s">
        <v>196</v>
      </c>
      <c r="E14" t="s">
        <v>215</v>
      </c>
    </row>
    <row r="15" spans="1:8">
      <c r="A15" s="49"/>
      <c r="B15" t="s">
        <v>1855</v>
      </c>
      <c r="C15" t="s">
        <v>1856</v>
      </c>
      <c r="D15" t="s">
        <v>196</v>
      </c>
      <c r="E15" t="s">
        <v>214</v>
      </c>
    </row>
    <row r="16" spans="1:8">
      <c r="A16" s="49"/>
      <c r="B16" t="s">
        <v>1857</v>
      </c>
      <c r="C16" t="s">
        <v>1500</v>
      </c>
      <c r="D16" t="s">
        <v>196</v>
      </c>
      <c r="E16" t="s">
        <v>214</v>
      </c>
    </row>
    <row r="17" spans="1:8">
      <c r="A17" s="49"/>
      <c r="B17" t="s">
        <v>858</v>
      </c>
      <c r="C17" t="s">
        <v>1858</v>
      </c>
      <c r="D17" t="s">
        <v>196</v>
      </c>
      <c r="E17" t="s">
        <v>219</v>
      </c>
    </row>
    <row r="18" spans="1:8">
      <c r="A18" s="49"/>
      <c r="B18" t="s">
        <v>1859</v>
      </c>
      <c r="C18" t="s">
        <v>1428</v>
      </c>
      <c r="D18" t="s">
        <v>196</v>
      </c>
      <c r="E18" t="s">
        <v>216</v>
      </c>
    </row>
    <row r="19" spans="1:8">
      <c r="A19" s="49"/>
      <c r="B19" t="s">
        <v>1860</v>
      </c>
      <c r="C19" t="s">
        <v>1861</v>
      </c>
      <c r="D19" t="s">
        <v>196</v>
      </c>
      <c r="E19" t="s">
        <v>219</v>
      </c>
    </row>
    <row r="20" spans="1:8">
      <c r="A20" s="49"/>
      <c r="B20" t="s">
        <v>1862</v>
      </c>
      <c r="C20" t="s">
        <v>563</v>
      </c>
      <c r="D20" t="s">
        <v>196</v>
      </c>
      <c r="E20" t="s">
        <v>219</v>
      </c>
    </row>
    <row r="21" spans="1:8" ht="16.350000000000001" customHeight="1">
      <c r="A21" s="49" t="s">
        <v>589</v>
      </c>
      <c r="B21" t="s">
        <v>919</v>
      </c>
      <c r="C21" t="s">
        <v>1863</v>
      </c>
      <c r="D21" t="s">
        <v>196</v>
      </c>
      <c r="E21" t="s">
        <v>226</v>
      </c>
    </row>
    <row r="22" spans="1:8">
      <c r="A22" s="49"/>
      <c r="B22" t="s">
        <v>1864</v>
      </c>
      <c r="C22" t="s">
        <v>1865</v>
      </c>
      <c r="D22" t="s">
        <v>193</v>
      </c>
      <c r="F22" t="s">
        <v>196</v>
      </c>
      <c r="G22" t="s">
        <v>110</v>
      </c>
      <c r="H22" t="s">
        <v>1770</v>
      </c>
    </row>
    <row r="23" spans="1:8" ht="15" customHeight="1">
      <c r="A23" s="44" t="s">
        <v>613</v>
      </c>
      <c r="B23" t="s">
        <v>1866</v>
      </c>
      <c r="C23" t="s">
        <v>1266</v>
      </c>
      <c r="D23" t="s">
        <v>196</v>
      </c>
    </row>
    <row r="24" spans="1:8" ht="15" customHeight="1">
      <c r="A24" s="44"/>
      <c r="B24" t="s">
        <v>1867</v>
      </c>
      <c r="C24" t="s">
        <v>1268</v>
      </c>
      <c r="D24" t="s">
        <v>196</v>
      </c>
    </row>
    <row r="25" spans="1:8" ht="15" customHeight="1">
      <c r="A25" s="44"/>
      <c r="B25" t="s">
        <v>1868</v>
      </c>
      <c r="C25" t="s">
        <v>1270</v>
      </c>
      <c r="D25" t="s">
        <v>196</v>
      </c>
    </row>
    <row r="26" spans="1:8" ht="15" customHeight="1">
      <c r="A26" s="44"/>
      <c r="B26" t="s">
        <v>1869</v>
      </c>
      <c r="C26" t="s">
        <v>1870</v>
      </c>
      <c r="D26" t="s">
        <v>196</v>
      </c>
    </row>
    <row r="27" spans="1:8" ht="15" customHeight="1">
      <c r="A27" s="44"/>
      <c r="B27" t="s">
        <v>1871</v>
      </c>
      <c r="C27" t="s">
        <v>1872</v>
      </c>
      <c r="D27" t="s">
        <v>196</v>
      </c>
    </row>
    <row r="28" spans="1:8" ht="15" customHeight="1">
      <c r="A28" s="49" t="s">
        <v>625</v>
      </c>
      <c r="B28" t="s">
        <v>978</v>
      </c>
      <c r="C28" t="s">
        <v>1873</v>
      </c>
      <c r="D28" t="s">
        <v>196</v>
      </c>
      <c r="E28" t="s">
        <v>233</v>
      </c>
    </row>
    <row r="29" spans="1:8">
      <c r="A29" s="49"/>
      <c r="B29" t="s">
        <v>1874</v>
      </c>
      <c r="C29" t="s">
        <v>1875</v>
      </c>
      <c r="D29" t="s">
        <v>193</v>
      </c>
      <c r="F29" t="s">
        <v>193</v>
      </c>
    </row>
    <row r="30" spans="1:8">
      <c r="A30" s="49"/>
      <c r="B30" t="s">
        <v>1876</v>
      </c>
      <c r="C30" t="s">
        <v>1877</v>
      </c>
      <c r="D30" t="s">
        <v>193</v>
      </c>
      <c r="F30" t="s">
        <v>193</v>
      </c>
    </row>
    <row r="31" spans="1:8" ht="29.25" customHeight="1">
      <c r="A31" s="44" t="s">
        <v>657</v>
      </c>
      <c r="B31" t="s">
        <v>1026</v>
      </c>
      <c r="C31" t="s">
        <v>1738</v>
      </c>
      <c r="D31" t="s">
        <v>196</v>
      </c>
      <c r="E31" t="s">
        <v>246</v>
      </c>
    </row>
    <row r="32" spans="1:8">
      <c r="A32" s="44"/>
      <c r="B32" t="s">
        <v>1878</v>
      </c>
      <c r="C32" t="s">
        <v>1879</v>
      </c>
      <c r="D32" t="s">
        <v>193</v>
      </c>
      <c r="F32" t="s">
        <v>196</v>
      </c>
      <c r="G32" t="s">
        <v>114</v>
      </c>
      <c r="H32" t="s">
        <v>1880</v>
      </c>
    </row>
    <row r="33" spans="1:8">
      <c r="A33" s="44"/>
      <c r="B33" t="s">
        <v>1881</v>
      </c>
      <c r="C33" t="s">
        <v>1882</v>
      </c>
      <c r="D33" t="s">
        <v>193</v>
      </c>
      <c r="F33" t="s">
        <v>196</v>
      </c>
      <c r="G33" t="s">
        <v>114</v>
      </c>
      <c r="H33" t="s">
        <v>1880</v>
      </c>
    </row>
    <row r="34" spans="1:8" ht="15" customHeight="1">
      <c r="A34" s="49" t="s">
        <v>667</v>
      </c>
      <c r="B34" t="s">
        <v>1883</v>
      </c>
      <c r="C34" t="s">
        <v>1884</v>
      </c>
      <c r="D34" t="s">
        <v>193</v>
      </c>
      <c r="F34" t="s">
        <v>196</v>
      </c>
      <c r="G34" t="s">
        <v>110</v>
      </c>
      <c r="H34" t="s">
        <v>1770</v>
      </c>
    </row>
    <row r="35" spans="1:8">
      <c r="A35" s="49"/>
      <c r="B35" t="s">
        <v>1885</v>
      </c>
      <c r="C35" t="s">
        <v>1886</v>
      </c>
      <c r="D35" t="s">
        <v>193</v>
      </c>
      <c r="F35" t="s">
        <v>196</v>
      </c>
      <c r="G35" t="s">
        <v>110</v>
      </c>
      <c r="H35" t="s">
        <v>1770</v>
      </c>
    </row>
    <row r="36" spans="1:8">
      <c r="A36" s="49"/>
      <c r="B36" t="s">
        <v>1887</v>
      </c>
      <c r="C36" t="s">
        <v>1888</v>
      </c>
      <c r="D36" t="s">
        <v>193</v>
      </c>
      <c r="F36" t="s">
        <v>196</v>
      </c>
      <c r="G36" t="s">
        <v>110</v>
      </c>
      <c r="H36" t="s">
        <v>1770</v>
      </c>
    </row>
    <row r="37" spans="1:8">
      <c r="A37" s="49"/>
      <c r="B37" t="s">
        <v>1889</v>
      </c>
      <c r="C37" t="s">
        <v>1890</v>
      </c>
      <c r="D37" t="s">
        <v>193</v>
      </c>
      <c r="F37" t="s">
        <v>196</v>
      </c>
      <c r="G37" t="s">
        <v>110</v>
      </c>
      <c r="H37" t="s">
        <v>1770</v>
      </c>
    </row>
    <row r="38" spans="1:8">
      <c r="A38" s="49"/>
      <c r="B38" t="s">
        <v>1083</v>
      </c>
      <c r="C38" t="s">
        <v>1891</v>
      </c>
      <c r="D38" t="s">
        <v>196</v>
      </c>
      <c r="E38" t="s">
        <v>248</v>
      </c>
    </row>
    <row r="39" spans="1:8">
      <c r="A39" s="49"/>
      <c r="B39" t="s">
        <v>1052</v>
      </c>
      <c r="C39" t="s">
        <v>1892</v>
      </c>
      <c r="D39" t="s">
        <v>196</v>
      </c>
      <c r="E39" t="s">
        <v>246</v>
      </c>
    </row>
    <row r="40" spans="1:8">
      <c r="A40" s="49"/>
      <c r="B40" t="s">
        <v>1893</v>
      </c>
      <c r="C40" t="s">
        <v>1894</v>
      </c>
      <c r="D40" t="s">
        <v>193</v>
      </c>
      <c r="F40" t="s">
        <v>196</v>
      </c>
      <c r="G40" t="s">
        <v>110</v>
      </c>
      <c r="H40" t="s">
        <v>1770</v>
      </c>
    </row>
    <row r="41" spans="1:8" ht="15" customHeight="1">
      <c r="A41" s="49" t="s">
        <v>695</v>
      </c>
      <c r="B41" t="s">
        <v>1097</v>
      </c>
      <c r="C41" t="s">
        <v>1826</v>
      </c>
      <c r="D41" t="s">
        <v>196</v>
      </c>
      <c r="E41" t="s">
        <v>1895</v>
      </c>
    </row>
    <row r="42" spans="1:8">
      <c r="A42" s="49"/>
      <c r="B42" t="s">
        <v>1896</v>
      </c>
      <c r="C42" t="s">
        <v>1750</v>
      </c>
      <c r="D42" t="s">
        <v>196</v>
      </c>
      <c r="E42" t="s">
        <v>253</v>
      </c>
    </row>
    <row r="43" spans="1:8">
      <c r="A43" s="49"/>
      <c r="B43" t="s">
        <v>1897</v>
      </c>
      <c r="C43" t="s">
        <v>1898</v>
      </c>
      <c r="D43" t="s">
        <v>193</v>
      </c>
      <c r="F43" t="s">
        <v>193</v>
      </c>
    </row>
    <row r="44" spans="1:8">
      <c r="A44" s="49"/>
      <c r="B44" t="s">
        <v>1899</v>
      </c>
      <c r="C44" t="s">
        <v>1900</v>
      </c>
      <c r="D44" t="s">
        <v>193</v>
      </c>
      <c r="F44" t="s">
        <v>193</v>
      </c>
    </row>
    <row r="45" spans="1:8">
      <c r="A45" s="49"/>
      <c r="B45" t="s">
        <v>1901</v>
      </c>
      <c r="C45" t="s">
        <v>1902</v>
      </c>
      <c r="D45" t="s">
        <v>193</v>
      </c>
      <c r="F45" t="s">
        <v>196</v>
      </c>
      <c r="G45" t="s">
        <v>110</v>
      </c>
      <c r="H45" t="s">
        <v>1770</v>
      </c>
    </row>
    <row r="46" spans="1:8" ht="14.45" customHeight="1">
      <c r="B46" s="16" t="s">
        <v>261</v>
      </c>
      <c r="C46" s="16" t="s">
        <v>193</v>
      </c>
      <c r="D46" s="16">
        <f>COUNTIF(D2:D45,"No")</f>
        <v>22</v>
      </c>
      <c r="E46" s="16" t="s">
        <v>69</v>
      </c>
      <c r="F46" s="16">
        <f>COUNTIF(F2:F45,"Yes")</f>
        <v>18</v>
      </c>
    </row>
    <row r="47" spans="1:8" ht="14.45" customHeight="1">
      <c r="B47" s="6"/>
      <c r="C47" s="16" t="s">
        <v>196</v>
      </c>
      <c r="D47" s="16">
        <f>COUNTIF(D2:D45,"Yes")</f>
        <v>22</v>
      </c>
      <c r="E47" s="16" t="s">
        <v>70</v>
      </c>
      <c r="F47">
        <f>COUNTIFS(D:D,"Partial",F:F,"Yes")</f>
        <v>0</v>
      </c>
    </row>
    <row r="48" spans="1:8" ht="14.45" customHeight="1">
      <c r="B48" s="6"/>
      <c r="C48" s="16" t="s">
        <v>733</v>
      </c>
      <c r="D48" s="16">
        <f>COUNTIF(D2:D45,"Partial")</f>
        <v>0</v>
      </c>
      <c r="E48" s="10" t="s">
        <v>110</v>
      </c>
      <c r="F48">
        <f>COUNTIF($G$2:$G$45,E48)</f>
        <v>14</v>
      </c>
    </row>
    <row r="49" spans="5:6" ht="15">
      <c r="E49" s="10" t="s">
        <v>111</v>
      </c>
      <c r="F49">
        <f t="shared" ref="F49:F52" si="0">COUNTIF($G$2:$G$45,E49)</f>
        <v>0</v>
      </c>
    </row>
    <row r="50" spans="5:6" ht="15">
      <c r="E50" s="10" t="s">
        <v>112</v>
      </c>
      <c r="F50">
        <f t="shared" si="0"/>
        <v>0</v>
      </c>
    </row>
    <row r="51" spans="5:6" ht="15">
      <c r="E51" s="10" t="s">
        <v>480</v>
      </c>
      <c r="F51">
        <f t="shared" si="0"/>
        <v>0</v>
      </c>
    </row>
    <row r="52" spans="5:6" ht="15">
      <c r="E52" s="10" t="s">
        <v>114</v>
      </c>
      <c r="F52">
        <f t="shared" si="0"/>
        <v>4</v>
      </c>
    </row>
    <row r="53" spans="5:6" ht="15"/>
    <row r="54" spans="5:6" ht="15">
      <c r="E54" s="16" t="s">
        <v>1175</v>
      </c>
      <c r="F54" s="16">
        <f>COUNTIF(F2:F45,"No")</f>
        <v>4</v>
      </c>
    </row>
    <row r="73" spans="27:27">
      <c r="AA73" t="s">
        <v>709</v>
      </c>
    </row>
  </sheetData>
  <mergeCells count="10">
    <mergeCell ref="A2:A3"/>
    <mergeCell ref="A4:A6"/>
    <mergeCell ref="A7:A13"/>
    <mergeCell ref="A14:A20"/>
    <mergeCell ref="A21:A22"/>
    <mergeCell ref="A23:A27"/>
    <mergeCell ref="A28:A30"/>
    <mergeCell ref="A31:A33"/>
    <mergeCell ref="A34:A40"/>
    <mergeCell ref="A41:A45"/>
  </mergeCells>
  <conditionalFormatting sqref="D2:D45">
    <cfRule type="containsText" dxfId="157" priority="6" operator="containsText" text="Partial">
      <formula>NOT(ISERROR(SEARCH("Partial",D2)))</formula>
    </cfRule>
    <cfRule type="containsText" dxfId="156" priority="7" operator="containsText" text="No">
      <formula>NOT(ISERROR(SEARCH("No",D2)))</formula>
    </cfRule>
    <cfRule type="containsText" dxfId="155" priority="8" operator="containsText" text="Yes">
      <formula>NOT(ISERROR(SEARCH("Yes",D2)))</formula>
    </cfRule>
  </conditionalFormatting>
  <conditionalFormatting sqref="F2:F45">
    <cfRule type="containsText" dxfId="154" priority="4" operator="containsText" text="No">
      <formula>NOT(ISERROR(SEARCH("No",F2)))</formula>
    </cfRule>
    <cfRule type="containsText" dxfId="153" priority="5" operator="containsText" text="Yes">
      <formula>NOT(ISERROR(SEARCH("Yes",F2)))</formula>
    </cfRule>
  </conditionalFormatting>
  <conditionalFormatting sqref="G2:G108">
    <cfRule type="containsText" dxfId="152" priority="1" operator="containsText" text="No">
      <formula>NOT(ISERROR(SEARCH("No",G2)))</formula>
    </cfRule>
    <cfRule type="containsText" dxfId="151" priority="2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5" xr:uid="{00000000-0002-0000-1300-000000000000}">
      <formula1>"Yes,No,Partial"</formula1>
      <formula2>0</formula2>
    </dataValidation>
    <dataValidation type="list" operator="equal" allowBlank="1" showInputMessage="1" showErrorMessage="1" sqref="F2:F45" xr:uid="{00000000-0002-0000-1300-000001000000}">
      <formula1>"Yes,No"</formula1>
      <formula2>0</formula2>
    </dataValidation>
    <dataValidation operator="equal" allowBlank="1" showInputMessage="1" showErrorMessage="1" sqref="G2:G108" xr:uid="{00000000-0002-0000-13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73"/>
  <sheetViews>
    <sheetView zoomScale="85" zoomScaleNormal="85" workbookViewId="0">
      <selection activeCell="E42" sqref="E42:F42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1903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1904</v>
      </c>
      <c r="C2" t="s">
        <v>1905</v>
      </c>
      <c r="D2" t="s">
        <v>196</v>
      </c>
      <c r="E2" t="s">
        <v>191</v>
      </c>
    </row>
    <row r="3" spans="1:8" ht="15" customHeight="1">
      <c r="A3" s="49"/>
      <c r="B3" t="s">
        <v>1906</v>
      </c>
      <c r="C3" t="s">
        <v>1907</v>
      </c>
      <c r="D3" t="s">
        <v>196</v>
      </c>
      <c r="E3" t="s">
        <v>191</v>
      </c>
    </row>
    <row r="4" spans="1:8" ht="15" customHeight="1">
      <c r="A4" s="4" t="s">
        <v>513</v>
      </c>
      <c r="B4" t="s">
        <v>773</v>
      </c>
      <c r="C4" t="s">
        <v>1908</v>
      </c>
      <c r="D4" t="s">
        <v>196</v>
      </c>
      <c r="E4" t="s">
        <v>199</v>
      </c>
    </row>
    <row r="5" spans="1:8" ht="16.350000000000001" customHeight="1">
      <c r="A5" s="49" t="s">
        <v>519</v>
      </c>
      <c r="B5" t="s">
        <v>826</v>
      </c>
      <c r="C5" t="s">
        <v>1909</v>
      </c>
      <c r="D5" t="s">
        <v>196</v>
      </c>
      <c r="E5" t="s">
        <v>204</v>
      </c>
    </row>
    <row r="6" spans="1:8">
      <c r="A6" s="49"/>
      <c r="B6" t="s">
        <v>324</v>
      </c>
      <c r="C6" t="s">
        <v>1910</v>
      </c>
      <c r="D6" t="s">
        <v>193</v>
      </c>
      <c r="F6" t="s">
        <v>196</v>
      </c>
      <c r="G6" t="s">
        <v>111</v>
      </c>
    </row>
    <row r="7" spans="1:8" ht="15" customHeight="1">
      <c r="A7" s="49"/>
      <c r="B7" t="s">
        <v>1911</v>
      </c>
      <c r="C7" t="s">
        <v>1912</v>
      </c>
      <c r="D7" t="s">
        <v>196</v>
      </c>
      <c r="E7" t="s">
        <v>202</v>
      </c>
    </row>
    <row r="8" spans="1:8" ht="15" customHeight="1">
      <c r="A8" s="49"/>
      <c r="B8" t="s">
        <v>1913</v>
      </c>
      <c r="C8" t="s">
        <v>1914</v>
      </c>
      <c r="D8" t="s">
        <v>196</v>
      </c>
      <c r="E8" t="s">
        <v>202</v>
      </c>
    </row>
    <row r="9" spans="1:8" ht="15" customHeight="1">
      <c r="A9" s="49"/>
      <c r="B9" t="s">
        <v>1915</v>
      </c>
      <c r="C9" t="s">
        <v>1916</v>
      </c>
      <c r="D9" t="s">
        <v>196</v>
      </c>
      <c r="E9" t="s">
        <v>202</v>
      </c>
    </row>
    <row r="10" spans="1:8" ht="15" customHeight="1">
      <c r="A10" s="49"/>
      <c r="B10" t="s">
        <v>527</v>
      </c>
      <c r="C10" t="s">
        <v>1917</v>
      </c>
      <c r="D10" t="s">
        <v>193</v>
      </c>
      <c r="F10" t="s">
        <v>193</v>
      </c>
    </row>
    <row r="11" spans="1:8" ht="15" customHeight="1">
      <c r="A11" s="49"/>
      <c r="B11" t="s">
        <v>325</v>
      </c>
      <c r="C11" t="s">
        <v>1918</v>
      </c>
      <c r="D11" t="s">
        <v>193</v>
      </c>
      <c r="F11" t="s">
        <v>196</v>
      </c>
      <c r="G11" t="s">
        <v>111</v>
      </c>
    </row>
    <row r="12" spans="1:8" ht="15" customHeight="1">
      <c r="A12" s="49"/>
      <c r="B12" t="s">
        <v>326</v>
      </c>
      <c r="C12" t="s">
        <v>1919</v>
      </c>
      <c r="D12" t="s">
        <v>193</v>
      </c>
      <c r="F12" t="s">
        <v>196</v>
      </c>
      <c r="G12" t="s">
        <v>110</v>
      </c>
    </row>
    <row r="13" spans="1:8" ht="15" customHeight="1">
      <c r="A13" s="49"/>
      <c r="B13" t="s">
        <v>327</v>
      </c>
      <c r="C13" t="s">
        <v>1920</v>
      </c>
      <c r="D13" t="s">
        <v>193</v>
      </c>
      <c r="F13" t="s">
        <v>196</v>
      </c>
      <c r="G13" t="s">
        <v>110</v>
      </c>
    </row>
    <row r="14" spans="1:8" ht="15" customHeight="1">
      <c r="A14" s="49" t="s">
        <v>536</v>
      </c>
      <c r="B14" t="s">
        <v>874</v>
      </c>
      <c r="C14" t="s">
        <v>1921</v>
      </c>
      <c r="D14" t="s">
        <v>196</v>
      </c>
      <c r="E14" t="s">
        <v>219</v>
      </c>
    </row>
    <row r="15" spans="1:8" ht="15" customHeight="1">
      <c r="A15" s="49"/>
      <c r="B15" t="s">
        <v>338</v>
      </c>
      <c r="C15" t="s">
        <v>1922</v>
      </c>
      <c r="D15" t="s">
        <v>193</v>
      </c>
      <c r="F15" t="s">
        <v>196</v>
      </c>
      <c r="G15" t="s">
        <v>110</v>
      </c>
    </row>
    <row r="16" spans="1:8" ht="15" customHeight="1">
      <c r="A16" s="49"/>
      <c r="B16" t="s">
        <v>1923</v>
      </c>
      <c r="C16" t="s">
        <v>1924</v>
      </c>
      <c r="D16" t="s">
        <v>196</v>
      </c>
      <c r="E16" t="s">
        <v>214</v>
      </c>
    </row>
    <row r="17" spans="1:8">
      <c r="A17" s="49"/>
      <c r="B17" t="s">
        <v>1925</v>
      </c>
      <c r="C17" t="s">
        <v>1926</v>
      </c>
      <c r="D17" t="s">
        <v>196</v>
      </c>
      <c r="E17" t="s">
        <v>217</v>
      </c>
    </row>
    <row r="18" spans="1:8">
      <c r="A18" s="49"/>
      <c r="B18" t="s">
        <v>1927</v>
      </c>
      <c r="C18" t="s">
        <v>1928</v>
      </c>
      <c r="D18" t="s">
        <v>196</v>
      </c>
      <c r="E18" t="s">
        <v>218</v>
      </c>
    </row>
    <row r="19" spans="1:8">
      <c r="A19" s="49"/>
      <c r="B19" t="s">
        <v>568</v>
      </c>
      <c r="C19" t="s">
        <v>567</v>
      </c>
      <c r="D19" t="s">
        <v>193</v>
      </c>
      <c r="F19" t="s">
        <v>193</v>
      </c>
    </row>
    <row r="20" spans="1:8">
      <c r="A20" s="49"/>
      <c r="B20" t="s">
        <v>339</v>
      </c>
      <c r="C20" t="s">
        <v>1929</v>
      </c>
      <c r="D20" t="s">
        <v>193</v>
      </c>
      <c r="F20" t="s">
        <v>196</v>
      </c>
      <c r="G20" t="s">
        <v>111</v>
      </c>
      <c r="H20" t="s">
        <v>1930</v>
      </c>
    </row>
    <row r="21" spans="1:8">
      <c r="A21" s="49"/>
      <c r="B21" t="s">
        <v>573</v>
      </c>
      <c r="C21" t="s">
        <v>572</v>
      </c>
      <c r="D21" t="s">
        <v>193</v>
      </c>
      <c r="F21" t="s">
        <v>193</v>
      </c>
    </row>
    <row r="22" spans="1:8">
      <c r="A22" s="49"/>
      <c r="B22" t="s">
        <v>575</v>
      </c>
      <c r="C22" t="s">
        <v>574</v>
      </c>
      <c r="D22" t="s">
        <v>193</v>
      </c>
      <c r="F22" t="s">
        <v>193</v>
      </c>
    </row>
    <row r="23" spans="1:8">
      <c r="A23" s="49"/>
      <c r="B23" t="s">
        <v>1931</v>
      </c>
      <c r="C23" t="s">
        <v>1932</v>
      </c>
      <c r="D23" t="s">
        <v>196</v>
      </c>
      <c r="E23" t="s">
        <v>1149</v>
      </c>
    </row>
    <row r="24" spans="1:8">
      <c r="A24" s="49"/>
      <c r="B24" t="s">
        <v>340</v>
      </c>
      <c r="C24" t="s">
        <v>1933</v>
      </c>
      <c r="D24" t="s">
        <v>193</v>
      </c>
      <c r="F24" t="s">
        <v>196</v>
      </c>
      <c r="G24" t="s">
        <v>110</v>
      </c>
    </row>
    <row r="25" spans="1:8">
      <c r="A25" s="49"/>
      <c r="B25" t="s">
        <v>341</v>
      </c>
      <c r="C25" t="s">
        <v>1934</v>
      </c>
      <c r="D25" t="s">
        <v>733</v>
      </c>
      <c r="E25" t="s">
        <v>221</v>
      </c>
      <c r="F25" t="s">
        <v>196</v>
      </c>
      <c r="G25" t="s">
        <v>110</v>
      </c>
      <c r="H25" t="s">
        <v>1935</v>
      </c>
    </row>
    <row r="26" spans="1:8">
      <c r="A26" s="4" t="s">
        <v>589</v>
      </c>
      <c r="B26" t="s">
        <v>901</v>
      </c>
      <c r="C26" t="s">
        <v>1936</v>
      </c>
      <c r="D26" t="s">
        <v>196</v>
      </c>
      <c r="E26" t="s">
        <v>1155</v>
      </c>
    </row>
    <row r="27" spans="1:8" ht="43.5">
      <c r="A27" s="3" t="s">
        <v>613</v>
      </c>
      <c r="B27" t="s">
        <v>931</v>
      </c>
      <c r="C27" t="s">
        <v>1937</v>
      </c>
      <c r="D27" t="s">
        <v>196</v>
      </c>
      <c r="E27" t="s">
        <v>231</v>
      </c>
      <c r="H27" t="s">
        <v>1938</v>
      </c>
    </row>
    <row r="28" spans="1:8" ht="29.1">
      <c r="A28" s="4" t="s">
        <v>625</v>
      </c>
      <c r="B28" t="s">
        <v>959</v>
      </c>
      <c r="C28" t="s">
        <v>1939</v>
      </c>
      <c r="D28" t="s">
        <v>196</v>
      </c>
      <c r="E28" t="s">
        <v>1940</v>
      </c>
    </row>
    <row r="29" spans="1:8" ht="15" customHeight="1">
      <c r="A29" s="3" t="s">
        <v>657</v>
      </c>
      <c r="B29" t="s">
        <v>1007</v>
      </c>
      <c r="C29" t="s">
        <v>1941</v>
      </c>
      <c r="D29" t="s">
        <v>196</v>
      </c>
      <c r="E29" t="s">
        <v>240</v>
      </c>
    </row>
    <row r="30" spans="1:8" ht="15" customHeight="1">
      <c r="A30" s="49" t="s">
        <v>667</v>
      </c>
      <c r="B30" t="s">
        <v>1068</v>
      </c>
      <c r="C30" t="s">
        <v>1942</v>
      </c>
      <c r="D30" t="s">
        <v>196</v>
      </c>
      <c r="E30" t="s">
        <v>246</v>
      </c>
    </row>
    <row r="31" spans="1:8">
      <c r="A31" s="49"/>
      <c r="B31" t="s">
        <v>1034</v>
      </c>
      <c r="C31" t="s">
        <v>1943</v>
      </c>
      <c r="D31" t="s">
        <v>196</v>
      </c>
      <c r="E31" t="s">
        <v>248</v>
      </c>
    </row>
    <row r="32" spans="1:8" ht="15" customHeight="1">
      <c r="A32" s="49"/>
      <c r="B32" t="s">
        <v>1059</v>
      </c>
      <c r="C32" t="s">
        <v>1944</v>
      </c>
      <c r="D32" t="s">
        <v>196</v>
      </c>
      <c r="E32" t="s">
        <v>247</v>
      </c>
    </row>
    <row r="33" spans="1:7">
      <c r="A33" s="49"/>
      <c r="B33" t="s">
        <v>349</v>
      </c>
      <c r="C33" t="s">
        <v>1945</v>
      </c>
      <c r="D33" t="s">
        <v>193</v>
      </c>
      <c r="F33" t="s">
        <v>196</v>
      </c>
      <c r="G33" t="s">
        <v>110</v>
      </c>
    </row>
    <row r="34" spans="1:7" ht="16.350000000000001" customHeight="1">
      <c r="A34" s="49" t="s">
        <v>695</v>
      </c>
      <c r="B34" t="s">
        <v>1117</v>
      </c>
      <c r="C34" t="s">
        <v>1946</v>
      </c>
      <c r="D34" t="s">
        <v>196</v>
      </c>
      <c r="E34" t="s">
        <v>254</v>
      </c>
    </row>
    <row r="35" spans="1:7">
      <c r="A35" s="49"/>
      <c r="B35" t="s">
        <v>352</v>
      </c>
      <c r="C35" t="s">
        <v>1947</v>
      </c>
      <c r="D35" t="s">
        <v>193</v>
      </c>
      <c r="F35" t="s">
        <v>196</v>
      </c>
      <c r="G35" t="s">
        <v>110</v>
      </c>
    </row>
    <row r="36" spans="1:7" ht="15" customHeight="1">
      <c r="A36" s="49"/>
      <c r="B36" t="s">
        <v>353</v>
      </c>
      <c r="C36" t="s">
        <v>1948</v>
      </c>
      <c r="D36" t="s">
        <v>193</v>
      </c>
      <c r="F36" t="s">
        <v>196</v>
      </c>
      <c r="G36" t="s">
        <v>110</v>
      </c>
    </row>
    <row r="37" spans="1:7">
      <c r="A37" s="49"/>
      <c r="B37" t="s">
        <v>354</v>
      </c>
      <c r="C37" t="s">
        <v>1949</v>
      </c>
      <c r="D37" t="s">
        <v>193</v>
      </c>
      <c r="F37" t="s">
        <v>196</v>
      </c>
      <c r="G37" t="s">
        <v>110</v>
      </c>
    </row>
    <row r="38" spans="1:7">
      <c r="A38" s="49"/>
      <c r="B38" t="s">
        <v>355</v>
      </c>
      <c r="C38" t="s">
        <v>1950</v>
      </c>
      <c r="D38" t="s">
        <v>193</v>
      </c>
      <c r="F38" t="s">
        <v>196</v>
      </c>
      <c r="G38" t="s">
        <v>110</v>
      </c>
    </row>
    <row r="39" spans="1:7">
      <c r="A39" s="49"/>
      <c r="B39" t="s">
        <v>356</v>
      </c>
      <c r="C39" t="s">
        <v>1951</v>
      </c>
      <c r="D39" t="s">
        <v>193</v>
      </c>
      <c r="F39" t="s">
        <v>196</v>
      </c>
      <c r="G39" t="s">
        <v>110</v>
      </c>
    </row>
    <row r="40" spans="1:7">
      <c r="A40" s="49"/>
      <c r="B40" t="s">
        <v>357</v>
      </c>
      <c r="C40" t="s">
        <v>1952</v>
      </c>
      <c r="D40" t="s">
        <v>193</v>
      </c>
      <c r="F40" t="s">
        <v>196</v>
      </c>
      <c r="G40" t="s">
        <v>110</v>
      </c>
    </row>
    <row r="41" spans="1:7" ht="14.45" customHeight="1">
      <c r="B41" s="16" t="s">
        <v>261</v>
      </c>
      <c r="C41" s="16" t="s">
        <v>193</v>
      </c>
      <c r="D41" s="16">
        <f>COUNTIF(D2:D40,"No")</f>
        <v>18</v>
      </c>
      <c r="E41" s="16" t="s">
        <v>69</v>
      </c>
      <c r="F41" s="16">
        <f>COUNTIF(F2:F40,"Yes")</f>
        <v>15</v>
      </c>
    </row>
    <row r="42" spans="1:7" ht="14.45" customHeight="1">
      <c r="B42" s="6"/>
      <c r="C42" s="16" t="s">
        <v>196</v>
      </c>
      <c r="D42" s="16">
        <f>COUNTIF(D2:D40,"Yes")</f>
        <v>20</v>
      </c>
      <c r="E42" s="16" t="s">
        <v>70</v>
      </c>
      <c r="F42">
        <f>COUNTIFS(D:D,"Partial",F:F,"Yes")</f>
        <v>1</v>
      </c>
    </row>
    <row r="43" spans="1:7" ht="14.45" customHeight="1">
      <c r="B43" s="6"/>
      <c r="C43" s="16" t="s">
        <v>733</v>
      </c>
      <c r="D43" s="16">
        <f>COUNTIF(D2:D40,"Partial")</f>
        <v>1</v>
      </c>
      <c r="E43" s="10" t="s">
        <v>110</v>
      </c>
      <c r="F43">
        <f>COUNTIF($G$2:$G$40,E43)</f>
        <v>12</v>
      </c>
    </row>
    <row r="44" spans="1:7" ht="15">
      <c r="E44" s="10" t="s">
        <v>111</v>
      </c>
      <c r="F44">
        <f t="shared" ref="F44:F47" si="0">COUNTIF($G$2:$G$40,E44)</f>
        <v>3</v>
      </c>
    </row>
    <row r="45" spans="1:7" ht="15">
      <c r="E45" s="10" t="s">
        <v>112</v>
      </c>
      <c r="F45">
        <f t="shared" si="0"/>
        <v>0</v>
      </c>
    </row>
    <row r="46" spans="1:7" ht="15">
      <c r="E46" s="10" t="s">
        <v>480</v>
      </c>
      <c r="F46">
        <f t="shared" si="0"/>
        <v>0</v>
      </c>
    </row>
    <row r="47" spans="1:7" ht="15">
      <c r="E47" s="10" t="s">
        <v>114</v>
      </c>
      <c r="F47">
        <f t="shared" si="0"/>
        <v>0</v>
      </c>
    </row>
    <row r="48" spans="1:7" ht="15"/>
    <row r="49" spans="5:6" ht="15">
      <c r="E49" s="16" t="s">
        <v>1175</v>
      </c>
      <c r="F49" s="16">
        <f>COUNTIF(F2:F40,"No")</f>
        <v>4</v>
      </c>
    </row>
    <row r="73" spans="27:27">
      <c r="AA73" t="s">
        <v>709</v>
      </c>
    </row>
  </sheetData>
  <mergeCells count="5">
    <mergeCell ref="A2:A3"/>
    <mergeCell ref="A5:A13"/>
    <mergeCell ref="A14:A25"/>
    <mergeCell ref="A30:A33"/>
    <mergeCell ref="A34:A40"/>
  </mergeCells>
  <conditionalFormatting sqref="D2:D40">
    <cfRule type="containsText" dxfId="150" priority="4" operator="containsText" text="Partial">
      <formula>NOT(ISERROR(SEARCH("Partial",D2)))</formula>
    </cfRule>
    <cfRule type="containsText" dxfId="149" priority="5" operator="containsText" text="No">
      <formula>NOT(ISERROR(SEARCH("No",D2)))</formula>
    </cfRule>
    <cfRule type="containsText" dxfId="148" priority="6" operator="containsText" text="Yes">
      <formula>NOT(ISERROR(SEARCH("Yes",D2)))</formula>
    </cfRule>
  </conditionalFormatting>
  <conditionalFormatting sqref="F2:F40">
    <cfRule type="containsText" dxfId="147" priority="2" operator="containsText" text="No">
      <formula>NOT(ISERROR(SEARCH("No",F2)))</formula>
    </cfRule>
    <cfRule type="containsText" dxfId="146" priority="3" operator="containsText" text="Yes">
      <formula>NOT(ISERROR(SEARCH("Yes",F2)))</formula>
    </cfRule>
  </conditionalFormatting>
  <conditionalFormatting sqref="G2:G23 G25:G108">
    <cfRule type="containsText" dxfId="145" priority="10" operator="containsText" text="No">
      <formula>NOT(ISERROR(SEARCH("No",G2)))</formula>
    </cfRule>
    <cfRule type="containsText" dxfId="14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0" xr:uid="{00000000-0002-0000-1500-000000000000}">
      <formula1>"Yes;No;Partial"</formula1>
      <formula2>0</formula2>
    </dataValidation>
    <dataValidation type="list" operator="equal" allowBlank="1" showInputMessage="1" showErrorMessage="1" sqref="F2:F40" xr:uid="{00000000-0002-0000-1500-000001000000}">
      <formula1>"Yes,No"</formula1>
      <formula2>0</formula2>
    </dataValidation>
    <dataValidation operator="equal" allowBlank="1" showInputMessage="1" showErrorMessage="1" sqref="G2:G23 G25:G108" xr:uid="{00000000-0002-0000-15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A73"/>
  <sheetViews>
    <sheetView zoomScale="85" zoomScaleNormal="85" workbookViewId="0">
      <selection activeCell="E29" sqref="E29:F29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1953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744</v>
      </c>
      <c r="C2" t="s">
        <v>1954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1955</v>
      </c>
      <c r="C3" t="s">
        <v>1956</v>
      </c>
      <c r="D3" t="s">
        <v>196</v>
      </c>
      <c r="E3" t="s">
        <v>199</v>
      </c>
    </row>
    <row r="4" spans="1:8" ht="15" customHeight="1">
      <c r="A4" s="49"/>
      <c r="B4" t="s">
        <v>1957</v>
      </c>
      <c r="C4" t="s">
        <v>1958</v>
      </c>
      <c r="D4" t="s">
        <v>196</v>
      </c>
      <c r="E4" t="s">
        <v>199</v>
      </c>
    </row>
    <row r="5" spans="1:8" ht="15" customHeight="1">
      <c r="A5" s="49" t="s">
        <v>519</v>
      </c>
      <c r="B5" t="s">
        <v>798</v>
      </c>
      <c r="C5" t="s">
        <v>1959</v>
      </c>
      <c r="D5" t="s">
        <v>196</v>
      </c>
      <c r="E5" t="s">
        <v>1960</v>
      </c>
    </row>
    <row r="6" spans="1:8" ht="15" customHeight="1">
      <c r="A6" s="49"/>
      <c r="B6" t="s">
        <v>1961</v>
      </c>
      <c r="C6" t="s">
        <v>1962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329</v>
      </c>
      <c r="C7" t="s">
        <v>1963</v>
      </c>
      <c r="D7" t="s">
        <v>193</v>
      </c>
      <c r="F7" t="s">
        <v>196</v>
      </c>
      <c r="G7" t="s">
        <v>111</v>
      </c>
    </row>
    <row r="8" spans="1:8" ht="15" customHeight="1">
      <c r="A8" s="49" t="s">
        <v>536</v>
      </c>
      <c r="B8" t="s">
        <v>842</v>
      </c>
      <c r="C8" t="s">
        <v>1964</v>
      </c>
      <c r="D8" t="s">
        <v>733</v>
      </c>
      <c r="E8" t="s">
        <v>1965</v>
      </c>
      <c r="F8" t="s">
        <v>193</v>
      </c>
    </row>
    <row r="9" spans="1:8">
      <c r="A9" s="49"/>
      <c r="B9" t="s">
        <v>342</v>
      </c>
      <c r="C9" t="s">
        <v>1966</v>
      </c>
      <c r="D9" t="s">
        <v>193</v>
      </c>
      <c r="F9" t="s">
        <v>196</v>
      </c>
      <c r="G9" t="s">
        <v>110</v>
      </c>
    </row>
    <row r="10" spans="1:8">
      <c r="A10" s="49"/>
      <c r="B10" t="s">
        <v>869</v>
      </c>
      <c r="C10" t="s">
        <v>1967</v>
      </c>
      <c r="D10" t="s">
        <v>196</v>
      </c>
      <c r="E10" t="s">
        <v>333</v>
      </c>
    </row>
    <row r="11" spans="1:8">
      <c r="A11" s="49"/>
      <c r="B11" t="s">
        <v>888</v>
      </c>
      <c r="C11" t="s">
        <v>1968</v>
      </c>
      <c r="D11" t="s">
        <v>196</v>
      </c>
      <c r="E11" s="3" t="s">
        <v>221</v>
      </c>
    </row>
    <row r="12" spans="1:8" ht="15" customHeight="1">
      <c r="A12" s="49" t="s">
        <v>589</v>
      </c>
      <c r="B12" t="s">
        <v>902</v>
      </c>
      <c r="C12" t="s">
        <v>1969</v>
      </c>
      <c r="D12" t="s">
        <v>196</v>
      </c>
      <c r="E12" t="s">
        <v>1155</v>
      </c>
    </row>
    <row r="13" spans="1:8">
      <c r="A13" s="49"/>
      <c r="B13" t="s">
        <v>609</v>
      </c>
      <c r="C13" t="s">
        <v>1970</v>
      </c>
      <c r="D13" t="s">
        <v>193</v>
      </c>
      <c r="F13" t="s">
        <v>193</v>
      </c>
    </row>
    <row r="14" spans="1:8" ht="15" customHeight="1">
      <c r="A14" s="3" t="s">
        <v>613</v>
      </c>
      <c r="B14" t="s">
        <v>932</v>
      </c>
      <c r="C14" t="s">
        <v>1971</v>
      </c>
      <c r="D14" t="s">
        <v>196</v>
      </c>
      <c r="E14" t="s">
        <v>231</v>
      </c>
    </row>
    <row r="15" spans="1:8" ht="15" customHeight="1">
      <c r="A15" s="49" t="s">
        <v>625</v>
      </c>
      <c r="B15" t="s">
        <v>985</v>
      </c>
      <c r="C15" t="s">
        <v>1972</v>
      </c>
      <c r="D15" t="s">
        <v>196</v>
      </c>
      <c r="E15" t="s">
        <v>1940</v>
      </c>
    </row>
    <row r="16" spans="1:8">
      <c r="A16" s="49"/>
      <c r="B16" t="s">
        <v>1973</v>
      </c>
      <c r="C16" t="s">
        <v>1974</v>
      </c>
      <c r="D16" t="s">
        <v>196</v>
      </c>
      <c r="E16" t="s">
        <v>233</v>
      </c>
    </row>
    <row r="17" spans="1:7" ht="29.25" customHeight="1">
      <c r="A17" s="44" t="s">
        <v>657</v>
      </c>
      <c r="B17" t="s">
        <v>1975</v>
      </c>
      <c r="C17" t="s">
        <v>1738</v>
      </c>
      <c r="D17" t="s">
        <v>196</v>
      </c>
      <c r="E17" t="s">
        <v>240</v>
      </c>
    </row>
    <row r="18" spans="1:7">
      <c r="A18" s="44"/>
      <c r="B18" t="s">
        <v>1976</v>
      </c>
      <c r="C18" t="s">
        <v>1977</v>
      </c>
      <c r="D18" t="s">
        <v>196</v>
      </c>
      <c r="E18" t="s">
        <v>240</v>
      </c>
    </row>
    <row r="19" spans="1:7" ht="15" customHeight="1">
      <c r="A19" s="49" t="s">
        <v>667</v>
      </c>
      <c r="B19" t="s">
        <v>1978</v>
      </c>
      <c r="C19" t="s">
        <v>1979</v>
      </c>
      <c r="D19" t="s">
        <v>196</v>
      </c>
      <c r="E19" t="s">
        <v>1220</v>
      </c>
    </row>
    <row r="20" spans="1:7">
      <c r="A20" s="49"/>
      <c r="B20" t="s">
        <v>1980</v>
      </c>
      <c r="C20" t="s">
        <v>1981</v>
      </c>
      <c r="D20" t="s">
        <v>196</v>
      </c>
      <c r="E20" t="s">
        <v>1220</v>
      </c>
    </row>
    <row r="21" spans="1:7">
      <c r="A21" s="49"/>
      <c r="B21" t="s">
        <v>1982</v>
      </c>
      <c r="C21" t="s">
        <v>1983</v>
      </c>
      <c r="D21" t="s">
        <v>196</v>
      </c>
      <c r="E21" t="s">
        <v>1220</v>
      </c>
    </row>
    <row r="22" spans="1:7">
      <c r="A22" s="49"/>
      <c r="B22" t="s">
        <v>350</v>
      </c>
      <c r="C22" t="s">
        <v>1984</v>
      </c>
      <c r="D22" t="s">
        <v>193</v>
      </c>
      <c r="F22" t="s">
        <v>196</v>
      </c>
      <c r="G22" t="s">
        <v>110</v>
      </c>
    </row>
    <row r="23" spans="1:7">
      <c r="A23" s="49"/>
      <c r="B23" t="s">
        <v>1985</v>
      </c>
      <c r="C23" t="s">
        <v>1986</v>
      </c>
      <c r="D23" t="s">
        <v>196</v>
      </c>
      <c r="E23" t="s">
        <v>1220</v>
      </c>
    </row>
    <row r="24" spans="1:7" ht="15" customHeight="1">
      <c r="A24" s="49" t="s">
        <v>695</v>
      </c>
      <c r="B24" t="s">
        <v>1987</v>
      </c>
      <c r="C24" t="s">
        <v>1988</v>
      </c>
      <c r="D24" t="s">
        <v>196</v>
      </c>
      <c r="E24" t="s">
        <v>351</v>
      </c>
    </row>
    <row r="25" spans="1:7">
      <c r="A25" s="49"/>
      <c r="B25" t="s">
        <v>1989</v>
      </c>
      <c r="C25" t="s">
        <v>1990</v>
      </c>
      <c r="D25" t="s">
        <v>196</v>
      </c>
      <c r="E25" t="s">
        <v>351</v>
      </c>
    </row>
    <row r="26" spans="1:7">
      <c r="A26" s="49"/>
      <c r="B26" t="s">
        <v>1991</v>
      </c>
      <c r="C26" t="s">
        <v>1992</v>
      </c>
      <c r="D26" t="s">
        <v>196</v>
      </c>
      <c r="E26" t="s">
        <v>351</v>
      </c>
    </row>
    <row r="27" spans="1:7">
      <c r="A27" s="49"/>
      <c r="B27" t="s">
        <v>1993</v>
      </c>
      <c r="C27" t="s">
        <v>1994</v>
      </c>
      <c r="D27" t="s">
        <v>193</v>
      </c>
      <c r="F27" t="s">
        <v>196</v>
      </c>
      <c r="G27" t="s">
        <v>110</v>
      </c>
    </row>
    <row r="28" spans="1:7" ht="14.45" customHeight="1">
      <c r="B28" s="16" t="s">
        <v>261</v>
      </c>
      <c r="C28" s="16" t="s">
        <v>193</v>
      </c>
      <c r="D28" s="16">
        <f>COUNTIF(D2:D27,"No")</f>
        <v>6</v>
      </c>
      <c r="E28" s="16" t="s">
        <v>69</v>
      </c>
      <c r="F28" s="16">
        <f>COUNTIF(F2:F27,"Yes")</f>
        <v>5</v>
      </c>
    </row>
    <row r="29" spans="1:7" ht="14.45" customHeight="1">
      <c r="B29" s="6"/>
      <c r="C29" s="16" t="s">
        <v>196</v>
      </c>
      <c r="D29" s="16">
        <f>COUNTIF(D2:D27,"Yes")</f>
        <v>19</v>
      </c>
      <c r="E29" s="16" t="s">
        <v>70</v>
      </c>
      <c r="F29">
        <f>COUNTIFS(D:D,"Partial",F:F,"Yes")</f>
        <v>0</v>
      </c>
    </row>
    <row r="30" spans="1:7" ht="14.45" customHeight="1">
      <c r="B30" s="6"/>
      <c r="C30" s="16" t="s">
        <v>733</v>
      </c>
      <c r="D30" s="16">
        <f>COUNTIF(D2:D27,"Partial")</f>
        <v>1</v>
      </c>
      <c r="E30" s="10" t="s">
        <v>110</v>
      </c>
      <c r="F30">
        <f>COUNTIF($G$2:$G$27,E30)</f>
        <v>3</v>
      </c>
    </row>
    <row r="31" spans="1:7" ht="15">
      <c r="E31" s="10" t="s">
        <v>111</v>
      </c>
      <c r="F31">
        <f t="shared" ref="F31:F34" si="0">COUNTIF($G$2:$G$27,E31)</f>
        <v>1</v>
      </c>
    </row>
    <row r="32" spans="1:7" ht="15">
      <c r="E32" s="10" t="s">
        <v>112</v>
      </c>
      <c r="F32">
        <f t="shared" si="0"/>
        <v>1</v>
      </c>
    </row>
    <row r="33" spans="5:6" ht="15">
      <c r="E33" s="10" t="s">
        <v>480</v>
      </c>
      <c r="F33">
        <f t="shared" si="0"/>
        <v>0</v>
      </c>
    </row>
    <row r="34" spans="5:6" ht="15">
      <c r="E34" s="10" t="s">
        <v>114</v>
      </c>
      <c r="F34">
        <f t="shared" si="0"/>
        <v>0</v>
      </c>
    </row>
    <row r="35" spans="5:6" ht="15"/>
    <row r="36" spans="5:6" ht="15">
      <c r="E36" s="16" t="s">
        <v>1175</v>
      </c>
      <c r="F36" s="16">
        <f>COUNTIF(F2:F27,"No")</f>
        <v>2</v>
      </c>
    </row>
    <row r="73" spans="27:27">
      <c r="AA73" t="s">
        <v>709</v>
      </c>
    </row>
  </sheetData>
  <mergeCells count="8">
    <mergeCell ref="A17:A18"/>
    <mergeCell ref="A19:A23"/>
    <mergeCell ref="A24:A27"/>
    <mergeCell ref="A3:A4"/>
    <mergeCell ref="A5:A7"/>
    <mergeCell ref="A8:A11"/>
    <mergeCell ref="A12:A13"/>
    <mergeCell ref="A15:A16"/>
  </mergeCells>
  <conditionalFormatting sqref="D2:D13 D18:D27">
    <cfRule type="containsText" dxfId="143" priority="4" operator="containsText" text="Partial">
      <formula>NOT(ISERROR(SEARCH("Partial",D2)))</formula>
    </cfRule>
    <cfRule type="containsText" dxfId="142" priority="5" operator="containsText" text="No">
      <formula>NOT(ISERROR(SEARCH("No",D2)))</formula>
    </cfRule>
    <cfRule type="containsText" dxfId="141" priority="6" operator="containsText" text="Yes">
      <formula>NOT(ISERROR(SEARCH("Yes",D2)))</formula>
    </cfRule>
  </conditionalFormatting>
  <conditionalFormatting sqref="D14:D18">
    <cfRule type="containsText" dxfId="140" priority="11" operator="containsText" text="Partial">
      <formula>NOT(ISERROR(SEARCH("Partial",D14)))</formula>
    </cfRule>
    <cfRule type="containsText" dxfId="139" priority="12" operator="containsText" text="No">
      <formula>NOT(ISERROR(SEARCH("No",D14)))</formula>
    </cfRule>
    <cfRule type="containsText" dxfId="138" priority="13" operator="containsText" text="Yes">
      <formula>NOT(ISERROR(SEARCH("Yes",D14)))</formula>
    </cfRule>
  </conditionalFormatting>
  <conditionalFormatting sqref="F2:F27">
    <cfRule type="containsText" dxfId="137" priority="2" operator="containsText" text="No">
      <formula>NOT(ISERROR(SEARCH("No",F2)))</formula>
    </cfRule>
    <cfRule type="containsText" dxfId="136" priority="3" operator="containsText" text="Yes">
      <formula>NOT(ISERROR(SEARCH("Yes",F2)))</formula>
    </cfRule>
  </conditionalFormatting>
  <conditionalFormatting sqref="G2:G108">
    <cfRule type="containsText" dxfId="135" priority="7" operator="containsText" text="No">
      <formula>NOT(ISERROR(SEARCH("No",G2)))</formula>
    </cfRule>
    <cfRule type="containsText" dxfId="134" priority="8" operator="containsText" text="Yes">
      <formula>NOT(ISERROR(SEARCH("Yes",G2)))</formula>
    </cfRule>
  </conditionalFormatting>
  <dataValidations count="4">
    <dataValidation type="list" operator="equal" allowBlank="1" showInputMessage="1" showErrorMessage="1" sqref="D9 D12 D14:D18" xr:uid="{00000000-0002-0000-1600-000000000000}">
      <formula1>"Yes;No;Partial"</formula1>
      <formula2>0</formula2>
    </dataValidation>
    <dataValidation type="list" operator="equal" allowBlank="1" showInputMessage="1" showErrorMessage="1" sqref="F2:F27" xr:uid="{00000000-0002-0000-1600-000001000000}">
      <formula1>"Yes,No"</formula1>
      <formula2>0</formula2>
    </dataValidation>
    <dataValidation type="list" operator="equal" allowBlank="1" showInputMessage="1" showErrorMessage="1" sqref="D2:D8 D10:D11 D13 D19:D27" xr:uid="{00000000-0002-0000-1600-000002000000}">
      <formula1>"Yes,No,Partial"</formula1>
      <formula2>0</formula2>
    </dataValidation>
    <dataValidation operator="equal" allowBlank="1" showInputMessage="1" showErrorMessage="1" sqref="G2:G108" xr:uid="{00000000-0002-0000-1600-000004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A73"/>
  <sheetViews>
    <sheetView zoomScale="85" zoomScaleNormal="85" workbookViewId="0">
      <selection activeCell="E37" sqref="E37:F37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1995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745</v>
      </c>
      <c r="C2" t="s">
        <v>1996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1997</v>
      </c>
      <c r="C3" t="s">
        <v>1998</v>
      </c>
      <c r="D3" t="s">
        <v>196</v>
      </c>
      <c r="E3" t="s">
        <v>199</v>
      </c>
    </row>
    <row r="4" spans="1:8" ht="15" customHeight="1">
      <c r="A4" s="49"/>
      <c r="B4" t="s">
        <v>1999</v>
      </c>
      <c r="C4" t="s">
        <v>2000</v>
      </c>
      <c r="D4" t="s">
        <v>196</v>
      </c>
      <c r="E4" t="s">
        <v>199</v>
      </c>
    </row>
    <row r="5" spans="1:8" ht="15" customHeight="1">
      <c r="A5" s="49"/>
      <c r="B5" t="s">
        <v>2001</v>
      </c>
      <c r="C5" t="s">
        <v>1918</v>
      </c>
      <c r="D5" t="s">
        <v>196</v>
      </c>
      <c r="E5" t="s">
        <v>199</v>
      </c>
    </row>
    <row r="6" spans="1:8" ht="15" customHeight="1">
      <c r="A6" s="49"/>
      <c r="B6" t="s">
        <v>322</v>
      </c>
      <c r="C6" t="s">
        <v>2002</v>
      </c>
      <c r="D6" t="s">
        <v>193</v>
      </c>
      <c r="F6" t="s">
        <v>196</v>
      </c>
      <c r="G6" t="s">
        <v>112</v>
      </c>
    </row>
    <row r="7" spans="1:8" ht="15" customHeight="1">
      <c r="A7" s="49" t="s">
        <v>519</v>
      </c>
      <c r="B7" t="s">
        <v>827</v>
      </c>
      <c r="C7" t="s">
        <v>2003</v>
      </c>
      <c r="D7" t="s">
        <v>196</v>
      </c>
      <c r="E7" t="s">
        <v>1960</v>
      </c>
    </row>
    <row r="8" spans="1:8" ht="15" customHeight="1">
      <c r="A8" s="49"/>
      <c r="B8" t="s">
        <v>2004</v>
      </c>
      <c r="C8" t="s">
        <v>2005</v>
      </c>
      <c r="D8" t="s">
        <v>196</v>
      </c>
      <c r="E8" t="s">
        <v>202</v>
      </c>
    </row>
    <row r="9" spans="1:8" ht="15" customHeight="1">
      <c r="A9" s="49"/>
      <c r="B9" t="s">
        <v>2006</v>
      </c>
      <c r="C9" t="s">
        <v>2007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330</v>
      </c>
      <c r="C10" t="s">
        <v>2008</v>
      </c>
      <c r="D10" t="s">
        <v>193</v>
      </c>
      <c r="F10" t="s">
        <v>196</v>
      </c>
      <c r="G10" t="s">
        <v>110</v>
      </c>
    </row>
    <row r="11" spans="1:8" ht="15" customHeight="1">
      <c r="A11" s="49"/>
      <c r="B11" t="s">
        <v>331</v>
      </c>
      <c r="C11" t="s">
        <v>2009</v>
      </c>
      <c r="D11" t="s">
        <v>193</v>
      </c>
      <c r="F11" t="s">
        <v>196</v>
      </c>
      <c r="G11" t="s">
        <v>111</v>
      </c>
    </row>
    <row r="12" spans="1:8" ht="15" customHeight="1">
      <c r="A12" s="49"/>
      <c r="B12" t="s">
        <v>332</v>
      </c>
      <c r="C12" t="s">
        <v>2010</v>
      </c>
      <c r="D12" t="s">
        <v>193</v>
      </c>
      <c r="F12" t="s">
        <v>196</v>
      </c>
      <c r="G12" t="s">
        <v>114</v>
      </c>
    </row>
    <row r="13" spans="1:8" ht="15" customHeight="1">
      <c r="A13" s="49" t="s">
        <v>536</v>
      </c>
      <c r="B13" t="s">
        <v>843</v>
      </c>
      <c r="C13" t="s">
        <v>2011</v>
      </c>
      <c r="D13" t="s">
        <v>733</v>
      </c>
      <c r="E13" s="3" t="s">
        <v>2012</v>
      </c>
    </row>
    <row r="14" spans="1:8">
      <c r="A14" s="49"/>
      <c r="B14" t="s">
        <v>889</v>
      </c>
      <c r="C14" t="s">
        <v>2013</v>
      </c>
      <c r="D14" t="s">
        <v>196</v>
      </c>
      <c r="E14" s="3" t="s">
        <v>221</v>
      </c>
    </row>
    <row r="15" spans="1:8">
      <c r="A15" s="49"/>
      <c r="B15" t="s">
        <v>343</v>
      </c>
      <c r="C15" t="s">
        <v>2014</v>
      </c>
      <c r="D15" t="s">
        <v>193</v>
      </c>
      <c r="F15" t="s">
        <v>196</v>
      </c>
      <c r="G15" t="s">
        <v>112</v>
      </c>
    </row>
    <row r="16" spans="1:8">
      <c r="A16" s="49"/>
      <c r="B16" t="s">
        <v>344</v>
      </c>
      <c r="C16" t="s">
        <v>2015</v>
      </c>
      <c r="D16" t="s">
        <v>193</v>
      </c>
      <c r="F16" t="s">
        <v>196</v>
      </c>
      <c r="G16" t="s">
        <v>111</v>
      </c>
    </row>
    <row r="17" spans="1:7" ht="15" customHeight="1">
      <c r="A17" s="49" t="s">
        <v>589</v>
      </c>
      <c r="B17" t="s">
        <v>903</v>
      </c>
      <c r="C17" t="s">
        <v>1969</v>
      </c>
      <c r="D17" t="s">
        <v>196</v>
      </c>
      <c r="E17" t="s">
        <v>1155</v>
      </c>
    </row>
    <row r="18" spans="1:7">
      <c r="A18" s="49"/>
      <c r="B18" t="s">
        <v>610</v>
      </c>
      <c r="C18" t="s">
        <v>2016</v>
      </c>
      <c r="D18" t="s">
        <v>193</v>
      </c>
      <c r="F18" t="s">
        <v>193</v>
      </c>
    </row>
    <row r="19" spans="1:7" ht="15" customHeight="1">
      <c r="A19" s="44" t="s">
        <v>613</v>
      </c>
      <c r="B19" t="s">
        <v>2017</v>
      </c>
      <c r="C19" t="s">
        <v>2018</v>
      </c>
      <c r="D19" t="s">
        <v>196</v>
      </c>
      <c r="E19" t="s">
        <v>231</v>
      </c>
    </row>
    <row r="20" spans="1:7" ht="15" customHeight="1">
      <c r="A20" s="44"/>
      <c r="B20" t="s">
        <v>2019</v>
      </c>
      <c r="C20" t="s">
        <v>2020</v>
      </c>
      <c r="D20" t="s">
        <v>196</v>
      </c>
      <c r="E20" t="s">
        <v>231</v>
      </c>
    </row>
    <row r="21" spans="1:7" ht="15" customHeight="1">
      <c r="A21" s="44"/>
      <c r="B21" t="s">
        <v>2021</v>
      </c>
      <c r="C21" t="s">
        <v>2022</v>
      </c>
      <c r="D21" t="s">
        <v>196</v>
      </c>
      <c r="E21" t="s">
        <v>231</v>
      </c>
    </row>
    <row r="22" spans="1:7" ht="15" customHeight="1">
      <c r="A22" s="44"/>
      <c r="B22" t="s">
        <v>2023</v>
      </c>
      <c r="C22" t="s">
        <v>2024</v>
      </c>
      <c r="D22" t="s">
        <v>196</v>
      </c>
      <c r="E22" t="s">
        <v>231</v>
      </c>
    </row>
    <row r="23" spans="1:7" ht="15" customHeight="1">
      <c r="A23" s="44"/>
      <c r="B23" t="s">
        <v>2025</v>
      </c>
      <c r="C23" t="s">
        <v>2026</v>
      </c>
      <c r="D23" t="s">
        <v>196</v>
      </c>
      <c r="E23" t="s">
        <v>231</v>
      </c>
    </row>
    <row r="24" spans="1:7" ht="15" customHeight="1">
      <c r="A24" s="44"/>
      <c r="B24" t="s">
        <v>2027</v>
      </c>
      <c r="C24" t="s">
        <v>2028</v>
      </c>
      <c r="D24" t="s">
        <v>196</v>
      </c>
      <c r="E24" t="s">
        <v>231</v>
      </c>
    </row>
    <row r="25" spans="1:7" ht="15" customHeight="1">
      <c r="A25" s="49" t="s">
        <v>625</v>
      </c>
      <c r="B25" t="s">
        <v>961</v>
      </c>
      <c r="C25" t="s">
        <v>2029</v>
      </c>
      <c r="D25" t="s">
        <v>196</v>
      </c>
      <c r="E25" t="s">
        <v>233</v>
      </c>
    </row>
    <row r="26" spans="1:7" ht="14.25" customHeight="1">
      <c r="A26" s="49"/>
      <c r="B26" t="s">
        <v>347</v>
      </c>
      <c r="C26" t="s">
        <v>2030</v>
      </c>
      <c r="D26" t="s">
        <v>193</v>
      </c>
      <c r="F26" t="s">
        <v>196</v>
      </c>
      <c r="G26" t="s">
        <v>111</v>
      </c>
    </row>
    <row r="27" spans="1:7">
      <c r="A27" s="49"/>
      <c r="B27" t="s">
        <v>994</v>
      </c>
      <c r="C27" t="s">
        <v>2031</v>
      </c>
      <c r="D27" t="s">
        <v>196</v>
      </c>
      <c r="E27" t="s">
        <v>235</v>
      </c>
    </row>
    <row r="28" spans="1:7">
      <c r="A28" s="49"/>
      <c r="B28" t="s">
        <v>348</v>
      </c>
      <c r="C28" t="s">
        <v>2032</v>
      </c>
      <c r="D28" t="s">
        <v>193</v>
      </c>
      <c r="F28" t="s">
        <v>196</v>
      </c>
      <c r="G28" t="s">
        <v>110</v>
      </c>
    </row>
    <row r="29" spans="1:7" ht="29.25" customHeight="1">
      <c r="A29" s="3" t="s">
        <v>657</v>
      </c>
      <c r="B29" t="s">
        <v>1009</v>
      </c>
      <c r="C29" t="s">
        <v>1738</v>
      </c>
      <c r="D29" t="s">
        <v>196</v>
      </c>
      <c r="E29" t="s">
        <v>240</v>
      </c>
    </row>
    <row r="30" spans="1:7" ht="15" customHeight="1">
      <c r="A30" s="49" t="s">
        <v>667</v>
      </c>
      <c r="B30" t="s">
        <v>1069</v>
      </c>
      <c r="C30" t="s">
        <v>2033</v>
      </c>
      <c r="D30" t="s">
        <v>196</v>
      </c>
      <c r="E30" t="s">
        <v>248</v>
      </c>
    </row>
    <row r="31" spans="1:7">
      <c r="A31" s="49"/>
      <c r="B31" t="s">
        <v>2034</v>
      </c>
      <c r="C31" t="s">
        <v>2035</v>
      </c>
      <c r="D31" t="s">
        <v>196</v>
      </c>
      <c r="E31" t="s">
        <v>246</v>
      </c>
    </row>
    <row r="32" spans="1:7">
      <c r="A32" s="49"/>
      <c r="B32" t="s">
        <v>2036</v>
      </c>
      <c r="C32" t="s">
        <v>2037</v>
      </c>
      <c r="D32" t="s">
        <v>196</v>
      </c>
      <c r="E32" t="s">
        <v>246</v>
      </c>
    </row>
    <row r="33" spans="1:7" ht="15" customHeight="1">
      <c r="A33" s="49" t="s">
        <v>695</v>
      </c>
      <c r="B33" t="s">
        <v>1086</v>
      </c>
      <c r="C33" t="s">
        <v>2038</v>
      </c>
      <c r="D33" t="s">
        <v>196</v>
      </c>
      <c r="E33" t="s">
        <v>351</v>
      </c>
    </row>
    <row r="34" spans="1:7">
      <c r="A34" s="49"/>
      <c r="B34" t="s">
        <v>359</v>
      </c>
      <c r="C34" t="s">
        <v>2039</v>
      </c>
      <c r="D34" t="s">
        <v>193</v>
      </c>
      <c r="F34" t="s">
        <v>196</v>
      </c>
      <c r="G34" t="s">
        <v>111</v>
      </c>
    </row>
    <row r="35" spans="1:7">
      <c r="A35" s="49"/>
      <c r="B35" t="s">
        <v>2040</v>
      </c>
      <c r="C35" t="s">
        <v>2041</v>
      </c>
      <c r="D35" t="s">
        <v>193</v>
      </c>
      <c r="F35" t="s">
        <v>196</v>
      </c>
      <c r="G35" t="s">
        <v>110</v>
      </c>
    </row>
    <row r="36" spans="1:7" ht="14.45" customHeight="1">
      <c r="B36" s="16" t="s">
        <v>261</v>
      </c>
      <c r="C36" s="16" t="s">
        <v>193</v>
      </c>
      <c r="D36" s="16">
        <f>COUNTIF(D2:D35,"No")</f>
        <v>12</v>
      </c>
      <c r="E36" s="16" t="s">
        <v>69</v>
      </c>
      <c r="F36" s="16">
        <f>COUNTIF(F2:F35,"Yes")</f>
        <v>11</v>
      </c>
    </row>
    <row r="37" spans="1:7" ht="14.45" customHeight="1">
      <c r="B37" s="6"/>
      <c r="C37" s="16" t="s">
        <v>196</v>
      </c>
      <c r="D37" s="16">
        <f>COUNTIF(D2:D35,"Yes")</f>
        <v>21</v>
      </c>
      <c r="E37" s="16" t="s">
        <v>70</v>
      </c>
      <c r="F37">
        <f>COUNTIFS(D:D,"Partial",F:F,"Yes")</f>
        <v>0</v>
      </c>
    </row>
    <row r="38" spans="1:7" ht="14.45" customHeight="1">
      <c r="B38" s="6"/>
      <c r="C38" s="16" t="s">
        <v>733</v>
      </c>
      <c r="D38" s="16">
        <f>COUNTIF(D2:D35,"Partial")</f>
        <v>1</v>
      </c>
      <c r="E38" s="10" t="s">
        <v>110</v>
      </c>
      <c r="F38">
        <f>COUNTIF($G$2:$G$35,E38)</f>
        <v>3</v>
      </c>
    </row>
    <row r="39" spans="1:7" ht="15">
      <c r="E39" s="10" t="s">
        <v>111</v>
      </c>
      <c r="F39">
        <f t="shared" ref="F39:F42" si="0">COUNTIF($G$2:$G$35,E39)</f>
        <v>4</v>
      </c>
    </row>
    <row r="40" spans="1:7" ht="15">
      <c r="E40" s="10" t="s">
        <v>112</v>
      </c>
      <c r="F40">
        <f t="shared" si="0"/>
        <v>3</v>
      </c>
    </row>
    <row r="41" spans="1:7" ht="15">
      <c r="E41" s="10" t="s">
        <v>480</v>
      </c>
      <c r="F41">
        <f t="shared" si="0"/>
        <v>0</v>
      </c>
    </row>
    <row r="42" spans="1:7" ht="15">
      <c r="E42" s="10" t="s">
        <v>114</v>
      </c>
      <c r="F42">
        <f t="shared" si="0"/>
        <v>1</v>
      </c>
    </row>
    <row r="43" spans="1:7" ht="15"/>
    <row r="44" spans="1:7" ht="15">
      <c r="E44" s="16" t="s">
        <v>1175</v>
      </c>
      <c r="F44" s="16">
        <f>COUNTIF(F2:F35,"No")</f>
        <v>1</v>
      </c>
    </row>
    <row r="73" spans="27:27">
      <c r="AA73" t="s">
        <v>709</v>
      </c>
    </row>
  </sheetData>
  <mergeCells count="8">
    <mergeCell ref="A25:A28"/>
    <mergeCell ref="A30:A32"/>
    <mergeCell ref="A33:A35"/>
    <mergeCell ref="A3:A6"/>
    <mergeCell ref="A7:A12"/>
    <mergeCell ref="A13:A16"/>
    <mergeCell ref="A17:A18"/>
    <mergeCell ref="A19:A24"/>
  </mergeCells>
  <conditionalFormatting sqref="D2:D15 D18 D21:D24 D26:D35">
    <cfRule type="containsText" dxfId="133" priority="4" operator="containsText" text="Partial">
      <formula>NOT(ISERROR(SEARCH("Partial",D2)))</formula>
    </cfRule>
    <cfRule type="containsText" dxfId="132" priority="5" operator="containsText" text="No">
      <formula>NOT(ISERROR(SEARCH("No",D2)))</formula>
    </cfRule>
    <cfRule type="containsText" dxfId="131" priority="6" operator="containsText" text="Yes">
      <formula>NOT(ISERROR(SEARCH("Yes",D2)))</formula>
    </cfRule>
  </conditionalFormatting>
  <conditionalFormatting sqref="D16:D25">
    <cfRule type="containsText" dxfId="130" priority="7" operator="containsText" text="Partial">
      <formula>NOT(ISERROR(SEARCH("Partial",D16)))</formula>
    </cfRule>
    <cfRule type="containsText" dxfId="129" priority="8" operator="containsText" text="No">
      <formula>NOT(ISERROR(SEARCH("No",D16)))</formula>
    </cfRule>
    <cfRule type="containsText" dxfId="128" priority="9" operator="containsText" text="Yes">
      <formula>NOT(ISERROR(SEARCH("Yes",D16)))</formula>
    </cfRule>
  </conditionalFormatting>
  <conditionalFormatting sqref="F2:F15 F18:F35">
    <cfRule type="containsText" dxfId="127" priority="2" operator="containsText" text="No">
      <formula>NOT(ISERROR(SEARCH("No",F2)))</formula>
    </cfRule>
    <cfRule type="containsText" dxfId="126" priority="3" operator="containsText" text="Yes">
      <formula>NOT(ISERROR(SEARCH("Yes",F2)))</formula>
    </cfRule>
  </conditionalFormatting>
  <conditionalFormatting sqref="F16:F18">
    <cfRule type="containsText" dxfId="125" priority="12" operator="containsText" text="No">
      <formula>NOT(ISERROR(SEARCH("No",F16)))</formula>
    </cfRule>
    <cfRule type="containsText" dxfId="124" priority="13" operator="containsText" text="Yes">
      <formula>NOT(ISERROR(SEARCH("Yes",F16)))</formula>
    </cfRule>
  </conditionalFormatting>
  <conditionalFormatting sqref="G2:G108 H10">
    <cfRule type="containsText" dxfId="123" priority="10" operator="containsText" text="No">
      <formula>NOT(ISERROR(SEARCH("No",G2)))</formula>
    </cfRule>
    <cfRule type="containsText" dxfId="122" priority="11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6:D17 D19:D25 D29" xr:uid="{00000000-0002-0000-1700-000000000000}">
      <formula1>"Yes;No;Partial"</formula1>
      <formula2>0</formula2>
    </dataValidation>
    <dataValidation type="list" operator="equal" allowBlank="1" showInputMessage="1" showErrorMessage="1" sqref="F2:F35" xr:uid="{00000000-0002-0000-1700-000001000000}">
      <formula1>"Yes,No"</formula1>
      <formula2>0</formula2>
    </dataValidation>
    <dataValidation type="list" operator="equal" allowBlank="1" showInputMessage="1" showErrorMessage="1" sqref="D18 D2:D15 D26:D28 D30:D35" xr:uid="{00000000-0002-0000-1700-000002000000}">
      <formula1>"Yes,No,Partial"</formula1>
      <formula2>0</formula2>
    </dataValidation>
    <dataValidation operator="equal" allowBlank="1" showInputMessage="1" showErrorMessage="1" sqref="H10 G2:G108" xr:uid="{00000000-0002-0000-17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A73"/>
  <sheetViews>
    <sheetView zoomScale="85" zoomScaleNormal="85" workbookViewId="0">
      <selection activeCell="E28" sqref="E28:F28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2042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746</v>
      </c>
      <c r="C2" t="s">
        <v>2043</v>
      </c>
      <c r="D2" t="s">
        <v>196</v>
      </c>
      <c r="E2" t="s">
        <v>191</v>
      </c>
    </row>
    <row r="3" spans="1:8" ht="15" customHeight="1">
      <c r="A3" s="49"/>
      <c r="B3" t="s">
        <v>763</v>
      </c>
      <c r="C3" t="s">
        <v>2044</v>
      </c>
      <c r="D3" t="s">
        <v>196</v>
      </c>
      <c r="E3" t="s">
        <v>321</v>
      </c>
    </row>
    <row r="4" spans="1:8" ht="15" customHeight="1">
      <c r="A4" s="4" t="s">
        <v>513</v>
      </c>
      <c r="B4" t="s">
        <v>776</v>
      </c>
      <c r="C4" t="s">
        <v>2045</v>
      </c>
      <c r="D4" t="s">
        <v>196</v>
      </c>
      <c r="E4" t="s">
        <v>199</v>
      </c>
    </row>
    <row r="5" spans="1:8" ht="15" customHeight="1">
      <c r="A5" s="49" t="s">
        <v>519</v>
      </c>
      <c r="B5" t="s">
        <v>2046</v>
      </c>
      <c r="C5" t="s">
        <v>2047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800</v>
      </c>
      <c r="C6" t="s">
        <v>2048</v>
      </c>
      <c r="D6" t="s">
        <v>196</v>
      </c>
      <c r="E6" t="s">
        <v>1960</v>
      </c>
    </row>
    <row r="7" spans="1:8" ht="15" customHeight="1">
      <c r="A7" s="49" t="s">
        <v>536</v>
      </c>
      <c r="B7" t="s">
        <v>844</v>
      </c>
      <c r="C7" t="s">
        <v>2049</v>
      </c>
      <c r="D7" t="s">
        <v>733</v>
      </c>
      <c r="E7" t="s">
        <v>2050</v>
      </c>
    </row>
    <row r="8" spans="1:8">
      <c r="A8" s="49"/>
      <c r="B8" t="s">
        <v>870</v>
      </c>
      <c r="C8" t="s">
        <v>1967</v>
      </c>
      <c r="D8" t="s">
        <v>196</v>
      </c>
      <c r="E8" s="3" t="s">
        <v>333</v>
      </c>
    </row>
    <row r="9" spans="1:8" ht="14.25" customHeight="1">
      <c r="A9" s="49"/>
      <c r="B9" t="s">
        <v>577</v>
      </c>
      <c r="C9" t="s">
        <v>2051</v>
      </c>
      <c r="D9" t="s">
        <v>193</v>
      </c>
      <c r="F9" t="s">
        <v>193</v>
      </c>
    </row>
    <row r="10" spans="1:8" ht="14.25" customHeight="1">
      <c r="A10" s="49"/>
      <c r="B10" t="s">
        <v>345</v>
      </c>
      <c r="C10" t="s">
        <v>2052</v>
      </c>
      <c r="D10" t="s">
        <v>193</v>
      </c>
      <c r="F10" t="s">
        <v>196</v>
      </c>
      <c r="G10" t="s">
        <v>112</v>
      </c>
    </row>
    <row r="11" spans="1:8">
      <c r="A11" s="49"/>
      <c r="B11" t="s">
        <v>2053</v>
      </c>
      <c r="C11" t="s">
        <v>2054</v>
      </c>
      <c r="D11" t="s">
        <v>196</v>
      </c>
      <c r="E11" s="3" t="s">
        <v>215</v>
      </c>
    </row>
    <row r="12" spans="1:8" ht="14.25" customHeight="1">
      <c r="A12" s="4" t="s">
        <v>589</v>
      </c>
      <c r="B12" t="s">
        <v>904</v>
      </c>
      <c r="C12" t="s">
        <v>2055</v>
      </c>
      <c r="D12" t="s">
        <v>196</v>
      </c>
      <c r="E12" t="s">
        <v>1155</v>
      </c>
    </row>
    <row r="13" spans="1:8" ht="15" customHeight="1">
      <c r="A13" s="44" t="s">
        <v>613</v>
      </c>
      <c r="B13" t="s">
        <v>2056</v>
      </c>
      <c r="C13" t="s">
        <v>1971</v>
      </c>
      <c r="D13" t="s">
        <v>196</v>
      </c>
      <c r="E13" t="s">
        <v>231</v>
      </c>
    </row>
    <row r="14" spans="1:8" ht="15" customHeight="1">
      <c r="A14" s="44"/>
      <c r="B14" t="s">
        <v>2057</v>
      </c>
      <c r="C14" t="s">
        <v>2058</v>
      </c>
      <c r="D14" t="s">
        <v>196</v>
      </c>
      <c r="E14" t="s">
        <v>231</v>
      </c>
    </row>
    <row r="15" spans="1:8" ht="15" customHeight="1">
      <c r="A15" s="44"/>
      <c r="B15" t="s">
        <v>2059</v>
      </c>
      <c r="C15" t="s">
        <v>2060</v>
      </c>
      <c r="D15" t="s">
        <v>196</v>
      </c>
      <c r="E15" t="s">
        <v>231</v>
      </c>
    </row>
    <row r="16" spans="1:8" ht="15" customHeight="1">
      <c r="A16" s="49" t="s">
        <v>625</v>
      </c>
      <c r="B16" t="s">
        <v>995</v>
      </c>
      <c r="C16" t="s">
        <v>2061</v>
      </c>
      <c r="D16" t="s">
        <v>196</v>
      </c>
      <c r="E16" t="s">
        <v>1940</v>
      </c>
    </row>
    <row r="17" spans="1:6" ht="14.25" customHeight="1">
      <c r="A17" s="49"/>
      <c r="B17" t="s">
        <v>2062</v>
      </c>
      <c r="C17" t="s">
        <v>2063</v>
      </c>
      <c r="D17" t="s">
        <v>196</v>
      </c>
      <c r="E17" t="s">
        <v>233</v>
      </c>
    </row>
    <row r="18" spans="1:6" ht="29.25" customHeight="1">
      <c r="A18" s="3" t="s">
        <v>657</v>
      </c>
      <c r="B18" t="s">
        <v>1010</v>
      </c>
      <c r="C18" t="s">
        <v>1738</v>
      </c>
      <c r="D18" t="s">
        <v>196</v>
      </c>
      <c r="E18" t="s">
        <v>240</v>
      </c>
    </row>
    <row r="19" spans="1:6" ht="15" customHeight="1">
      <c r="A19" s="49" t="s">
        <v>667</v>
      </c>
      <c r="B19" t="s">
        <v>2064</v>
      </c>
      <c r="C19" t="s">
        <v>2065</v>
      </c>
      <c r="D19" t="s">
        <v>196</v>
      </c>
      <c r="E19" t="s">
        <v>246</v>
      </c>
    </row>
    <row r="20" spans="1:6" ht="14.25" customHeight="1">
      <c r="A20" s="49"/>
      <c r="B20" t="s">
        <v>1070</v>
      </c>
      <c r="C20" t="s">
        <v>2066</v>
      </c>
      <c r="D20" t="s">
        <v>196</v>
      </c>
      <c r="E20" t="s">
        <v>248</v>
      </c>
    </row>
    <row r="21" spans="1:6" ht="14.25" customHeight="1">
      <c r="A21" s="49"/>
      <c r="B21" t="s">
        <v>2067</v>
      </c>
      <c r="C21" t="s">
        <v>2068</v>
      </c>
      <c r="D21" t="s">
        <v>196</v>
      </c>
      <c r="E21" t="s">
        <v>246</v>
      </c>
    </row>
    <row r="22" spans="1:6">
      <c r="A22" s="49"/>
      <c r="B22" t="s">
        <v>2069</v>
      </c>
      <c r="C22" t="s">
        <v>2070</v>
      </c>
      <c r="D22" t="s">
        <v>196</v>
      </c>
      <c r="E22" t="s">
        <v>246</v>
      </c>
    </row>
    <row r="23" spans="1:6" ht="15" customHeight="1">
      <c r="A23" s="49" t="s">
        <v>695</v>
      </c>
      <c r="B23" t="s">
        <v>2071</v>
      </c>
      <c r="C23" t="s">
        <v>2072</v>
      </c>
      <c r="D23" t="s">
        <v>196</v>
      </c>
      <c r="E23" t="s">
        <v>351</v>
      </c>
    </row>
    <row r="24" spans="1:6" ht="14.25" customHeight="1">
      <c r="A24" s="49"/>
      <c r="B24" t="s">
        <v>2073</v>
      </c>
      <c r="C24" t="s">
        <v>2074</v>
      </c>
      <c r="D24" t="s">
        <v>196</v>
      </c>
      <c r="E24" t="s">
        <v>351</v>
      </c>
    </row>
    <row r="25" spans="1:6">
      <c r="A25" s="49"/>
      <c r="B25" t="s">
        <v>2075</v>
      </c>
      <c r="C25" t="s">
        <v>2076</v>
      </c>
      <c r="D25" t="s">
        <v>196</v>
      </c>
      <c r="E25" t="s">
        <v>351</v>
      </c>
    </row>
    <row r="26" spans="1:6">
      <c r="A26" s="49"/>
      <c r="B26" t="s">
        <v>2077</v>
      </c>
      <c r="C26" t="s">
        <v>2078</v>
      </c>
      <c r="D26" t="s">
        <v>196</v>
      </c>
      <c r="E26" t="s">
        <v>351</v>
      </c>
    </row>
    <row r="27" spans="1:6" ht="14.45" customHeight="1">
      <c r="B27" s="16" t="s">
        <v>261</v>
      </c>
      <c r="C27" s="16" t="s">
        <v>193</v>
      </c>
      <c r="D27" s="16">
        <f>COUNTIF(D2:D26,"No")</f>
        <v>3</v>
      </c>
      <c r="E27" s="16" t="s">
        <v>69</v>
      </c>
      <c r="F27" s="16">
        <f>COUNTIF(F2:F26,"Yes")</f>
        <v>2</v>
      </c>
    </row>
    <row r="28" spans="1:6" ht="14.45" customHeight="1">
      <c r="B28" s="6"/>
      <c r="C28" s="16" t="s">
        <v>196</v>
      </c>
      <c r="D28" s="16">
        <f>COUNTIF(D2:D26,"Yes")</f>
        <v>21</v>
      </c>
      <c r="E28" s="16" t="s">
        <v>70</v>
      </c>
      <c r="F28">
        <f>COUNTIFS(D:D,"Partial",F:F,"Yes")</f>
        <v>0</v>
      </c>
    </row>
    <row r="29" spans="1:6" ht="14.45" customHeight="1">
      <c r="B29" s="6"/>
      <c r="C29" s="16" t="s">
        <v>733</v>
      </c>
      <c r="D29" s="16">
        <f>COUNTIF(D2:D26,"Partial")</f>
        <v>1</v>
      </c>
      <c r="E29" s="10" t="s">
        <v>110</v>
      </c>
      <c r="F29">
        <f>COUNTIF($G$2:$G$26,E29)</f>
        <v>0</v>
      </c>
    </row>
    <row r="30" spans="1:6" ht="15">
      <c r="E30" s="10" t="s">
        <v>111</v>
      </c>
      <c r="F30">
        <f t="shared" ref="F30:F33" si="0">COUNTIF($G$2:$G$26,E30)</f>
        <v>0</v>
      </c>
    </row>
    <row r="31" spans="1:6" ht="15">
      <c r="E31" s="10" t="s">
        <v>112</v>
      </c>
      <c r="F31">
        <f t="shared" si="0"/>
        <v>2</v>
      </c>
    </row>
    <row r="32" spans="1:6" ht="15">
      <c r="E32" s="10" t="s">
        <v>480</v>
      </c>
      <c r="F32">
        <f t="shared" si="0"/>
        <v>0</v>
      </c>
    </row>
    <row r="33" spans="5:6" ht="15">
      <c r="E33" s="10" t="s">
        <v>114</v>
      </c>
      <c r="F33">
        <f t="shared" si="0"/>
        <v>0</v>
      </c>
    </row>
    <row r="34" spans="5:6" ht="15"/>
    <row r="35" spans="5:6" ht="15">
      <c r="E35" s="16" t="s">
        <v>1175</v>
      </c>
      <c r="F35" s="16">
        <f>COUNTIF(F2:F26,"No")</f>
        <v>1</v>
      </c>
    </row>
    <row r="73" spans="27:27">
      <c r="AA73" t="s">
        <v>709</v>
      </c>
    </row>
  </sheetData>
  <mergeCells count="7">
    <mergeCell ref="A19:A22"/>
    <mergeCell ref="A23:A26"/>
    <mergeCell ref="A2:A3"/>
    <mergeCell ref="A5:A6"/>
    <mergeCell ref="A7:A11"/>
    <mergeCell ref="A13:A15"/>
    <mergeCell ref="A16:A17"/>
  </mergeCells>
  <conditionalFormatting sqref="D2:D11 D14:D15 D19:D26">
    <cfRule type="containsText" dxfId="121" priority="4" operator="containsText" text="Partial">
      <formula>NOT(ISERROR(SEARCH("Partial",D2)))</formula>
    </cfRule>
    <cfRule type="containsText" dxfId="120" priority="5" operator="containsText" text="No">
      <formula>NOT(ISERROR(SEARCH("No",D2)))</formula>
    </cfRule>
    <cfRule type="containsText" dxfId="119" priority="6" operator="containsText" text="Yes">
      <formula>NOT(ISERROR(SEARCH("Yes",D2)))</formula>
    </cfRule>
  </conditionalFormatting>
  <conditionalFormatting sqref="D12:D18">
    <cfRule type="containsText" dxfId="118" priority="14" operator="containsText" text="Partial">
      <formula>NOT(ISERROR(SEARCH("Partial",D12)))</formula>
    </cfRule>
    <cfRule type="containsText" dxfId="117" priority="15" operator="containsText" text="No">
      <formula>NOT(ISERROR(SEARCH("No",D12)))</formula>
    </cfRule>
    <cfRule type="containsText" dxfId="116" priority="16" operator="containsText" text="Yes">
      <formula>NOT(ISERROR(SEARCH("Yes",D12)))</formula>
    </cfRule>
  </conditionalFormatting>
  <conditionalFormatting sqref="F2:F26">
    <cfRule type="containsText" dxfId="115" priority="2" operator="containsText" text="No">
      <formula>NOT(ISERROR(SEARCH("No",F2)))</formula>
    </cfRule>
    <cfRule type="containsText" dxfId="114" priority="3" operator="containsText" text="Yes">
      <formula>NOT(ISERROR(SEARCH("Yes",F2)))</formula>
    </cfRule>
  </conditionalFormatting>
  <conditionalFormatting sqref="G2:G108">
    <cfRule type="containsText" dxfId="113" priority="10" operator="containsText" text="No">
      <formula>NOT(ISERROR(SEARCH("No",G2)))</formula>
    </cfRule>
    <cfRule type="containsText" dxfId="112" priority="11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2:D18" xr:uid="{00000000-0002-0000-1800-000000000000}">
      <formula1>"Yes;No;Partial"</formula1>
      <formula2>0</formula2>
    </dataValidation>
    <dataValidation type="list" operator="equal" allowBlank="1" showInputMessage="1" showErrorMessage="1" sqref="D2:D11 D19:D26" xr:uid="{00000000-0002-0000-1800-000001000000}">
      <formula1>"Yes,No,Partial"</formula1>
      <formula2>0</formula2>
    </dataValidation>
    <dataValidation type="list" operator="equal" allowBlank="1" showInputMessage="1" showErrorMessage="1" sqref="F2:F26" xr:uid="{00000000-0002-0000-1800-000002000000}">
      <formula1>"Yes,No"</formula1>
      <formula2>0</formula2>
    </dataValidation>
    <dataValidation operator="equal" allowBlank="1" showInputMessage="1" showErrorMessage="1" sqref="G2:G108" xr:uid="{00000000-0002-0000-18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A73"/>
  <sheetViews>
    <sheetView zoomScale="85" zoomScaleNormal="85" workbookViewId="0">
      <selection activeCell="E24" sqref="E24:F24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34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747</v>
      </c>
      <c r="C2" t="s">
        <v>2079</v>
      </c>
      <c r="D2" t="s">
        <v>196</v>
      </c>
      <c r="E2" t="s">
        <v>191</v>
      </c>
    </row>
    <row r="3" spans="1:8" ht="15" customHeight="1">
      <c r="A3" s="4" t="s">
        <v>513</v>
      </c>
      <c r="B3" t="s">
        <v>777</v>
      </c>
      <c r="C3" t="s">
        <v>1908</v>
      </c>
      <c r="D3" t="s">
        <v>196</v>
      </c>
      <c r="E3" t="s">
        <v>199</v>
      </c>
    </row>
    <row r="4" spans="1:8" ht="16.350000000000001" customHeight="1">
      <c r="A4" s="49" t="s">
        <v>519</v>
      </c>
      <c r="B4" t="s">
        <v>821</v>
      </c>
      <c r="C4" t="s">
        <v>2080</v>
      </c>
      <c r="D4" t="s">
        <v>196</v>
      </c>
      <c r="E4" t="s">
        <v>203</v>
      </c>
    </row>
    <row r="5" spans="1:8">
      <c r="A5" s="49"/>
      <c r="B5" t="s">
        <v>2081</v>
      </c>
      <c r="C5" t="s">
        <v>2082</v>
      </c>
      <c r="D5" t="s">
        <v>196</v>
      </c>
      <c r="E5" t="s">
        <v>202</v>
      </c>
    </row>
    <row r="6" spans="1:8" ht="15" customHeight="1">
      <c r="A6" s="49"/>
      <c r="B6" t="s">
        <v>2083</v>
      </c>
      <c r="C6" t="s">
        <v>2084</v>
      </c>
      <c r="D6" t="s">
        <v>196</v>
      </c>
      <c r="E6" t="s">
        <v>202</v>
      </c>
    </row>
    <row r="7" spans="1:8" ht="15" customHeight="1">
      <c r="A7" s="49"/>
      <c r="B7" t="s">
        <v>2085</v>
      </c>
      <c r="C7" t="s">
        <v>2086</v>
      </c>
      <c r="D7" t="s">
        <v>196</v>
      </c>
      <c r="E7" t="s">
        <v>202</v>
      </c>
    </row>
    <row r="8" spans="1:8">
      <c r="A8" s="49"/>
      <c r="B8" t="s">
        <v>2087</v>
      </c>
      <c r="C8" t="s">
        <v>2088</v>
      </c>
      <c r="D8" t="s">
        <v>196</v>
      </c>
      <c r="E8" t="s">
        <v>202</v>
      </c>
    </row>
    <row r="9" spans="1:8">
      <c r="A9" s="49"/>
      <c r="B9" t="s">
        <v>2089</v>
      </c>
      <c r="C9" t="s">
        <v>2090</v>
      </c>
      <c r="D9" t="s">
        <v>193</v>
      </c>
      <c r="F9" t="s">
        <v>196</v>
      </c>
      <c r="G9" t="s">
        <v>112</v>
      </c>
    </row>
    <row r="10" spans="1:8">
      <c r="A10" s="49"/>
      <c r="B10" t="s">
        <v>2091</v>
      </c>
      <c r="C10" t="s">
        <v>2092</v>
      </c>
      <c r="D10" t="s">
        <v>193</v>
      </c>
      <c r="F10" t="s">
        <v>196</v>
      </c>
      <c r="G10" t="s">
        <v>112</v>
      </c>
    </row>
    <row r="11" spans="1:8">
      <c r="A11" s="49"/>
      <c r="B11" t="s">
        <v>528</v>
      </c>
      <c r="C11" t="s">
        <v>2093</v>
      </c>
      <c r="D11" t="s">
        <v>193</v>
      </c>
      <c r="F11" t="s">
        <v>193</v>
      </c>
    </row>
    <row r="12" spans="1:8" ht="15" customHeight="1">
      <c r="A12" s="49"/>
      <c r="B12" t="s">
        <v>2094</v>
      </c>
      <c r="C12" t="s">
        <v>2095</v>
      </c>
      <c r="D12" t="s">
        <v>193</v>
      </c>
      <c r="F12" t="s">
        <v>196</v>
      </c>
      <c r="G12" t="s">
        <v>110</v>
      </c>
    </row>
    <row r="13" spans="1:8" ht="29.1">
      <c r="A13" s="4" t="s">
        <v>536</v>
      </c>
      <c r="B13" t="s">
        <v>875</v>
      </c>
      <c r="C13" t="s">
        <v>2096</v>
      </c>
      <c r="D13" t="s">
        <v>196</v>
      </c>
      <c r="E13" t="s">
        <v>219</v>
      </c>
    </row>
    <row r="14" spans="1:8">
      <c r="A14" s="4" t="s">
        <v>589</v>
      </c>
      <c r="B14" t="s">
        <v>905</v>
      </c>
      <c r="C14" t="s">
        <v>1969</v>
      </c>
      <c r="D14" t="s">
        <v>196</v>
      </c>
      <c r="E14" t="s">
        <v>1155</v>
      </c>
    </row>
    <row r="15" spans="1:8" ht="15" customHeight="1">
      <c r="A15" s="3" t="s">
        <v>613</v>
      </c>
      <c r="B15" t="s">
        <v>935</v>
      </c>
      <c r="C15" t="s">
        <v>1162</v>
      </c>
      <c r="D15" t="s">
        <v>196</v>
      </c>
      <c r="E15" t="s">
        <v>231</v>
      </c>
      <c r="H15" t="s">
        <v>1938</v>
      </c>
    </row>
    <row r="16" spans="1:8" ht="29.1">
      <c r="A16" s="4" t="s">
        <v>625</v>
      </c>
      <c r="B16" t="s">
        <v>963</v>
      </c>
      <c r="C16" t="s">
        <v>2097</v>
      </c>
      <c r="D16" t="s">
        <v>196</v>
      </c>
      <c r="E16" t="s">
        <v>233</v>
      </c>
    </row>
    <row r="17" spans="1:7" ht="29.1">
      <c r="A17" s="3" t="s">
        <v>657</v>
      </c>
      <c r="B17" t="s">
        <v>1011</v>
      </c>
      <c r="C17" t="s">
        <v>1812</v>
      </c>
      <c r="D17" t="s">
        <v>196</v>
      </c>
      <c r="E17" t="s">
        <v>240</v>
      </c>
    </row>
    <row r="18" spans="1:7" ht="15" customHeight="1">
      <c r="A18" s="4" t="s">
        <v>667</v>
      </c>
      <c r="B18" t="s">
        <v>1038</v>
      </c>
      <c r="C18" t="s">
        <v>2098</v>
      </c>
      <c r="D18" t="s">
        <v>196</v>
      </c>
      <c r="E18" t="s">
        <v>1220</v>
      </c>
    </row>
    <row r="19" spans="1:7" ht="16.350000000000001" customHeight="1">
      <c r="A19" s="49" t="s">
        <v>695</v>
      </c>
      <c r="B19" t="s">
        <v>1118</v>
      </c>
      <c r="C19" t="s">
        <v>1946</v>
      </c>
      <c r="D19" t="s">
        <v>196</v>
      </c>
      <c r="E19" t="s">
        <v>254</v>
      </c>
    </row>
    <row r="20" spans="1:7">
      <c r="A20" s="49"/>
      <c r="B20" t="s">
        <v>707</v>
      </c>
      <c r="C20" t="s">
        <v>2099</v>
      </c>
      <c r="D20" t="s">
        <v>193</v>
      </c>
      <c r="F20" t="s">
        <v>193</v>
      </c>
    </row>
    <row r="21" spans="1:7">
      <c r="A21" s="49"/>
      <c r="B21" t="s">
        <v>2100</v>
      </c>
      <c r="C21" t="s">
        <v>2101</v>
      </c>
      <c r="D21" t="s">
        <v>193</v>
      </c>
      <c r="F21" t="s">
        <v>196</v>
      </c>
      <c r="G21" t="s">
        <v>110</v>
      </c>
    </row>
    <row r="22" spans="1:7" ht="15" customHeight="1">
      <c r="A22" s="49"/>
      <c r="B22" t="s">
        <v>2102</v>
      </c>
      <c r="C22" t="s">
        <v>2103</v>
      </c>
      <c r="D22" t="s">
        <v>193</v>
      </c>
      <c r="F22" t="s">
        <v>196</v>
      </c>
      <c r="G22" t="s">
        <v>110</v>
      </c>
    </row>
    <row r="23" spans="1:7" ht="14.45" customHeight="1">
      <c r="B23" s="16" t="s">
        <v>261</v>
      </c>
      <c r="C23" s="16" t="s">
        <v>193</v>
      </c>
      <c r="D23" s="16">
        <f>COUNTIF(D2:D22,"No")</f>
        <v>7</v>
      </c>
      <c r="E23" s="16" t="s">
        <v>69</v>
      </c>
      <c r="F23" s="16">
        <f>COUNTIF(F2:F22,"Yes")</f>
        <v>5</v>
      </c>
    </row>
    <row r="24" spans="1:7" ht="14.45" customHeight="1">
      <c r="B24" s="6"/>
      <c r="C24" s="16" t="s">
        <v>196</v>
      </c>
      <c r="D24" s="16">
        <f>COUNTIF(D2:D22,"Yes")</f>
        <v>14</v>
      </c>
      <c r="E24" s="16" t="s">
        <v>70</v>
      </c>
      <c r="F24">
        <f>COUNTIFS(D:D,"Partial",F:F,"Yes")</f>
        <v>0</v>
      </c>
    </row>
    <row r="25" spans="1:7" ht="14.45" customHeight="1">
      <c r="B25" s="6"/>
      <c r="C25" s="16" t="s">
        <v>733</v>
      </c>
      <c r="D25" s="16">
        <f>COUNTIF(D2:D22,"Partial")</f>
        <v>0</v>
      </c>
      <c r="E25" s="10" t="s">
        <v>110</v>
      </c>
      <c r="F25">
        <f>COUNTIF($G$2:$G$22,E25)</f>
        <v>3</v>
      </c>
    </row>
    <row r="26" spans="1:7" ht="15">
      <c r="E26" s="10" t="s">
        <v>111</v>
      </c>
      <c r="F26">
        <f t="shared" ref="F26:F29" si="0">COUNTIF($G$2:$G$22,E26)</f>
        <v>0</v>
      </c>
    </row>
    <row r="27" spans="1:7" ht="15">
      <c r="E27" s="10" t="s">
        <v>112</v>
      </c>
      <c r="F27">
        <f t="shared" si="0"/>
        <v>2</v>
      </c>
    </row>
    <row r="28" spans="1:7" ht="15">
      <c r="E28" s="10" t="s">
        <v>480</v>
      </c>
      <c r="F28">
        <f t="shared" si="0"/>
        <v>0</v>
      </c>
    </row>
    <row r="29" spans="1:7" ht="15">
      <c r="E29" s="10" t="s">
        <v>114</v>
      </c>
      <c r="F29">
        <f t="shared" si="0"/>
        <v>0</v>
      </c>
    </row>
    <row r="30" spans="1:7" ht="15"/>
    <row r="31" spans="1:7" ht="15">
      <c r="E31" s="16" t="s">
        <v>1175</v>
      </c>
      <c r="F31" s="16">
        <f>COUNTIF(F2:F22,"No")</f>
        <v>2</v>
      </c>
    </row>
    <row r="73" spans="27:27">
      <c r="AA73" t="s">
        <v>709</v>
      </c>
    </row>
  </sheetData>
  <mergeCells count="2">
    <mergeCell ref="A4:A12"/>
    <mergeCell ref="A19:A22"/>
  </mergeCells>
  <conditionalFormatting sqref="D2:D22">
    <cfRule type="containsText" dxfId="111" priority="4" operator="containsText" text="Partial">
      <formula>NOT(ISERROR(SEARCH("Partial",D2)))</formula>
    </cfRule>
    <cfRule type="containsText" dxfId="110" priority="5" operator="containsText" text="No">
      <formula>NOT(ISERROR(SEARCH("No",D2)))</formula>
    </cfRule>
    <cfRule type="containsText" dxfId="109" priority="6" operator="containsText" text="Yes">
      <formula>NOT(ISERROR(SEARCH("Yes",D2)))</formula>
    </cfRule>
  </conditionalFormatting>
  <conditionalFormatting sqref="F2:F22">
    <cfRule type="containsText" dxfId="108" priority="2" operator="containsText" text="No">
      <formula>NOT(ISERROR(SEARCH("No",F2)))</formula>
    </cfRule>
    <cfRule type="containsText" dxfId="107" priority="3" operator="containsText" text="Yes">
      <formula>NOT(ISERROR(SEARCH("Yes",F2)))</formula>
    </cfRule>
  </conditionalFormatting>
  <conditionalFormatting sqref="G2:G108">
    <cfRule type="containsText" dxfId="106" priority="7" operator="containsText" text="No">
      <formula>NOT(ISERROR(SEARCH("No",G2)))</formula>
    </cfRule>
    <cfRule type="containsText" dxfId="10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2" xr:uid="{00000000-0002-0000-1900-000000000000}">
      <formula1>"Yes,No,Partial"</formula1>
      <formula2>0</formula2>
    </dataValidation>
    <dataValidation type="list" operator="equal" allowBlank="1" showInputMessage="1" showErrorMessage="1" sqref="F2:F22" xr:uid="{00000000-0002-0000-1900-000001000000}">
      <formula1>"Yes,No"</formula1>
      <formula2>0</formula2>
    </dataValidation>
    <dataValidation operator="equal" allowBlank="1" showInputMessage="1" showErrorMessage="1" sqref="G2:G108" xr:uid="{00000000-0002-0000-19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A73"/>
  <sheetViews>
    <sheetView zoomScale="85" zoomScaleNormal="85" workbookViewId="0">
      <selection activeCell="E31" sqref="E31:F3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748</v>
      </c>
      <c r="C2" t="s">
        <v>2104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2105</v>
      </c>
      <c r="C3" t="s">
        <v>2106</v>
      </c>
      <c r="D3" t="s">
        <v>196</v>
      </c>
      <c r="E3" t="s">
        <v>199</v>
      </c>
    </row>
    <row r="4" spans="1:8">
      <c r="A4" s="49"/>
      <c r="B4" t="s">
        <v>2107</v>
      </c>
      <c r="C4" t="s">
        <v>2108</v>
      </c>
      <c r="D4" t="s">
        <v>196</v>
      </c>
      <c r="E4" t="s">
        <v>199</v>
      </c>
    </row>
    <row r="5" spans="1:8" ht="29.25" customHeight="1">
      <c r="A5" s="49" t="s">
        <v>519</v>
      </c>
      <c r="B5" t="s">
        <v>2109</v>
      </c>
      <c r="C5" t="s">
        <v>2110</v>
      </c>
      <c r="D5" t="s">
        <v>193</v>
      </c>
      <c r="F5" t="s">
        <v>196</v>
      </c>
      <c r="G5" t="s">
        <v>112</v>
      </c>
    </row>
    <row r="6" spans="1:8">
      <c r="A6" s="49"/>
      <c r="B6" t="s">
        <v>822</v>
      </c>
      <c r="C6" t="s">
        <v>2111</v>
      </c>
      <c r="D6" t="s">
        <v>196</v>
      </c>
      <c r="E6" t="s">
        <v>203</v>
      </c>
    </row>
    <row r="7" spans="1:8">
      <c r="A7" s="49"/>
      <c r="B7" t="s">
        <v>802</v>
      </c>
      <c r="C7" t="s">
        <v>2112</v>
      </c>
      <c r="D7" t="s">
        <v>196</v>
      </c>
      <c r="E7" t="s">
        <v>202</v>
      </c>
    </row>
    <row r="8" spans="1:8">
      <c r="A8" s="49"/>
      <c r="B8" t="s">
        <v>529</v>
      </c>
      <c r="C8" t="s">
        <v>576</v>
      </c>
      <c r="D8" t="s">
        <v>193</v>
      </c>
      <c r="F8" t="s">
        <v>193</v>
      </c>
    </row>
    <row r="9" spans="1:8" ht="15" customHeight="1">
      <c r="A9" s="49"/>
      <c r="B9" t="s">
        <v>2113</v>
      </c>
      <c r="C9" t="s">
        <v>2114</v>
      </c>
      <c r="D9" t="s">
        <v>193</v>
      </c>
      <c r="F9" t="s">
        <v>196</v>
      </c>
      <c r="G9" t="s">
        <v>110</v>
      </c>
    </row>
    <row r="10" spans="1:8" ht="15" customHeight="1">
      <c r="A10" s="49" t="s">
        <v>536</v>
      </c>
      <c r="B10" t="s">
        <v>2115</v>
      </c>
      <c r="C10" t="s">
        <v>2110</v>
      </c>
      <c r="D10" t="s">
        <v>193</v>
      </c>
      <c r="F10" t="s">
        <v>196</v>
      </c>
      <c r="G10" t="s">
        <v>112</v>
      </c>
    </row>
    <row r="11" spans="1:8">
      <c r="A11" s="49"/>
      <c r="B11" t="s">
        <v>2116</v>
      </c>
      <c r="C11" t="s">
        <v>2111</v>
      </c>
      <c r="D11" t="s">
        <v>193</v>
      </c>
      <c r="F11" t="s">
        <v>196</v>
      </c>
      <c r="G11" t="s">
        <v>112</v>
      </c>
    </row>
    <row r="12" spans="1:8">
      <c r="A12" s="49"/>
      <c r="B12" t="s">
        <v>845</v>
      </c>
      <c r="C12" t="s">
        <v>2112</v>
      </c>
      <c r="D12" t="s">
        <v>196</v>
      </c>
      <c r="E12" t="s">
        <v>2117</v>
      </c>
    </row>
    <row r="13" spans="1:8">
      <c r="A13" s="49"/>
      <c r="B13" t="s">
        <v>578</v>
      </c>
      <c r="C13" t="s">
        <v>576</v>
      </c>
      <c r="D13" t="s">
        <v>193</v>
      </c>
      <c r="F13" t="s">
        <v>193</v>
      </c>
    </row>
    <row r="14" spans="1:8">
      <c r="A14" s="49"/>
      <c r="B14" t="s">
        <v>876</v>
      </c>
      <c r="C14" t="s">
        <v>2114</v>
      </c>
      <c r="D14" t="s">
        <v>196</v>
      </c>
      <c r="E14" t="s">
        <v>219</v>
      </c>
    </row>
    <row r="15" spans="1:8">
      <c r="A15" s="4" t="s">
        <v>589</v>
      </c>
      <c r="B15" t="s">
        <v>906</v>
      </c>
      <c r="C15" t="s">
        <v>2118</v>
      </c>
      <c r="D15" t="s">
        <v>196</v>
      </c>
      <c r="E15" t="s">
        <v>226</v>
      </c>
    </row>
    <row r="16" spans="1:8" ht="15" customHeight="1">
      <c r="A16" s="3" t="s">
        <v>613</v>
      </c>
      <c r="B16" t="s">
        <v>936</v>
      </c>
      <c r="C16" t="s">
        <v>2119</v>
      </c>
      <c r="D16" t="s">
        <v>196</v>
      </c>
      <c r="E16" t="s">
        <v>231</v>
      </c>
    </row>
    <row r="17" spans="1:8" ht="15" customHeight="1">
      <c r="A17" s="4" t="s">
        <v>625</v>
      </c>
      <c r="B17" t="s">
        <v>964</v>
      </c>
      <c r="C17" t="s">
        <v>2120</v>
      </c>
      <c r="D17" t="s">
        <v>196</v>
      </c>
      <c r="E17" t="s">
        <v>2121</v>
      </c>
    </row>
    <row r="18" spans="1:8" ht="29.1">
      <c r="A18" s="3" t="s">
        <v>657</v>
      </c>
      <c r="B18" t="s">
        <v>1012</v>
      </c>
      <c r="C18" t="s">
        <v>2122</v>
      </c>
      <c r="D18" t="s">
        <v>196</v>
      </c>
      <c r="E18" t="s">
        <v>240</v>
      </c>
    </row>
    <row r="19" spans="1:8" ht="15" customHeight="1">
      <c r="A19" s="49" t="s">
        <v>667</v>
      </c>
      <c r="B19" t="s">
        <v>682</v>
      </c>
      <c r="C19" t="s">
        <v>679</v>
      </c>
      <c r="D19" t="s">
        <v>193</v>
      </c>
      <c r="F19" t="s">
        <v>193</v>
      </c>
    </row>
    <row r="20" spans="1:8">
      <c r="A20" s="49"/>
      <c r="B20" t="s">
        <v>2123</v>
      </c>
      <c r="C20" t="s">
        <v>2124</v>
      </c>
      <c r="D20" t="s">
        <v>193</v>
      </c>
      <c r="F20" t="s">
        <v>196</v>
      </c>
      <c r="G20" t="s">
        <v>114</v>
      </c>
      <c r="H20" t="s">
        <v>2125</v>
      </c>
    </row>
    <row r="21" spans="1:8">
      <c r="A21" s="49"/>
      <c r="B21" t="s">
        <v>2126</v>
      </c>
      <c r="C21" t="s">
        <v>2127</v>
      </c>
      <c r="D21" t="s">
        <v>196</v>
      </c>
      <c r="E21" t="s">
        <v>248</v>
      </c>
    </row>
    <row r="22" spans="1:8">
      <c r="A22" s="49"/>
      <c r="B22" t="s">
        <v>2128</v>
      </c>
      <c r="C22" t="s">
        <v>2129</v>
      </c>
      <c r="D22" t="s">
        <v>196</v>
      </c>
      <c r="E22" t="s">
        <v>248</v>
      </c>
    </row>
    <row r="23" spans="1:8">
      <c r="A23" s="49"/>
      <c r="B23" t="s">
        <v>690</v>
      </c>
      <c r="C23" t="s">
        <v>688</v>
      </c>
      <c r="D23" t="s">
        <v>196</v>
      </c>
      <c r="F23" t="s">
        <v>193</v>
      </c>
    </row>
    <row r="24" spans="1:8">
      <c r="A24" s="49"/>
      <c r="B24" t="s">
        <v>2130</v>
      </c>
      <c r="C24" t="s">
        <v>2131</v>
      </c>
      <c r="D24" t="s">
        <v>196</v>
      </c>
      <c r="F24" t="s">
        <v>196</v>
      </c>
      <c r="G24" t="s">
        <v>114</v>
      </c>
      <c r="H24" t="s">
        <v>2132</v>
      </c>
    </row>
    <row r="25" spans="1:8" ht="15" customHeight="1">
      <c r="A25" s="49" t="s">
        <v>695</v>
      </c>
      <c r="B25" t="s">
        <v>1119</v>
      </c>
      <c r="C25" t="s">
        <v>1946</v>
      </c>
      <c r="D25" t="s">
        <v>196</v>
      </c>
      <c r="E25" t="s">
        <v>254</v>
      </c>
    </row>
    <row r="26" spans="1:8">
      <c r="A26" s="49"/>
      <c r="B26" t="s">
        <v>1106</v>
      </c>
      <c r="C26" t="s">
        <v>2133</v>
      </c>
      <c r="D26" t="s">
        <v>196</v>
      </c>
      <c r="E26" t="s">
        <v>253</v>
      </c>
    </row>
    <row r="27" spans="1:8">
      <c r="A27" s="49"/>
      <c r="B27" t="s">
        <v>717</v>
      </c>
      <c r="C27" t="s">
        <v>715</v>
      </c>
      <c r="D27" t="s">
        <v>193</v>
      </c>
      <c r="F27" t="s">
        <v>193</v>
      </c>
    </row>
    <row r="28" spans="1:8">
      <c r="A28" s="49"/>
      <c r="B28" t="s">
        <v>2134</v>
      </c>
      <c r="C28" t="s">
        <v>2135</v>
      </c>
      <c r="D28" t="s">
        <v>193</v>
      </c>
      <c r="F28" t="s">
        <v>196</v>
      </c>
      <c r="G28" t="s">
        <v>110</v>
      </c>
      <c r="H28" t="s">
        <v>2136</v>
      </c>
    </row>
    <row r="29" spans="1:8">
      <c r="A29" s="49"/>
      <c r="B29" t="s">
        <v>2137</v>
      </c>
      <c r="C29" t="s">
        <v>2138</v>
      </c>
      <c r="D29" t="s">
        <v>193</v>
      </c>
      <c r="F29" t="s">
        <v>196</v>
      </c>
      <c r="G29" t="s">
        <v>110</v>
      </c>
      <c r="H29" t="s">
        <v>2136</v>
      </c>
    </row>
    <row r="30" spans="1:8" ht="14.45" customHeight="1">
      <c r="B30" s="16" t="s">
        <v>261</v>
      </c>
      <c r="C30" s="16" t="s">
        <v>193</v>
      </c>
      <c r="D30" s="16">
        <f>COUNTIF(D2:D29,"No")</f>
        <v>11</v>
      </c>
      <c r="E30" s="16" t="s">
        <v>69</v>
      </c>
      <c r="F30" s="16">
        <f>COUNTIF(F2:F29,"Yes")</f>
        <v>8</v>
      </c>
    </row>
    <row r="31" spans="1:8" ht="14.45" customHeight="1">
      <c r="B31" s="6"/>
      <c r="C31" s="16" t="s">
        <v>196</v>
      </c>
      <c r="D31" s="16">
        <f>COUNTIF(D2:D29,"Yes")</f>
        <v>17</v>
      </c>
      <c r="E31" s="16" t="s">
        <v>70</v>
      </c>
      <c r="F31">
        <f>COUNTIFS(D:D,"Partial",F:F,"Yes")</f>
        <v>0</v>
      </c>
    </row>
    <row r="32" spans="1:8" ht="14.45" customHeight="1">
      <c r="B32" s="6"/>
      <c r="C32" s="16" t="s">
        <v>733</v>
      </c>
      <c r="D32" s="16">
        <f>COUNTIF(D2:D29,"Partial")</f>
        <v>0</v>
      </c>
      <c r="E32" s="10" t="s">
        <v>110</v>
      </c>
      <c r="F32">
        <f>COUNTIF($G$2:$G$29,E32)</f>
        <v>3</v>
      </c>
    </row>
    <row r="33" spans="5:6" ht="15">
      <c r="E33" s="10" t="s">
        <v>111</v>
      </c>
      <c r="F33">
        <f t="shared" ref="F33:F36" si="0">COUNTIF($G$2:$G$29,E33)</f>
        <v>0</v>
      </c>
    </row>
    <row r="34" spans="5:6" ht="15">
      <c r="E34" s="10" t="s">
        <v>112</v>
      </c>
      <c r="F34">
        <f t="shared" si="0"/>
        <v>3</v>
      </c>
    </row>
    <row r="35" spans="5:6" ht="15">
      <c r="E35" s="10" t="s">
        <v>480</v>
      </c>
      <c r="F35">
        <f t="shared" si="0"/>
        <v>0</v>
      </c>
    </row>
    <row r="36" spans="5:6" ht="15">
      <c r="E36" s="10" t="s">
        <v>114</v>
      </c>
      <c r="F36">
        <f t="shared" si="0"/>
        <v>2</v>
      </c>
    </row>
    <row r="37" spans="5:6" ht="15"/>
    <row r="38" spans="5:6" ht="15">
      <c r="E38" s="16" t="s">
        <v>1175</v>
      </c>
      <c r="F38" s="16">
        <f>COUNTIF(F2:F29,"No")</f>
        <v>5</v>
      </c>
    </row>
    <row r="73" spans="27:27">
      <c r="AA73" t="s">
        <v>709</v>
      </c>
    </row>
  </sheetData>
  <mergeCells count="5">
    <mergeCell ref="A3:A4"/>
    <mergeCell ref="A5:A9"/>
    <mergeCell ref="A10:A14"/>
    <mergeCell ref="A19:A24"/>
    <mergeCell ref="A25:A29"/>
  </mergeCells>
  <conditionalFormatting sqref="D2:D29">
    <cfRule type="containsText" dxfId="104" priority="4" operator="containsText" text="Partial">
      <formula>NOT(ISERROR(SEARCH("Partial",D2)))</formula>
    </cfRule>
    <cfRule type="containsText" dxfId="103" priority="5" operator="containsText" text="No">
      <formula>NOT(ISERROR(SEARCH("No",D2)))</formula>
    </cfRule>
    <cfRule type="containsText" dxfId="102" priority="6" operator="containsText" text="Yes">
      <formula>NOT(ISERROR(SEARCH("Yes",D2)))</formula>
    </cfRule>
  </conditionalFormatting>
  <conditionalFormatting sqref="F2:F29">
    <cfRule type="containsText" dxfId="101" priority="2" operator="containsText" text="No">
      <formula>NOT(ISERROR(SEARCH("No",F2)))</formula>
    </cfRule>
    <cfRule type="containsText" dxfId="100" priority="3" operator="containsText" text="Yes">
      <formula>NOT(ISERROR(SEARCH("Yes",F2)))</formula>
    </cfRule>
  </conditionalFormatting>
  <conditionalFormatting sqref="G2:G5 G9:G108">
    <cfRule type="containsText" dxfId="99" priority="7" operator="containsText" text="No">
      <formula>NOT(ISERROR(SEARCH("No",G2)))</formula>
    </cfRule>
    <cfRule type="containsText" dxfId="9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9" xr:uid="{00000000-0002-0000-1A00-000000000000}">
      <formula1>"Yes,No,Partial"</formula1>
      <formula2>0</formula2>
    </dataValidation>
    <dataValidation type="list" operator="equal" allowBlank="1" showInputMessage="1" showErrorMessage="1" sqref="F2:F29" xr:uid="{00000000-0002-0000-1A00-000001000000}">
      <formula1>"Yes,No"</formula1>
      <formula2>0</formula2>
    </dataValidation>
    <dataValidation operator="equal" allowBlank="1" showInputMessage="1" showErrorMessage="1" sqref="G2:G5 G9:G108" xr:uid="{00000000-0002-0000-1A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A73"/>
  <sheetViews>
    <sheetView zoomScale="85" zoomScaleNormal="85" workbookViewId="0">
      <selection activeCell="E46" sqref="E46:F4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2139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2140</v>
      </c>
      <c r="C2" t="s">
        <v>2141</v>
      </c>
      <c r="D2" t="s">
        <v>196</v>
      </c>
      <c r="E2" t="s">
        <v>191</v>
      </c>
    </row>
    <row r="3" spans="1:8" ht="15" customHeight="1">
      <c r="A3" s="49"/>
      <c r="B3" t="s">
        <v>2142</v>
      </c>
      <c r="C3" t="s">
        <v>2143</v>
      </c>
      <c r="D3" t="s">
        <v>196</v>
      </c>
      <c r="E3" t="s">
        <v>191</v>
      </c>
    </row>
    <row r="4" spans="1:8" ht="15" customHeight="1">
      <c r="A4" s="49"/>
      <c r="B4" t="s">
        <v>2144</v>
      </c>
      <c r="C4" t="s">
        <v>2145</v>
      </c>
      <c r="D4" t="s">
        <v>196</v>
      </c>
      <c r="E4" t="s">
        <v>191</v>
      </c>
    </row>
    <row r="5" spans="1:8" ht="15" customHeight="1">
      <c r="A5" s="49"/>
      <c r="B5" t="s">
        <v>2146</v>
      </c>
      <c r="C5" t="s">
        <v>2147</v>
      </c>
      <c r="D5" t="s">
        <v>196</v>
      </c>
      <c r="E5" t="s">
        <v>191</v>
      </c>
    </row>
    <row r="6" spans="1:8" ht="15" customHeight="1">
      <c r="A6" s="49"/>
      <c r="B6" t="s">
        <v>2148</v>
      </c>
      <c r="C6" t="s">
        <v>2149</v>
      </c>
      <c r="D6" t="s">
        <v>196</v>
      </c>
      <c r="E6" t="s">
        <v>191</v>
      </c>
    </row>
    <row r="7" spans="1:8" ht="15" customHeight="1">
      <c r="A7" s="49"/>
      <c r="B7" t="s">
        <v>2150</v>
      </c>
      <c r="C7" t="s">
        <v>2151</v>
      </c>
      <c r="D7" t="s">
        <v>196</v>
      </c>
      <c r="E7" t="s">
        <v>191</v>
      </c>
    </row>
    <row r="8" spans="1:8" ht="15" customHeight="1">
      <c r="A8" s="49"/>
      <c r="B8" t="s">
        <v>2152</v>
      </c>
      <c r="C8" t="s">
        <v>2151</v>
      </c>
      <c r="D8" t="s">
        <v>196</v>
      </c>
      <c r="E8" t="s">
        <v>191</v>
      </c>
      <c r="H8" t="s">
        <v>2153</v>
      </c>
    </row>
    <row r="9" spans="1:8" ht="15" customHeight="1">
      <c r="A9" s="49"/>
      <c r="B9" t="s">
        <v>2154</v>
      </c>
      <c r="C9" t="s">
        <v>2155</v>
      </c>
      <c r="D9" t="s">
        <v>196</v>
      </c>
      <c r="E9" t="s">
        <v>191</v>
      </c>
    </row>
    <row r="10" spans="1:8" ht="15" customHeight="1">
      <c r="A10" s="49"/>
      <c r="B10" t="s">
        <v>2156</v>
      </c>
      <c r="C10" t="s">
        <v>2157</v>
      </c>
      <c r="D10" t="s">
        <v>196</v>
      </c>
      <c r="E10" t="s">
        <v>191</v>
      </c>
    </row>
    <row r="11" spans="1:8" ht="15" customHeight="1">
      <c r="A11" s="49"/>
      <c r="B11" t="s">
        <v>2158</v>
      </c>
      <c r="C11" t="s">
        <v>2159</v>
      </c>
      <c r="D11" t="s">
        <v>196</v>
      </c>
      <c r="E11" t="s">
        <v>191</v>
      </c>
    </row>
    <row r="12" spans="1:8" ht="15" customHeight="1">
      <c r="A12" s="49" t="s">
        <v>513</v>
      </c>
      <c r="B12" t="s">
        <v>2160</v>
      </c>
      <c r="C12" t="s">
        <v>2161</v>
      </c>
      <c r="D12" t="s">
        <v>193</v>
      </c>
      <c r="F12" t="s">
        <v>196</v>
      </c>
      <c r="G12" t="s">
        <v>112</v>
      </c>
    </row>
    <row r="13" spans="1:8">
      <c r="A13" s="49"/>
      <c r="B13" t="s">
        <v>2162</v>
      </c>
      <c r="C13" t="s">
        <v>2163</v>
      </c>
      <c r="D13" t="s">
        <v>193</v>
      </c>
      <c r="F13" t="s">
        <v>196</v>
      </c>
      <c r="G13" t="s">
        <v>114</v>
      </c>
    </row>
    <row r="14" spans="1:8">
      <c r="A14" s="49"/>
      <c r="B14" t="s">
        <v>378</v>
      </c>
      <c r="C14" t="s">
        <v>2164</v>
      </c>
      <c r="D14" t="s">
        <v>193</v>
      </c>
      <c r="F14" t="s">
        <v>196</v>
      </c>
      <c r="G14" t="s">
        <v>114</v>
      </c>
    </row>
    <row r="15" spans="1:8">
      <c r="A15" s="49"/>
      <c r="B15" t="s">
        <v>2165</v>
      </c>
      <c r="C15" t="s">
        <v>2166</v>
      </c>
      <c r="D15" t="s">
        <v>193</v>
      </c>
      <c r="F15" t="s">
        <v>196</v>
      </c>
      <c r="G15" t="s">
        <v>114</v>
      </c>
    </row>
    <row r="16" spans="1:8" ht="15" customHeight="1">
      <c r="A16" s="49" t="s">
        <v>519</v>
      </c>
      <c r="B16" t="s">
        <v>2167</v>
      </c>
      <c r="C16" t="s">
        <v>2168</v>
      </c>
      <c r="D16" t="s">
        <v>196</v>
      </c>
      <c r="E16" t="s">
        <v>202</v>
      </c>
    </row>
    <row r="17" spans="1:7" ht="15" customHeight="1">
      <c r="A17" s="49"/>
      <c r="B17" t="s">
        <v>2169</v>
      </c>
      <c r="C17" t="s">
        <v>2170</v>
      </c>
      <c r="D17" t="s">
        <v>196</v>
      </c>
      <c r="E17" t="s">
        <v>202</v>
      </c>
    </row>
    <row r="18" spans="1:7" ht="15" customHeight="1">
      <c r="A18" s="49"/>
      <c r="B18" t="s">
        <v>2171</v>
      </c>
      <c r="C18" t="s">
        <v>2172</v>
      </c>
      <c r="D18" t="s">
        <v>196</v>
      </c>
      <c r="E18" t="s">
        <v>202</v>
      </c>
    </row>
    <row r="19" spans="1:7" ht="15" customHeight="1">
      <c r="A19" s="49"/>
      <c r="B19" t="s">
        <v>386</v>
      </c>
      <c r="C19" t="s">
        <v>2013</v>
      </c>
      <c r="D19" t="s">
        <v>193</v>
      </c>
      <c r="F19" t="s">
        <v>196</v>
      </c>
      <c r="G19" t="s">
        <v>110</v>
      </c>
    </row>
    <row r="20" spans="1:7" ht="15" customHeight="1">
      <c r="A20" s="49" t="s">
        <v>536</v>
      </c>
      <c r="B20" t="s">
        <v>2173</v>
      </c>
      <c r="C20" t="s">
        <v>2174</v>
      </c>
      <c r="D20" t="s">
        <v>196</v>
      </c>
      <c r="E20" t="s">
        <v>219</v>
      </c>
    </row>
    <row r="21" spans="1:7">
      <c r="A21" s="49"/>
      <c r="B21" t="s">
        <v>2175</v>
      </c>
      <c r="C21" t="s">
        <v>2176</v>
      </c>
      <c r="D21" t="s">
        <v>196</v>
      </c>
      <c r="E21" t="s">
        <v>219</v>
      </c>
    </row>
    <row r="22" spans="1:7">
      <c r="A22" s="49"/>
      <c r="B22" t="s">
        <v>2177</v>
      </c>
      <c r="C22" t="s">
        <v>2178</v>
      </c>
      <c r="D22" t="s">
        <v>733</v>
      </c>
      <c r="E22" t="s">
        <v>219</v>
      </c>
      <c r="F22" t="s">
        <v>193</v>
      </c>
    </row>
    <row r="23" spans="1:7" ht="16.350000000000001" customHeight="1">
      <c r="A23" s="49" t="s">
        <v>589</v>
      </c>
      <c r="B23" t="s">
        <v>907</v>
      </c>
      <c r="C23" t="s">
        <v>2179</v>
      </c>
      <c r="D23" t="s">
        <v>196</v>
      </c>
      <c r="E23" t="s">
        <v>226</v>
      </c>
    </row>
    <row r="24" spans="1:7">
      <c r="A24" s="49"/>
      <c r="B24" t="s">
        <v>604</v>
      </c>
      <c r="C24" t="s">
        <v>602</v>
      </c>
      <c r="D24" t="s">
        <v>193</v>
      </c>
      <c r="F24" t="s">
        <v>193</v>
      </c>
    </row>
    <row r="25" spans="1:7">
      <c r="A25" s="49"/>
      <c r="B25" t="s">
        <v>2180</v>
      </c>
      <c r="C25" t="s">
        <v>2181</v>
      </c>
      <c r="D25" t="s">
        <v>193</v>
      </c>
      <c r="F25" t="s">
        <v>196</v>
      </c>
      <c r="G25" t="s">
        <v>114</v>
      </c>
    </row>
    <row r="26" spans="1:7" ht="15" customHeight="1">
      <c r="A26" s="44" t="s">
        <v>613</v>
      </c>
      <c r="B26" t="s">
        <v>937</v>
      </c>
      <c r="C26" t="s">
        <v>2182</v>
      </c>
      <c r="D26" t="s">
        <v>196</v>
      </c>
      <c r="E26" t="s">
        <v>231</v>
      </c>
    </row>
    <row r="27" spans="1:7">
      <c r="A27" s="44"/>
      <c r="B27" t="s">
        <v>620</v>
      </c>
      <c r="C27" t="s">
        <v>619</v>
      </c>
      <c r="D27" t="s">
        <v>193</v>
      </c>
      <c r="F27" t="s">
        <v>193</v>
      </c>
    </row>
    <row r="28" spans="1:7" ht="15" customHeight="1">
      <c r="A28" s="49" t="s">
        <v>625</v>
      </c>
      <c r="B28" t="s">
        <v>637</v>
      </c>
      <c r="C28" t="s">
        <v>2183</v>
      </c>
      <c r="D28" t="s">
        <v>193</v>
      </c>
      <c r="F28" t="s">
        <v>193</v>
      </c>
    </row>
    <row r="29" spans="1:7">
      <c r="A29" s="49"/>
      <c r="B29" t="s">
        <v>986</v>
      </c>
      <c r="C29" t="s">
        <v>2184</v>
      </c>
      <c r="D29" t="s">
        <v>196</v>
      </c>
      <c r="E29" t="s">
        <v>234</v>
      </c>
    </row>
    <row r="30" spans="1:7">
      <c r="A30" s="49"/>
      <c r="B30" t="s">
        <v>965</v>
      </c>
      <c r="C30" t="s">
        <v>2185</v>
      </c>
      <c r="D30" t="s">
        <v>196</v>
      </c>
      <c r="E30" t="s">
        <v>233</v>
      </c>
    </row>
    <row r="31" spans="1:7" ht="29.1">
      <c r="A31" s="3" t="s">
        <v>657</v>
      </c>
      <c r="B31" t="s">
        <v>1013</v>
      </c>
      <c r="C31" t="s">
        <v>1812</v>
      </c>
      <c r="D31" t="s">
        <v>196</v>
      </c>
      <c r="E31" t="s">
        <v>240</v>
      </c>
    </row>
    <row r="32" spans="1:7" ht="15" customHeight="1">
      <c r="A32" s="49" t="s">
        <v>667</v>
      </c>
      <c r="B32" t="s">
        <v>2186</v>
      </c>
      <c r="C32" t="s">
        <v>2187</v>
      </c>
      <c r="D32" t="s">
        <v>196</v>
      </c>
      <c r="E32" t="s">
        <v>246</v>
      </c>
    </row>
    <row r="33" spans="1:8">
      <c r="A33" s="49"/>
      <c r="B33" t="s">
        <v>1060</v>
      </c>
      <c r="C33" t="s">
        <v>2188</v>
      </c>
      <c r="D33" t="s">
        <v>196</v>
      </c>
      <c r="E33" t="s">
        <v>247</v>
      </c>
    </row>
    <row r="34" spans="1:8">
      <c r="A34" s="49"/>
      <c r="B34" t="s">
        <v>2189</v>
      </c>
      <c r="C34" t="s">
        <v>2190</v>
      </c>
      <c r="D34" t="s">
        <v>196</v>
      </c>
      <c r="E34" t="s">
        <v>248</v>
      </c>
    </row>
    <row r="35" spans="1:8">
      <c r="A35" s="49"/>
      <c r="B35" t="s">
        <v>2191</v>
      </c>
      <c r="C35" t="s">
        <v>2192</v>
      </c>
      <c r="D35" t="s">
        <v>196</v>
      </c>
      <c r="E35" t="s">
        <v>246</v>
      </c>
    </row>
    <row r="36" spans="1:8">
      <c r="A36" s="49"/>
      <c r="B36" t="s">
        <v>2193</v>
      </c>
      <c r="C36" t="s">
        <v>2194</v>
      </c>
      <c r="D36" t="s">
        <v>196</v>
      </c>
      <c r="E36" t="s">
        <v>248</v>
      </c>
    </row>
    <row r="37" spans="1:8">
      <c r="A37" s="49"/>
      <c r="B37" t="s">
        <v>2195</v>
      </c>
      <c r="C37" t="s">
        <v>2196</v>
      </c>
      <c r="D37" t="s">
        <v>196</v>
      </c>
      <c r="E37" t="s">
        <v>246</v>
      </c>
    </row>
    <row r="38" spans="1:8" ht="15" customHeight="1">
      <c r="A38" s="49" t="s">
        <v>695</v>
      </c>
      <c r="B38" t="s">
        <v>2197</v>
      </c>
      <c r="C38" t="s">
        <v>2198</v>
      </c>
      <c r="D38" t="s">
        <v>196</v>
      </c>
      <c r="E38" t="s">
        <v>351</v>
      </c>
    </row>
    <row r="39" spans="1:8">
      <c r="A39" s="49"/>
      <c r="B39" t="s">
        <v>2199</v>
      </c>
      <c r="C39" t="s">
        <v>2200</v>
      </c>
      <c r="D39" t="s">
        <v>196</v>
      </c>
      <c r="E39" t="s">
        <v>253</v>
      </c>
    </row>
    <row r="40" spans="1:8">
      <c r="A40" s="49"/>
      <c r="B40" t="s">
        <v>2201</v>
      </c>
      <c r="C40" t="s">
        <v>2202</v>
      </c>
      <c r="D40" t="s">
        <v>193</v>
      </c>
      <c r="F40" t="s">
        <v>193</v>
      </c>
    </row>
    <row r="41" spans="1:8">
      <c r="A41" s="49"/>
      <c r="B41" t="s">
        <v>2203</v>
      </c>
      <c r="C41" t="s">
        <v>2204</v>
      </c>
      <c r="D41" t="s">
        <v>196</v>
      </c>
      <c r="E41" t="s">
        <v>1895</v>
      </c>
    </row>
    <row r="42" spans="1:8">
      <c r="A42" s="49"/>
      <c r="B42" t="s">
        <v>720</v>
      </c>
      <c r="C42" t="s">
        <v>719</v>
      </c>
      <c r="D42" t="s">
        <v>193</v>
      </c>
      <c r="F42" t="s">
        <v>193</v>
      </c>
    </row>
    <row r="43" spans="1:8">
      <c r="A43" s="49"/>
      <c r="B43" t="s">
        <v>2205</v>
      </c>
      <c r="C43" t="s">
        <v>2206</v>
      </c>
      <c r="D43" t="s">
        <v>196</v>
      </c>
      <c r="F43" t="s">
        <v>193</v>
      </c>
      <c r="H43" t="s">
        <v>2207</v>
      </c>
    </row>
    <row r="44" spans="1:8">
      <c r="A44" s="49"/>
      <c r="B44" t="s">
        <v>1120</v>
      </c>
      <c r="C44" t="s">
        <v>2208</v>
      </c>
      <c r="D44" t="s">
        <v>196</v>
      </c>
      <c r="E44" t="s">
        <v>254</v>
      </c>
    </row>
    <row r="45" spans="1:8" ht="14.45" customHeight="1">
      <c r="B45" s="16" t="s">
        <v>261</v>
      </c>
      <c r="C45" s="16" t="s">
        <v>193</v>
      </c>
      <c r="D45" s="16">
        <f>COUNTIF(D2:D44,"No")</f>
        <v>11</v>
      </c>
      <c r="E45" s="16" t="s">
        <v>69</v>
      </c>
      <c r="F45" s="16">
        <f>COUNTIF(F2:F44,"Yes")</f>
        <v>6</v>
      </c>
    </row>
    <row r="46" spans="1:8" ht="14.45" customHeight="1">
      <c r="B46" s="6"/>
      <c r="C46" s="16" t="s">
        <v>196</v>
      </c>
      <c r="D46" s="16">
        <f>COUNTIF(D2:D44,"Yes")</f>
        <v>31</v>
      </c>
      <c r="E46" s="16" t="s">
        <v>70</v>
      </c>
      <c r="F46">
        <f>COUNTIFS(D:D,"Partial",F:F,"Yes")</f>
        <v>0</v>
      </c>
    </row>
    <row r="47" spans="1:8" ht="14.45" customHeight="1">
      <c r="B47" s="6"/>
      <c r="C47" s="16" t="s">
        <v>733</v>
      </c>
      <c r="D47" s="16">
        <f>COUNTIF(D2:D44,"Partial")</f>
        <v>1</v>
      </c>
      <c r="E47" s="10" t="s">
        <v>110</v>
      </c>
      <c r="F47">
        <f>COUNTIF($G$2:$G$44,E47)</f>
        <v>1</v>
      </c>
    </row>
    <row r="48" spans="1:8" ht="15">
      <c r="E48" s="10" t="s">
        <v>111</v>
      </c>
      <c r="F48">
        <f t="shared" ref="F48:F51" si="0">COUNTIF($G$2:$G$44,E48)</f>
        <v>0</v>
      </c>
    </row>
    <row r="49" spans="5:6" ht="15">
      <c r="E49" s="10" t="s">
        <v>112</v>
      </c>
      <c r="F49">
        <f t="shared" si="0"/>
        <v>1</v>
      </c>
    </row>
    <row r="50" spans="5:6" ht="15">
      <c r="E50" s="10" t="s">
        <v>480</v>
      </c>
      <c r="F50">
        <f t="shared" si="0"/>
        <v>0</v>
      </c>
    </row>
    <row r="51" spans="5:6" ht="15">
      <c r="E51" s="10" t="s">
        <v>114</v>
      </c>
      <c r="F51">
        <f t="shared" si="0"/>
        <v>4</v>
      </c>
    </row>
    <row r="52" spans="5:6" ht="15"/>
    <row r="53" spans="5:6" ht="15">
      <c r="E53" s="16" t="s">
        <v>1175</v>
      </c>
      <c r="F53" s="16">
        <f>COUNTIF(F2:F44,"No")</f>
        <v>7</v>
      </c>
    </row>
    <row r="73" spans="27:27">
      <c r="AA73" t="s">
        <v>709</v>
      </c>
    </row>
  </sheetData>
  <mergeCells count="9">
    <mergeCell ref="A26:A27"/>
    <mergeCell ref="A28:A30"/>
    <mergeCell ref="A32:A37"/>
    <mergeCell ref="A38:A44"/>
    <mergeCell ref="A2:A11"/>
    <mergeCell ref="A12:A15"/>
    <mergeCell ref="A16:A19"/>
    <mergeCell ref="A20:A22"/>
    <mergeCell ref="A23:A25"/>
  </mergeCells>
  <conditionalFormatting sqref="D2:D44">
    <cfRule type="containsText" dxfId="97" priority="4" operator="containsText" text="Partial">
      <formula>NOT(ISERROR(SEARCH("Partial",D2)))</formula>
    </cfRule>
    <cfRule type="containsText" dxfId="96" priority="5" operator="containsText" text="No">
      <formula>NOT(ISERROR(SEARCH("No",D2)))</formula>
    </cfRule>
    <cfRule type="containsText" dxfId="95" priority="6" operator="containsText" text="Yes">
      <formula>NOT(ISERROR(SEARCH("Yes",D2)))</formula>
    </cfRule>
  </conditionalFormatting>
  <conditionalFormatting sqref="F2:F44">
    <cfRule type="containsText" dxfId="94" priority="2" operator="containsText" text="No">
      <formula>NOT(ISERROR(SEARCH("No",F2)))</formula>
    </cfRule>
    <cfRule type="containsText" dxfId="93" priority="3" operator="containsText" text="Yes">
      <formula>NOT(ISERROR(SEARCH("Yes",F2)))</formula>
    </cfRule>
  </conditionalFormatting>
  <conditionalFormatting sqref="G2:G108">
    <cfRule type="containsText" dxfId="92" priority="7" operator="containsText" text="No">
      <formula>NOT(ISERROR(SEARCH("No",G2)))</formula>
    </cfRule>
    <cfRule type="containsText" dxfId="9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44" xr:uid="{00000000-0002-0000-1B00-000000000000}">
      <formula1>"Yes,No,Partial"</formula1>
      <formula2>0</formula2>
    </dataValidation>
    <dataValidation type="list" operator="equal" allowBlank="1" showInputMessage="1" showErrorMessage="1" sqref="F2:F44" xr:uid="{00000000-0002-0000-1B00-000001000000}">
      <formula1>"Yes,No"</formula1>
      <formula2>0</formula2>
    </dataValidation>
    <dataValidation operator="equal" allowBlank="1" showInputMessage="1" showErrorMessage="1" sqref="G2:G108" xr:uid="{00000000-0002-0000-1B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73"/>
  <sheetViews>
    <sheetView zoomScale="85" zoomScaleNormal="85" workbookViewId="0">
      <selection activeCell="E43" sqref="E43:F43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2209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750</v>
      </c>
      <c r="C2" t="s">
        <v>2210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2211</v>
      </c>
      <c r="C3" t="s">
        <v>2212</v>
      </c>
      <c r="D3" t="s">
        <v>193</v>
      </c>
      <c r="F3" t="s">
        <v>196</v>
      </c>
      <c r="G3" t="s">
        <v>112</v>
      </c>
    </row>
    <row r="4" spans="1:8" ht="15" customHeight="1">
      <c r="A4" s="49"/>
      <c r="B4" t="s">
        <v>380</v>
      </c>
      <c r="C4" t="s">
        <v>2213</v>
      </c>
      <c r="D4" t="s">
        <v>193</v>
      </c>
      <c r="F4" t="s">
        <v>196</v>
      </c>
      <c r="G4" t="s">
        <v>112</v>
      </c>
    </row>
    <row r="5" spans="1:8" ht="15" customHeight="1">
      <c r="A5" s="49"/>
      <c r="B5" t="s">
        <v>2214</v>
      </c>
      <c r="C5" t="s">
        <v>2215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381</v>
      </c>
      <c r="C6" t="s">
        <v>2216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382</v>
      </c>
      <c r="C7" t="s">
        <v>2217</v>
      </c>
      <c r="D7" t="s">
        <v>193</v>
      </c>
      <c r="F7" t="s">
        <v>196</v>
      </c>
      <c r="G7" t="s">
        <v>112</v>
      </c>
    </row>
    <row r="8" spans="1:8" ht="15" customHeight="1">
      <c r="A8" s="49" t="s">
        <v>519</v>
      </c>
      <c r="B8" t="s">
        <v>2218</v>
      </c>
      <c r="C8" t="s">
        <v>2219</v>
      </c>
      <c r="D8" t="s">
        <v>193</v>
      </c>
      <c r="F8" t="s">
        <v>196</v>
      </c>
      <c r="G8" t="s">
        <v>112</v>
      </c>
    </row>
    <row r="9" spans="1:8" ht="15" customHeight="1">
      <c r="A9" s="49"/>
      <c r="B9" t="s">
        <v>2220</v>
      </c>
      <c r="C9" t="s">
        <v>2221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2222</v>
      </c>
      <c r="C10" t="s">
        <v>2223</v>
      </c>
      <c r="D10" t="s">
        <v>193</v>
      </c>
      <c r="F10" t="s">
        <v>196</v>
      </c>
      <c r="G10" t="s">
        <v>112</v>
      </c>
    </row>
    <row r="11" spans="1:8" ht="15" customHeight="1">
      <c r="A11" s="49" t="s">
        <v>536</v>
      </c>
      <c r="B11" t="s">
        <v>2224</v>
      </c>
      <c r="C11" t="s">
        <v>2225</v>
      </c>
      <c r="D11" t="s">
        <v>733</v>
      </c>
      <c r="E11" t="s">
        <v>219</v>
      </c>
    </row>
    <row r="12" spans="1:8">
      <c r="A12" s="49"/>
      <c r="B12" t="s">
        <v>2226</v>
      </c>
      <c r="C12" t="s">
        <v>2227</v>
      </c>
      <c r="D12" t="s">
        <v>196</v>
      </c>
      <c r="E12" t="s">
        <v>219</v>
      </c>
    </row>
    <row r="13" spans="1:8">
      <c r="A13" s="49"/>
      <c r="B13" t="s">
        <v>2228</v>
      </c>
      <c r="C13" t="s">
        <v>2229</v>
      </c>
      <c r="D13" t="s">
        <v>196</v>
      </c>
      <c r="E13" t="s">
        <v>219</v>
      </c>
    </row>
    <row r="14" spans="1:8">
      <c r="A14" s="49"/>
      <c r="B14" t="s">
        <v>2230</v>
      </c>
      <c r="C14" t="s">
        <v>2231</v>
      </c>
      <c r="D14" t="s">
        <v>196</v>
      </c>
      <c r="E14" t="s">
        <v>219</v>
      </c>
    </row>
    <row r="15" spans="1:8">
      <c r="A15" s="49"/>
      <c r="B15" t="s">
        <v>2232</v>
      </c>
      <c r="C15" t="s">
        <v>2233</v>
      </c>
      <c r="D15" t="s">
        <v>196</v>
      </c>
      <c r="E15" t="s">
        <v>219</v>
      </c>
    </row>
    <row r="16" spans="1:8" ht="15" customHeight="1">
      <c r="A16" s="49" t="s">
        <v>589</v>
      </c>
      <c r="B16" t="s">
        <v>2234</v>
      </c>
      <c r="C16" t="s">
        <v>2235</v>
      </c>
      <c r="D16" t="s">
        <v>196</v>
      </c>
      <c r="E16" t="s">
        <v>226</v>
      </c>
    </row>
    <row r="17" spans="1:7">
      <c r="A17" s="49"/>
      <c r="B17" t="s">
        <v>2236</v>
      </c>
      <c r="C17" t="s">
        <v>2237</v>
      </c>
      <c r="D17" t="s">
        <v>196</v>
      </c>
      <c r="E17" t="s">
        <v>226</v>
      </c>
    </row>
    <row r="18" spans="1:7" ht="15" customHeight="1">
      <c r="A18" s="44" t="s">
        <v>613</v>
      </c>
      <c r="B18" t="s">
        <v>2238</v>
      </c>
      <c r="C18" t="s">
        <v>2239</v>
      </c>
      <c r="D18" t="s">
        <v>196</v>
      </c>
      <c r="E18" t="s">
        <v>231</v>
      </c>
    </row>
    <row r="19" spans="1:7" ht="15" customHeight="1">
      <c r="A19" s="44"/>
      <c r="B19" t="s">
        <v>2240</v>
      </c>
      <c r="C19" t="s">
        <v>2241</v>
      </c>
      <c r="D19" t="s">
        <v>196</v>
      </c>
      <c r="E19" t="s">
        <v>231</v>
      </c>
    </row>
    <row r="20" spans="1:7" ht="15" customHeight="1">
      <c r="A20" s="44"/>
      <c r="B20" t="s">
        <v>2242</v>
      </c>
      <c r="C20" t="s">
        <v>2243</v>
      </c>
      <c r="D20" t="s">
        <v>196</v>
      </c>
      <c r="E20" t="s">
        <v>231</v>
      </c>
    </row>
    <row r="21" spans="1:7" ht="15" customHeight="1">
      <c r="A21" s="44"/>
      <c r="B21" t="s">
        <v>2244</v>
      </c>
      <c r="C21" t="s">
        <v>2245</v>
      </c>
      <c r="D21" t="s">
        <v>196</v>
      </c>
      <c r="E21" t="s">
        <v>231</v>
      </c>
    </row>
    <row r="22" spans="1:7" ht="15" customHeight="1">
      <c r="A22" s="49" t="s">
        <v>625</v>
      </c>
      <c r="B22" t="s">
        <v>393</v>
      </c>
      <c r="C22" t="s">
        <v>2246</v>
      </c>
      <c r="D22" t="s">
        <v>193</v>
      </c>
      <c r="F22" t="s">
        <v>196</v>
      </c>
      <c r="G22" t="s">
        <v>114</v>
      </c>
    </row>
    <row r="23" spans="1:7" ht="14.25" customHeight="1">
      <c r="A23" s="49"/>
      <c r="B23" t="s">
        <v>638</v>
      </c>
      <c r="C23" t="s">
        <v>2247</v>
      </c>
      <c r="D23" t="s">
        <v>193</v>
      </c>
      <c r="F23" t="s">
        <v>193</v>
      </c>
    </row>
    <row r="24" spans="1:7">
      <c r="A24" s="49"/>
      <c r="B24" t="s">
        <v>966</v>
      </c>
      <c r="C24" t="s">
        <v>2248</v>
      </c>
      <c r="D24" t="s">
        <v>196</v>
      </c>
      <c r="E24" t="s">
        <v>233</v>
      </c>
    </row>
    <row r="25" spans="1:7">
      <c r="A25" s="49"/>
      <c r="B25" t="s">
        <v>394</v>
      </c>
      <c r="C25" t="s">
        <v>2249</v>
      </c>
      <c r="D25" t="s">
        <v>193</v>
      </c>
      <c r="F25" t="s">
        <v>196</v>
      </c>
      <c r="G25" t="s">
        <v>111</v>
      </c>
    </row>
    <row r="26" spans="1:7">
      <c r="A26" s="49"/>
      <c r="B26" t="s">
        <v>395</v>
      </c>
      <c r="C26" t="s">
        <v>2250</v>
      </c>
      <c r="D26" t="s">
        <v>193</v>
      </c>
      <c r="F26" t="s">
        <v>196</v>
      </c>
      <c r="G26" t="s">
        <v>111</v>
      </c>
    </row>
    <row r="27" spans="1:7" ht="29.25" customHeight="1">
      <c r="A27" s="44" t="s">
        <v>657</v>
      </c>
      <c r="B27" t="s">
        <v>1014</v>
      </c>
      <c r="C27" t="s">
        <v>2251</v>
      </c>
      <c r="D27" t="s">
        <v>196</v>
      </c>
      <c r="E27" t="s">
        <v>240</v>
      </c>
    </row>
    <row r="28" spans="1:7" ht="14.25" customHeight="1">
      <c r="A28" s="44"/>
      <c r="B28" t="s">
        <v>2252</v>
      </c>
      <c r="C28" t="s">
        <v>2253</v>
      </c>
      <c r="D28" t="s">
        <v>193</v>
      </c>
      <c r="F28" t="s">
        <v>196</v>
      </c>
      <c r="G28" t="s">
        <v>114</v>
      </c>
    </row>
    <row r="29" spans="1:7">
      <c r="A29" s="44"/>
      <c r="B29" t="s">
        <v>399</v>
      </c>
      <c r="C29" t="s">
        <v>2254</v>
      </c>
      <c r="D29" t="s">
        <v>193</v>
      </c>
      <c r="F29" t="s">
        <v>196</v>
      </c>
      <c r="G29" t="s">
        <v>114</v>
      </c>
    </row>
    <row r="30" spans="1:7">
      <c r="A30" s="44"/>
      <c r="B30" t="s">
        <v>400</v>
      </c>
      <c r="C30" t="s">
        <v>2255</v>
      </c>
      <c r="D30" t="s">
        <v>193</v>
      </c>
      <c r="F30" t="s">
        <v>196</v>
      </c>
      <c r="G30" t="s">
        <v>114</v>
      </c>
    </row>
    <row r="31" spans="1:7">
      <c r="A31" s="44"/>
      <c r="B31" t="s">
        <v>401</v>
      </c>
      <c r="C31" t="s">
        <v>2256</v>
      </c>
      <c r="D31" t="s">
        <v>193</v>
      </c>
      <c r="F31" t="s">
        <v>196</v>
      </c>
      <c r="G31" t="s">
        <v>114</v>
      </c>
    </row>
    <row r="32" spans="1:7" ht="15" customHeight="1">
      <c r="A32" s="49" t="s">
        <v>667</v>
      </c>
      <c r="B32" t="s">
        <v>1040</v>
      </c>
      <c r="C32" t="s">
        <v>2257</v>
      </c>
      <c r="D32" t="s">
        <v>196</v>
      </c>
      <c r="E32" t="s">
        <v>246</v>
      </c>
    </row>
    <row r="33" spans="1:6">
      <c r="A33" s="49"/>
      <c r="B33" t="s">
        <v>2258</v>
      </c>
      <c r="C33" t="s">
        <v>2259</v>
      </c>
      <c r="D33" t="s">
        <v>196</v>
      </c>
      <c r="E33" t="s">
        <v>248</v>
      </c>
    </row>
    <row r="34" spans="1:6">
      <c r="A34" s="49"/>
      <c r="B34" t="s">
        <v>2260</v>
      </c>
      <c r="C34" t="s">
        <v>2261</v>
      </c>
      <c r="D34" t="s">
        <v>196</v>
      </c>
      <c r="E34" t="s">
        <v>248</v>
      </c>
    </row>
    <row r="35" spans="1:6" ht="15" customHeight="1">
      <c r="A35" s="49" t="s">
        <v>695</v>
      </c>
      <c r="B35" t="s">
        <v>1089</v>
      </c>
      <c r="C35" t="s">
        <v>1349</v>
      </c>
      <c r="D35" t="s">
        <v>196</v>
      </c>
      <c r="E35" t="s">
        <v>2262</v>
      </c>
    </row>
    <row r="36" spans="1:6" ht="14.25" customHeight="1">
      <c r="A36" s="49"/>
      <c r="B36" t="s">
        <v>2263</v>
      </c>
      <c r="C36" t="s">
        <v>2264</v>
      </c>
      <c r="D36" t="s">
        <v>196</v>
      </c>
      <c r="E36" t="s">
        <v>253</v>
      </c>
    </row>
    <row r="37" spans="1:6" ht="14.25" customHeight="1">
      <c r="A37" s="49"/>
      <c r="B37" t="s">
        <v>2265</v>
      </c>
      <c r="C37" t="s">
        <v>2266</v>
      </c>
      <c r="D37" t="s">
        <v>196</v>
      </c>
      <c r="E37" t="s">
        <v>253</v>
      </c>
    </row>
    <row r="38" spans="1:6" ht="14.25" customHeight="1">
      <c r="A38" s="49"/>
      <c r="B38" t="s">
        <v>2267</v>
      </c>
      <c r="C38" t="s">
        <v>2268</v>
      </c>
      <c r="D38" t="s">
        <v>196</v>
      </c>
      <c r="E38" t="s">
        <v>253</v>
      </c>
    </row>
    <row r="39" spans="1:6">
      <c r="A39" s="49"/>
      <c r="B39" t="s">
        <v>2269</v>
      </c>
      <c r="C39" t="s">
        <v>2270</v>
      </c>
      <c r="D39" t="s">
        <v>196</v>
      </c>
      <c r="E39" t="s">
        <v>253</v>
      </c>
    </row>
    <row r="40" spans="1:6">
      <c r="A40" s="49"/>
      <c r="B40" t="s">
        <v>2271</v>
      </c>
      <c r="C40" t="s">
        <v>2272</v>
      </c>
      <c r="D40" t="s">
        <v>196</v>
      </c>
      <c r="E40" t="s">
        <v>253</v>
      </c>
    </row>
    <row r="41" spans="1:6">
      <c r="A41" s="49"/>
      <c r="B41" t="s">
        <v>2273</v>
      </c>
      <c r="C41" t="s">
        <v>2274</v>
      </c>
      <c r="D41" t="s">
        <v>196</v>
      </c>
      <c r="E41" t="s">
        <v>253</v>
      </c>
    </row>
    <row r="42" spans="1:6" ht="14.45" customHeight="1">
      <c r="B42" s="16" t="s">
        <v>261</v>
      </c>
      <c r="C42" s="16" t="s">
        <v>193</v>
      </c>
      <c r="D42" s="16">
        <f>COUNTIF(D2:D41,"No")</f>
        <v>16</v>
      </c>
      <c r="E42" s="16" t="s">
        <v>69</v>
      </c>
      <c r="F42" s="16">
        <f>COUNTIF(F2:F41,"Yes")</f>
        <v>15</v>
      </c>
    </row>
    <row r="43" spans="1:6" ht="14.45" customHeight="1">
      <c r="B43" s="6"/>
      <c r="C43" s="16" t="s">
        <v>196</v>
      </c>
      <c r="D43" s="16">
        <f>COUNTIF(D2:D41,"Yes")</f>
        <v>23</v>
      </c>
      <c r="E43" s="16" t="s">
        <v>70</v>
      </c>
      <c r="F43">
        <f>COUNTIFS(D:D,"Partial",F:F,"Yes")</f>
        <v>0</v>
      </c>
    </row>
    <row r="44" spans="1:6" ht="14.45" customHeight="1">
      <c r="B44" s="6"/>
      <c r="C44" s="16" t="s">
        <v>733</v>
      </c>
      <c r="D44" s="16">
        <f>COUNTIF(D2:D41,"Partial")</f>
        <v>1</v>
      </c>
      <c r="E44" s="10" t="s">
        <v>110</v>
      </c>
      <c r="F44">
        <f>COUNTIF($G$2:$G$41,E44)</f>
        <v>0</v>
      </c>
    </row>
    <row r="45" spans="1:6" ht="15">
      <c r="E45" s="10" t="s">
        <v>111</v>
      </c>
      <c r="F45">
        <f t="shared" ref="F45:F48" si="0">COUNTIF($G$2:$G$41,E45)</f>
        <v>2</v>
      </c>
    </row>
    <row r="46" spans="1:6" ht="15">
      <c r="E46" s="10" t="s">
        <v>112</v>
      </c>
      <c r="F46">
        <f t="shared" si="0"/>
        <v>8</v>
      </c>
    </row>
    <row r="47" spans="1:6" ht="15">
      <c r="E47" s="10" t="s">
        <v>480</v>
      </c>
      <c r="F47">
        <f t="shared" si="0"/>
        <v>0</v>
      </c>
    </row>
    <row r="48" spans="1:6" ht="15">
      <c r="E48" s="10" t="s">
        <v>114</v>
      </c>
      <c r="F48">
        <f t="shared" si="0"/>
        <v>5</v>
      </c>
    </row>
    <row r="49" spans="5:6" ht="15"/>
    <row r="50" spans="5:6" ht="15">
      <c r="E50" s="16" t="s">
        <v>1175</v>
      </c>
      <c r="F50" s="16">
        <f>COUNTIF(F2:F41,"No")</f>
        <v>1</v>
      </c>
    </row>
    <row r="73" spans="27:27">
      <c r="AA73" t="s">
        <v>709</v>
      </c>
    </row>
  </sheetData>
  <mergeCells count="9">
    <mergeCell ref="A22:A26"/>
    <mergeCell ref="A27:A31"/>
    <mergeCell ref="A32:A34"/>
    <mergeCell ref="A35:A41"/>
    <mergeCell ref="A3:A7"/>
    <mergeCell ref="A8:A10"/>
    <mergeCell ref="A11:A15"/>
    <mergeCell ref="A16:A17"/>
    <mergeCell ref="A18:A21"/>
  </mergeCells>
  <conditionalFormatting sqref="D2:D41">
    <cfRule type="containsText" dxfId="90" priority="4" operator="containsText" text="Partial">
      <formula>NOT(ISERROR(SEARCH("Partial",D2)))</formula>
    </cfRule>
    <cfRule type="containsText" dxfId="89" priority="5" operator="containsText" text="No">
      <formula>NOT(ISERROR(SEARCH("No",D2)))</formula>
    </cfRule>
    <cfRule type="containsText" dxfId="88" priority="6" operator="containsText" text="Yes">
      <formula>NOT(ISERROR(SEARCH("Yes",D2)))</formula>
    </cfRule>
  </conditionalFormatting>
  <conditionalFormatting sqref="F2:F41">
    <cfRule type="containsText" dxfId="87" priority="2" operator="containsText" text="No">
      <formula>NOT(ISERROR(SEARCH("No",F2)))</formula>
    </cfRule>
    <cfRule type="containsText" dxfId="86" priority="3" operator="containsText" text="Yes">
      <formula>NOT(ISERROR(SEARCH("Yes",F2)))</formula>
    </cfRule>
  </conditionalFormatting>
  <conditionalFormatting sqref="G2:G108">
    <cfRule type="containsText" dxfId="85" priority="7" operator="containsText" text="No">
      <formula>NOT(ISERROR(SEARCH("No",G2)))</formula>
    </cfRule>
    <cfRule type="containsText" dxfId="84" priority="8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8:D21" xr:uid="{00000000-0002-0000-1C00-000000000000}">
      <formula1>"Yes;No;Partial"</formula1>
      <formula2>0</formula2>
    </dataValidation>
    <dataValidation type="list" operator="equal" allowBlank="1" showInputMessage="1" showErrorMessage="1" sqref="D2:D17 D22:D41" xr:uid="{00000000-0002-0000-1C00-000001000000}">
      <formula1>"Yes,No,Partial"</formula1>
      <formula2>0</formula2>
    </dataValidation>
    <dataValidation type="list" operator="equal" allowBlank="1" showInputMessage="1" showErrorMessage="1" sqref="F2:F41" xr:uid="{00000000-0002-0000-1C00-000002000000}">
      <formula1>"Yes,No"</formula1>
      <formula2>0</formula2>
    </dataValidation>
    <dataValidation operator="equal" allowBlank="1" showInputMessage="1" showErrorMessage="1" sqref="G2:G108" xr:uid="{00000000-0002-0000-1C00-000008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A73"/>
  <sheetViews>
    <sheetView zoomScale="85" zoomScaleNormal="85" workbookViewId="0">
      <selection activeCell="E36" sqref="E36:F3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2275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2276</v>
      </c>
      <c r="C2" t="s">
        <v>2277</v>
      </c>
      <c r="D2" t="s">
        <v>196</v>
      </c>
      <c r="E2" t="s">
        <v>191</v>
      </c>
    </row>
    <row r="3" spans="1:8" ht="15" customHeight="1">
      <c r="A3" s="49"/>
      <c r="B3" t="s">
        <v>2278</v>
      </c>
      <c r="C3" t="s">
        <v>2279</v>
      </c>
      <c r="D3" t="s">
        <v>196</v>
      </c>
      <c r="E3" t="s">
        <v>191</v>
      </c>
    </row>
    <row r="4" spans="1:8" ht="15" customHeight="1">
      <c r="A4" s="49" t="s">
        <v>513</v>
      </c>
      <c r="B4" t="s">
        <v>2280</v>
      </c>
      <c r="C4" t="s">
        <v>2281</v>
      </c>
      <c r="D4" t="s">
        <v>193</v>
      </c>
      <c r="F4" t="s">
        <v>196</v>
      </c>
      <c r="G4" t="s">
        <v>112</v>
      </c>
    </row>
    <row r="5" spans="1:8" ht="15" customHeight="1">
      <c r="A5" s="49"/>
      <c r="B5" t="s">
        <v>383</v>
      </c>
      <c r="C5" t="s">
        <v>2282</v>
      </c>
      <c r="D5" t="s">
        <v>193</v>
      </c>
      <c r="F5" t="s">
        <v>196</v>
      </c>
      <c r="G5" t="s">
        <v>112</v>
      </c>
    </row>
    <row r="6" spans="1:8" ht="15" customHeight="1">
      <c r="A6" s="49"/>
      <c r="B6" t="s">
        <v>384</v>
      </c>
      <c r="C6" t="s">
        <v>2283</v>
      </c>
      <c r="D6" t="s">
        <v>193</v>
      </c>
      <c r="F6" t="s">
        <v>196</v>
      </c>
      <c r="G6" t="s">
        <v>112</v>
      </c>
    </row>
    <row r="7" spans="1:8" ht="15" customHeight="1">
      <c r="A7" s="49"/>
      <c r="B7" t="s">
        <v>385</v>
      </c>
      <c r="C7" t="s">
        <v>2284</v>
      </c>
      <c r="D7" t="s">
        <v>193</v>
      </c>
      <c r="F7" t="s">
        <v>196</v>
      </c>
      <c r="G7" t="s">
        <v>112</v>
      </c>
    </row>
    <row r="8" spans="1:8" ht="15" customHeight="1">
      <c r="A8" s="49"/>
      <c r="B8" t="s">
        <v>2285</v>
      </c>
      <c r="C8" t="s">
        <v>2286</v>
      </c>
      <c r="D8" t="s">
        <v>193</v>
      </c>
      <c r="F8" t="s">
        <v>196</v>
      </c>
      <c r="G8" t="s">
        <v>112</v>
      </c>
    </row>
    <row r="9" spans="1:8" ht="15" customHeight="1">
      <c r="A9" s="49" t="s">
        <v>519</v>
      </c>
      <c r="B9" t="s">
        <v>2287</v>
      </c>
      <c r="C9" t="s">
        <v>1146</v>
      </c>
      <c r="D9" t="s">
        <v>193</v>
      </c>
      <c r="F9" t="s">
        <v>196</v>
      </c>
      <c r="G9" t="s">
        <v>112</v>
      </c>
    </row>
    <row r="10" spans="1:8" ht="15" customHeight="1">
      <c r="A10" s="49"/>
      <c r="B10" t="s">
        <v>2288</v>
      </c>
      <c r="C10" t="s">
        <v>2289</v>
      </c>
      <c r="D10" t="s">
        <v>196</v>
      </c>
      <c r="E10" t="s">
        <v>202</v>
      </c>
    </row>
    <row r="11" spans="1:8" ht="15" customHeight="1">
      <c r="A11" s="49"/>
      <c r="B11" t="s">
        <v>2290</v>
      </c>
      <c r="C11" t="s">
        <v>2291</v>
      </c>
      <c r="D11" t="s">
        <v>196</v>
      </c>
      <c r="E11" t="s">
        <v>202</v>
      </c>
    </row>
    <row r="12" spans="1:8" ht="15" customHeight="1">
      <c r="A12" s="49"/>
      <c r="B12" t="s">
        <v>2292</v>
      </c>
      <c r="C12" t="s">
        <v>2293</v>
      </c>
      <c r="D12" t="s">
        <v>196</v>
      </c>
      <c r="E12" t="s">
        <v>202</v>
      </c>
    </row>
    <row r="13" spans="1:8" ht="15" customHeight="1">
      <c r="A13" s="49"/>
      <c r="B13" t="s">
        <v>2294</v>
      </c>
      <c r="C13" t="s">
        <v>2295</v>
      </c>
      <c r="D13" t="s">
        <v>196</v>
      </c>
      <c r="E13" t="s">
        <v>202</v>
      </c>
    </row>
    <row r="14" spans="1:8" ht="15" customHeight="1">
      <c r="A14" s="49"/>
      <c r="B14" t="s">
        <v>2296</v>
      </c>
      <c r="C14" t="s">
        <v>2297</v>
      </c>
      <c r="D14" t="s">
        <v>196</v>
      </c>
      <c r="E14" t="s">
        <v>202</v>
      </c>
    </row>
    <row r="15" spans="1:8" ht="15" customHeight="1">
      <c r="A15" s="49" t="s">
        <v>536</v>
      </c>
      <c r="B15" t="s">
        <v>879</v>
      </c>
      <c r="C15" t="s">
        <v>1791</v>
      </c>
      <c r="D15" t="s">
        <v>196</v>
      </c>
      <c r="E15" t="s">
        <v>219</v>
      </c>
    </row>
    <row r="16" spans="1:8">
      <c r="A16" s="49"/>
      <c r="B16" t="s">
        <v>390</v>
      </c>
      <c r="C16" t="s">
        <v>2298</v>
      </c>
      <c r="D16" t="s">
        <v>193</v>
      </c>
      <c r="F16" t="s">
        <v>196</v>
      </c>
      <c r="G16" t="s">
        <v>110</v>
      </c>
    </row>
    <row r="17" spans="1:7">
      <c r="A17" s="49"/>
      <c r="B17" t="s">
        <v>2299</v>
      </c>
      <c r="C17" t="s">
        <v>2300</v>
      </c>
      <c r="D17" t="s">
        <v>193</v>
      </c>
      <c r="E17" s="3"/>
      <c r="F17" t="s">
        <v>193</v>
      </c>
    </row>
    <row r="18" spans="1:7">
      <c r="A18" s="49"/>
      <c r="B18" t="s">
        <v>579</v>
      </c>
      <c r="C18" t="s">
        <v>2301</v>
      </c>
      <c r="D18" t="s">
        <v>193</v>
      </c>
      <c r="F18" t="s">
        <v>193</v>
      </c>
    </row>
    <row r="19" spans="1:7" ht="15" customHeight="1">
      <c r="A19" s="49" t="s">
        <v>589</v>
      </c>
      <c r="B19" t="s">
        <v>2302</v>
      </c>
      <c r="C19" t="s">
        <v>2303</v>
      </c>
      <c r="D19" t="s">
        <v>196</v>
      </c>
      <c r="E19" t="s">
        <v>226</v>
      </c>
    </row>
    <row r="20" spans="1:7">
      <c r="A20" s="49"/>
      <c r="B20" t="s">
        <v>2304</v>
      </c>
      <c r="C20" t="s">
        <v>2305</v>
      </c>
      <c r="D20" t="s">
        <v>196</v>
      </c>
      <c r="E20" t="s">
        <v>226</v>
      </c>
    </row>
    <row r="21" spans="1:7">
      <c r="A21" s="49"/>
      <c r="B21" t="s">
        <v>2306</v>
      </c>
      <c r="C21" t="s">
        <v>2307</v>
      </c>
      <c r="D21" t="s">
        <v>193</v>
      </c>
      <c r="F21" t="s">
        <v>196</v>
      </c>
      <c r="G21" t="s">
        <v>114</v>
      </c>
    </row>
    <row r="22" spans="1:7">
      <c r="A22" s="49"/>
      <c r="B22" t="s">
        <v>2308</v>
      </c>
      <c r="C22" t="s">
        <v>2309</v>
      </c>
      <c r="D22" t="s">
        <v>196</v>
      </c>
      <c r="E22" t="s">
        <v>226</v>
      </c>
    </row>
    <row r="23" spans="1:7" ht="15" customHeight="1">
      <c r="A23" s="44" t="s">
        <v>613</v>
      </c>
      <c r="B23" t="s">
        <v>2310</v>
      </c>
      <c r="C23" t="s">
        <v>2311</v>
      </c>
      <c r="D23" t="s">
        <v>196</v>
      </c>
      <c r="E23" t="s">
        <v>231</v>
      </c>
    </row>
    <row r="24" spans="1:7" ht="15" customHeight="1">
      <c r="A24" s="44"/>
      <c r="B24" t="s">
        <v>2312</v>
      </c>
      <c r="C24" t="s">
        <v>2313</v>
      </c>
      <c r="D24" t="s">
        <v>196</v>
      </c>
      <c r="E24" t="s">
        <v>231</v>
      </c>
    </row>
    <row r="25" spans="1:7" ht="15" customHeight="1">
      <c r="A25" s="44"/>
      <c r="B25" t="s">
        <v>2314</v>
      </c>
      <c r="C25" t="s">
        <v>2315</v>
      </c>
      <c r="D25" t="s">
        <v>196</v>
      </c>
      <c r="E25" t="s">
        <v>231</v>
      </c>
    </row>
    <row r="26" spans="1:7" ht="15" customHeight="1">
      <c r="A26" s="4" t="s">
        <v>625</v>
      </c>
      <c r="B26" t="s">
        <v>967</v>
      </c>
      <c r="C26" t="s">
        <v>2316</v>
      </c>
      <c r="D26" t="s">
        <v>196</v>
      </c>
      <c r="E26" t="s">
        <v>233</v>
      </c>
    </row>
    <row r="27" spans="1:7" ht="29.25" customHeight="1">
      <c r="A27" s="44" t="s">
        <v>657</v>
      </c>
      <c r="B27" t="s">
        <v>2317</v>
      </c>
      <c r="C27" t="s">
        <v>2318</v>
      </c>
      <c r="D27" t="s">
        <v>193</v>
      </c>
      <c r="F27" t="s">
        <v>196</v>
      </c>
      <c r="G27" t="s">
        <v>114</v>
      </c>
    </row>
    <row r="28" spans="1:7">
      <c r="A28" s="44"/>
      <c r="B28" t="s">
        <v>1015</v>
      </c>
      <c r="C28" t="s">
        <v>2319</v>
      </c>
      <c r="D28" t="s">
        <v>196</v>
      </c>
      <c r="E28" t="s">
        <v>240</v>
      </c>
    </row>
    <row r="29" spans="1:7">
      <c r="A29" s="44"/>
      <c r="B29" t="s">
        <v>402</v>
      </c>
      <c r="C29" t="s">
        <v>2320</v>
      </c>
      <c r="D29" t="s">
        <v>193</v>
      </c>
      <c r="F29" t="s">
        <v>196</v>
      </c>
      <c r="G29" t="s">
        <v>110</v>
      </c>
    </row>
    <row r="30" spans="1:7" ht="15" customHeight="1">
      <c r="A30" s="49" t="s">
        <v>667</v>
      </c>
      <c r="B30" t="s">
        <v>1041</v>
      </c>
      <c r="C30" t="s">
        <v>2321</v>
      </c>
      <c r="D30" t="s">
        <v>196</v>
      </c>
      <c r="E30" t="s">
        <v>246</v>
      </c>
    </row>
    <row r="31" spans="1:7">
      <c r="A31" s="49"/>
      <c r="B31" t="s">
        <v>1074</v>
      </c>
      <c r="C31" t="s">
        <v>2322</v>
      </c>
      <c r="D31" t="s">
        <v>196</v>
      </c>
      <c r="E31" t="s">
        <v>248</v>
      </c>
    </row>
    <row r="32" spans="1:7" ht="15" customHeight="1">
      <c r="A32" s="49" t="s">
        <v>695</v>
      </c>
      <c r="B32" t="s">
        <v>2323</v>
      </c>
      <c r="C32" t="s">
        <v>2324</v>
      </c>
      <c r="D32" t="s">
        <v>196</v>
      </c>
      <c r="E32" t="s">
        <v>351</v>
      </c>
    </row>
    <row r="33" spans="1:6">
      <c r="A33" s="49"/>
      <c r="B33" t="s">
        <v>1109</v>
      </c>
      <c r="C33" t="s">
        <v>2325</v>
      </c>
      <c r="D33" t="s">
        <v>196</v>
      </c>
      <c r="E33" t="s">
        <v>253</v>
      </c>
    </row>
    <row r="34" spans="1:6">
      <c r="A34" s="49"/>
      <c r="B34" t="s">
        <v>2326</v>
      </c>
      <c r="C34" t="s">
        <v>2327</v>
      </c>
      <c r="D34" t="s">
        <v>196</v>
      </c>
      <c r="E34" t="s">
        <v>351</v>
      </c>
    </row>
    <row r="35" spans="1:6" ht="14.45" customHeight="1">
      <c r="B35" s="16" t="s">
        <v>261</v>
      </c>
      <c r="C35" s="16" t="s">
        <v>193</v>
      </c>
      <c r="D35" s="16">
        <f>COUNTIF(D2:D34,"No")</f>
        <v>12</v>
      </c>
      <c r="E35" s="16" t="s">
        <v>69</v>
      </c>
      <c r="F35" s="16">
        <f>COUNTIF(F2:F34,"Yes")</f>
        <v>10</v>
      </c>
    </row>
    <row r="36" spans="1:6" ht="14.45" customHeight="1">
      <c r="B36" s="6"/>
      <c r="C36" s="16" t="s">
        <v>196</v>
      </c>
      <c r="D36" s="16">
        <f>COUNTIF(D2:D34,"Yes")</f>
        <v>21</v>
      </c>
      <c r="E36" s="16" t="s">
        <v>70</v>
      </c>
      <c r="F36">
        <f>COUNTIFS(D:D,"Partial",F:F,"Yes")</f>
        <v>0</v>
      </c>
    </row>
    <row r="37" spans="1:6" ht="14.45" customHeight="1">
      <c r="B37" s="6"/>
      <c r="C37" s="16" t="s">
        <v>733</v>
      </c>
      <c r="D37" s="16">
        <f>COUNTIF(D2:D34,"Partial")</f>
        <v>0</v>
      </c>
      <c r="E37" s="10" t="s">
        <v>110</v>
      </c>
      <c r="F37">
        <f>COUNTIF($G$2:$G$34,E37)</f>
        <v>2</v>
      </c>
    </row>
    <row r="38" spans="1:6" ht="15">
      <c r="E38" s="10" t="s">
        <v>111</v>
      </c>
      <c r="F38">
        <f t="shared" ref="F38:F41" si="0">COUNTIF($G$2:$G$34,E38)</f>
        <v>0</v>
      </c>
    </row>
    <row r="39" spans="1:6" ht="15">
      <c r="E39" s="10" t="s">
        <v>112</v>
      </c>
      <c r="F39">
        <f t="shared" si="0"/>
        <v>6</v>
      </c>
    </row>
    <row r="40" spans="1:6" ht="15">
      <c r="E40" s="10" t="s">
        <v>480</v>
      </c>
      <c r="F40">
        <f t="shared" si="0"/>
        <v>0</v>
      </c>
    </row>
    <row r="41" spans="1:6" ht="15">
      <c r="E41" s="10" t="s">
        <v>114</v>
      </c>
      <c r="F41">
        <f t="shared" si="0"/>
        <v>2</v>
      </c>
    </row>
    <row r="42" spans="1:6" ht="15"/>
    <row r="43" spans="1:6" ht="15">
      <c r="E43" s="16" t="s">
        <v>1175</v>
      </c>
      <c r="F43" s="16">
        <f>COUNTIF(F2:F34,"No")</f>
        <v>2</v>
      </c>
    </row>
    <row r="73" spans="27:27">
      <c r="AA73" t="s">
        <v>709</v>
      </c>
    </row>
  </sheetData>
  <mergeCells count="9">
    <mergeCell ref="A23:A25"/>
    <mergeCell ref="A27:A29"/>
    <mergeCell ref="A30:A31"/>
    <mergeCell ref="A32:A34"/>
    <mergeCell ref="A2:A3"/>
    <mergeCell ref="A4:A8"/>
    <mergeCell ref="A9:A14"/>
    <mergeCell ref="A15:A18"/>
    <mergeCell ref="A19:A22"/>
  </mergeCells>
  <conditionalFormatting sqref="D2:D8">
    <cfRule type="containsText" dxfId="83" priority="7" operator="containsText" text="Partial">
      <formula>NOT(ISERROR(SEARCH("Partial",D2)))</formula>
    </cfRule>
    <cfRule type="containsText" dxfId="82" priority="8" operator="containsText" text="No">
      <formula>NOT(ISERROR(SEARCH("No",D2)))</formula>
    </cfRule>
    <cfRule type="containsText" dxfId="81" priority="9" operator="containsText" text="Yes">
      <formula>NOT(ISERROR(SEARCH("Yes",D2)))</formula>
    </cfRule>
  </conditionalFormatting>
  <conditionalFormatting sqref="D3 D9:D34">
    <cfRule type="containsText" dxfId="80" priority="4" operator="containsText" text="Partial">
      <formula>NOT(ISERROR(SEARCH("Partial",D3)))</formula>
    </cfRule>
    <cfRule type="containsText" dxfId="79" priority="5" operator="containsText" text="No">
      <formula>NOT(ISERROR(SEARCH("No",D3)))</formula>
    </cfRule>
    <cfRule type="containsText" dxfId="78" priority="6" operator="containsText" text="Yes">
      <formula>NOT(ISERROR(SEARCH("Yes",D3)))</formula>
    </cfRule>
  </conditionalFormatting>
  <conditionalFormatting sqref="F2:F34">
    <cfRule type="containsText" dxfId="77" priority="2" operator="containsText" text="No">
      <formula>NOT(ISERROR(SEARCH("No",F2)))</formula>
    </cfRule>
    <cfRule type="containsText" dxfId="76" priority="3" operator="containsText" text="Yes">
      <formula>NOT(ISERROR(SEARCH("Yes",F2)))</formula>
    </cfRule>
  </conditionalFormatting>
  <conditionalFormatting sqref="G2:G108">
    <cfRule type="containsText" dxfId="75" priority="12" operator="containsText" text="No">
      <formula>NOT(ISERROR(SEARCH("No",G2)))</formula>
    </cfRule>
    <cfRule type="containsText" dxfId="74" priority="13" operator="containsText" text="Yes">
      <formula>NOT(ISERROR(SEARCH("Yes",G2)))</formula>
    </cfRule>
  </conditionalFormatting>
  <dataValidations count="4">
    <dataValidation type="list" operator="equal" allowBlank="1" showInputMessage="1" showErrorMessage="1" sqref="D23:D25" xr:uid="{00000000-0002-0000-1D00-000000000000}">
      <formula1>"Yes;No;Partial"</formula1>
      <formula2>0</formula2>
    </dataValidation>
    <dataValidation type="list" operator="equal" allowBlank="1" showInputMessage="1" showErrorMessage="1" sqref="D2:D22 D26:D34" xr:uid="{00000000-0002-0000-1D00-000001000000}">
      <formula1>"Yes,No,Partial"</formula1>
      <formula2>0</formula2>
    </dataValidation>
    <dataValidation type="list" operator="equal" allowBlank="1" showInputMessage="1" showErrorMessage="1" sqref="F2:F34" xr:uid="{00000000-0002-0000-1D00-000004000000}">
      <formula1>"Yes,No"</formula1>
      <formula2>0</formula2>
    </dataValidation>
    <dataValidation operator="equal" allowBlank="1" showInputMessage="1" showErrorMessage="1" sqref="G2:G108" xr:uid="{00000000-0002-0000-1D00-000007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A73"/>
  <sheetViews>
    <sheetView zoomScale="85" zoomScaleNormal="85" workbookViewId="0">
      <selection activeCell="E42" sqref="E42:F42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2328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752</v>
      </c>
      <c r="C2" t="s">
        <v>1954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2329</v>
      </c>
      <c r="C3" t="s">
        <v>2281</v>
      </c>
      <c r="D3" t="s">
        <v>196</v>
      </c>
      <c r="E3" t="s">
        <v>199</v>
      </c>
    </row>
    <row r="4" spans="1:8" ht="15" customHeight="1">
      <c r="A4" s="49"/>
      <c r="B4" t="s">
        <v>2330</v>
      </c>
      <c r="C4" t="s">
        <v>2331</v>
      </c>
      <c r="D4" t="s">
        <v>196</v>
      </c>
      <c r="E4" t="s">
        <v>199</v>
      </c>
    </row>
    <row r="5" spans="1:8" ht="15" customHeight="1">
      <c r="A5" s="49"/>
      <c r="B5" t="s">
        <v>518</v>
      </c>
      <c r="C5" t="s">
        <v>2332</v>
      </c>
      <c r="D5" t="s">
        <v>193</v>
      </c>
      <c r="F5" t="s">
        <v>193</v>
      </c>
    </row>
    <row r="6" spans="1:8" ht="15" customHeight="1">
      <c r="A6" s="49" t="s">
        <v>519</v>
      </c>
      <c r="B6" t="s">
        <v>805</v>
      </c>
      <c r="C6" t="s">
        <v>2333</v>
      </c>
      <c r="D6" t="s">
        <v>196</v>
      </c>
      <c r="E6" t="s">
        <v>202</v>
      </c>
    </row>
    <row r="7" spans="1:8" ht="15" customHeight="1">
      <c r="A7" s="49"/>
      <c r="B7" t="s">
        <v>2334</v>
      </c>
      <c r="C7" t="s">
        <v>2335</v>
      </c>
      <c r="D7" t="s">
        <v>193</v>
      </c>
      <c r="F7" t="s">
        <v>196</v>
      </c>
      <c r="G7" t="s">
        <v>112</v>
      </c>
    </row>
    <row r="8" spans="1:8" ht="15" customHeight="1">
      <c r="A8" s="49"/>
      <c r="B8" t="s">
        <v>2336</v>
      </c>
      <c r="C8" t="s">
        <v>2337</v>
      </c>
      <c r="D8" t="s">
        <v>193</v>
      </c>
      <c r="F8" t="s">
        <v>196</v>
      </c>
      <c r="G8" t="s">
        <v>112</v>
      </c>
    </row>
    <row r="9" spans="1:8" ht="15" customHeight="1">
      <c r="A9" s="49" t="s">
        <v>536</v>
      </c>
      <c r="B9" t="s">
        <v>2338</v>
      </c>
      <c r="C9" t="s">
        <v>2339</v>
      </c>
      <c r="D9" t="s">
        <v>196</v>
      </c>
      <c r="E9" t="s">
        <v>219</v>
      </c>
    </row>
    <row r="10" spans="1:8">
      <c r="A10" s="49"/>
      <c r="B10" t="s">
        <v>2340</v>
      </c>
      <c r="C10" t="s">
        <v>2341</v>
      </c>
      <c r="D10" t="s">
        <v>196</v>
      </c>
      <c r="E10" t="s">
        <v>219</v>
      </c>
    </row>
    <row r="11" spans="1:8">
      <c r="A11" s="49"/>
      <c r="B11" t="s">
        <v>2342</v>
      </c>
      <c r="C11" t="s">
        <v>2343</v>
      </c>
      <c r="D11" t="s">
        <v>196</v>
      </c>
      <c r="E11" t="s">
        <v>219</v>
      </c>
    </row>
    <row r="12" spans="1:8">
      <c r="A12" s="49"/>
      <c r="B12" t="s">
        <v>555</v>
      </c>
      <c r="C12" t="s">
        <v>2344</v>
      </c>
      <c r="D12" t="s">
        <v>193</v>
      </c>
      <c r="F12" t="s">
        <v>193</v>
      </c>
    </row>
    <row r="13" spans="1:8">
      <c r="A13" s="49"/>
      <c r="B13" t="s">
        <v>558</v>
      </c>
      <c r="C13" t="s">
        <v>2345</v>
      </c>
      <c r="D13" t="s">
        <v>193</v>
      </c>
      <c r="F13" t="s">
        <v>193</v>
      </c>
    </row>
    <row r="14" spans="1:8">
      <c r="A14" s="49"/>
      <c r="B14" t="s">
        <v>562</v>
      </c>
      <c r="C14" t="s">
        <v>2346</v>
      </c>
      <c r="D14" t="s">
        <v>193</v>
      </c>
      <c r="F14" t="s">
        <v>193</v>
      </c>
    </row>
    <row r="15" spans="1:8" ht="14.25" customHeight="1">
      <c r="A15" s="49" t="s">
        <v>589</v>
      </c>
      <c r="B15" t="s">
        <v>2347</v>
      </c>
      <c r="C15" t="s">
        <v>2348</v>
      </c>
      <c r="D15" t="s">
        <v>196</v>
      </c>
      <c r="E15" t="s">
        <v>226</v>
      </c>
    </row>
    <row r="16" spans="1:8" ht="14.25" customHeight="1">
      <c r="A16" s="49"/>
      <c r="B16" t="s">
        <v>605</v>
      </c>
      <c r="C16" t="s">
        <v>2349</v>
      </c>
      <c r="D16" t="s">
        <v>193</v>
      </c>
      <c r="F16" t="s">
        <v>193</v>
      </c>
    </row>
    <row r="17" spans="1:7" ht="14.25" customHeight="1">
      <c r="A17" s="49"/>
      <c r="B17" t="s">
        <v>2350</v>
      </c>
      <c r="C17" t="s">
        <v>2351</v>
      </c>
      <c r="D17" t="s">
        <v>196</v>
      </c>
      <c r="E17" t="s">
        <v>226</v>
      </c>
    </row>
    <row r="18" spans="1:7" ht="15" customHeight="1">
      <c r="A18" s="44" t="s">
        <v>613</v>
      </c>
      <c r="B18" t="s">
        <v>2352</v>
      </c>
      <c r="C18" t="s">
        <v>1162</v>
      </c>
      <c r="D18" t="s">
        <v>196</v>
      </c>
      <c r="E18" t="s">
        <v>231</v>
      </c>
    </row>
    <row r="19" spans="1:7" ht="15" customHeight="1">
      <c r="A19" s="44"/>
      <c r="B19" t="s">
        <v>2353</v>
      </c>
      <c r="C19" t="s">
        <v>2354</v>
      </c>
      <c r="D19" t="s">
        <v>196</v>
      </c>
      <c r="E19" t="s">
        <v>231</v>
      </c>
    </row>
    <row r="20" spans="1:7" ht="15" customHeight="1">
      <c r="A20" s="44"/>
      <c r="B20" t="s">
        <v>2355</v>
      </c>
      <c r="C20" t="s">
        <v>2356</v>
      </c>
      <c r="D20" t="s">
        <v>196</v>
      </c>
      <c r="E20" t="s">
        <v>231</v>
      </c>
    </row>
    <row r="21" spans="1:7" ht="15" customHeight="1">
      <c r="A21" s="44"/>
      <c r="B21" t="s">
        <v>2357</v>
      </c>
      <c r="C21" t="s">
        <v>2358</v>
      </c>
      <c r="D21" t="s">
        <v>196</v>
      </c>
      <c r="E21" t="s">
        <v>231</v>
      </c>
    </row>
    <row r="22" spans="1:7" ht="15" customHeight="1">
      <c r="A22" s="44"/>
      <c r="B22" t="s">
        <v>2359</v>
      </c>
      <c r="C22" t="s">
        <v>2360</v>
      </c>
      <c r="D22" t="s">
        <v>196</v>
      </c>
      <c r="E22" t="s">
        <v>231</v>
      </c>
    </row>
    <row r="23" spans="1:7" ht="15" customHeight="1">
      <c r="A23" s="49" t="s">
        <v>625</v>
      </c>
      <c r="B23" t="s">
        <v>968</v>
      </c>
      <c r="C23" t="s">
        <v>2361</v>
      </c>
      <c r="D23" t="s">
        <v>196</v>
      </c>
      <c r="E23" t="s">
        <v>233</v>
      </c>
    </row>
    <row r="24" spans="1:7" ht="14.25" customHeight="1">
      <c r="A24" s="49"/>
      <c r="B24" t="s">
        <v>2362</v>
      </c>
      <c r="C24" t="s">
        <v>2363</v>
      </c>
      <c r="D24" t="s">
        <v>196</v>
      </c>
      <c r="E24" t="s">
        <v>234</v>
      </c>
    </row>
    <row r="25" spans="1:7">
      <c r="A25" s="49"/>
      <c r="B25" t="s">
        <v>396</v>
      </c>
      <c r="C25" t="s">
        <v>2364</v>
      </c>
      <c r="D25" t="s">
        <v>193</v>
      </c>
      <c r="F25" t="s">
        <v>196</v>
      </c>
      <c r="G25" t="s">
        <v>111</v>
      </c>
    </row>
    <row r="26" spans="1:7">
      <c r="A26" s="49"/>
      <c r="B26" t="s">
        <v>2365</v>
      </c>
      <c r="C26" t="s">
        <v>2366</v>
      </c>
      <c r="D26" t="s">
        <v>196</v>
      </c>
      <c r="E26" t="s">
        <v>234</v>
      </c>
    </row>
    <row r="27" spans="1:7">
      <c r="A27" s="49"/>
      <c r="B27" t="s">
        <v>397</v>
      </c>
      <c r="C27" t="s">
        <v>1274</v>
      </c>
      <c r="D27" t="s">
        <v>193</v>
      </c>
      <c r="F27" t="s">
        <v>196</v>
      </c>
      <c r="G27" t="s">
        <v>111</v>
      </c>
    </row>
    <row r="28" spans="1:7" ht="15" customHeight="1">
      <c r="A28" s="44" t="s">
        <v>657</v>
      </c>
      <c r="B28" s="3" t="s">
        <v>403</v>
      </c>
      <c r="C28" s="3" t="s">
        <v>2367</v>
      </c>
      <c r="D28" t="s">
        <v>193</v>
      </c>
      <c r="F28" t="s">
        <v>196</v>
      </c>
      <c r="G28" t="s">
        <v>114</v>
      </c>
    </row>
    <row r="29" spans="1:7" ht="15" customHeight="1">
      <c r="A29" s="44"/>
      <c r="B29" s="3" t="s">
        <v>404</v>
      </c>
      <c r="C29" s="3" t="s">
        <v>2368</v>
      </c>
      <c r="D29" t="s">
        <v>193</v>
      </c>
      <c r="F29" t="s">
        <v>196</v>
      </c>
      <c r="G29" t="s">
        <v>114</v>
      </c>
    </row>
    <row r="30" spans="1:7" ht="15" customHeight="1">
      <c r="A30" s="44"/>
      <c r="B30" s="3" t="s">
        <v>1016</v>
      </c>
      <c r="C30" s="3" t="s">
        <v>2369</v>
      </c>
      <c r="D30" t="s">
        <v>196</v>
      </c>
      <c r="E30" t="s">
        <v>240</v>
      </c>
    </row>
    <row r="31" spans="1:7" ht="15" customHeight="1">
      <c r="A31" s="49" t="s">
        <v>667</v>
      </c>
      <c r="B31" t="s">
        <v>2370</v>
      </c>
      <c r="C31" t="s">
        <v>2371</v>
      </c>
      <c r="D31" t="s">
        <v>196</v>
      </c>
      <c r="E31" t="s">
        <v>1220</v>
      </c>
    </row>
    <row r="32" spans="1:7">
      <c r="A32" s="49"/>
      <c r="B32" t="s">
        <v>2372</v>
      </c>
      <c r="C32" t="s">
        <v>2373</v>
      </c>
      <c r="D32" t="s">
        <v>196</v>
      </c>
      <c r="E32" t="s">
        <v>1220</v>
      </c>
    </row>
    <row r="33" spans="1:6">
      <c r="A33" s="49"/>
      <c r="B33" t="s">
        <v>2374</v>
      </c>
      <c r="C33" t="s">
        <v>2375</v>
      </c>
      <c r="D33" t="s">
        <v>196</v>
      </c>
      <c r="E33" t="s">
        <v>1220</v>
      </c>
    </row>
    <row r="34" spans="1:6">
      <c r="A34" s="49"/>
      <c r="B34" t="s">
        <v>2376</v>
      </c>
      <c r="C34" t="s">
        <v>2377</v>
      </c>
      <c r="D34" t="s">
        <v>196</v>
      </c>
      <c r="E34" t="s">
        <v>1220</v>
      </c>
    </row>
    <row r="35" spans="1:6" ht="15" customHeight="1">
      <c r="A35" s="49" t="s">
        <v>695</v>
      </c>
      <c r="B35" t="s">
        <v>2378</v>
      </c>
      <c r="C35" t="s">
        <v>2379</v>
      </c>
      <c r="D35" t="s">
        <v>196</v>
      </c>
      <c r="E35" t="s">
        <v>351</v>
      </c>
    </row>
    <row r="36" spans="1:6">
      <c r="A36" s="49"/>
      <c r="B36" t="s">
        <v>2380</v>
      </c>
      <c r="C36" t="s">
        <v>2381</v>
      </c>
      <c r="D36" t="s">
        <v>196</v>
      </c>
      <c r="E36" t="s">
        <v>351</v>
      </c>
    </row>
    <row r="37" spans="1:6">
      <c r="A37" s="49"/>
      <c r="B37" t="s">
        <v>2382</v>
      </c>
      <c r="C37" t="s">
        <v>2383</v>
      </c>
      <c r="D37" t="s">
        <v>196</v>
      </c>
      <c r="E37" t="s">
        <v>351</v>
      </c>
    </row>
    <row r="38" spans="1:6">
      <c r="A38" s="49"/>
      <c r="B38" t="s">
        <v>2384</v>
      </c>
      <c r="C38" t="s">
        <v>2385</v>
      </c>
      <c r="D38" t="s">
        <v>196</v>
      </c>
      <c r="E38" t="s">
        <v>351</v>
      </c>
    </row>
    <row r="39" spans="1:6">
      <c r="A39" s="49"/>
      <c r="B39" t="s">
        <v>2386</v>
      </c>
      <c r="C39" t="s">
        <v>2387</v>
      </c>
      <c r="D39" t="s">
        <v>196</v>
      </c>
      <c r="E39" t="s">
        <v>351</v>
      </c>
    </row>
    <row r="40" spans="1:6">
      <c r="A40" s="49"/>
      <c r="B40" t="s">
        <v>2388</v>
      </c>
      <c r="C40" t="s">
        <v>2389</v>
      </c>
      <c r="D40" t="s">
        <v>196</v>
      </c>
      <c r="E40" t="s">
        <v>351</v>
      </c>
    </row>
    <row r="41" spans="1:6" ht="14.45" customHeight="1">
      <c r="B41" s="16" t="s">
        <v>261</v>
      </c>
      <c r="C41" s="16" t="s">
        <v>193</v>
      </c>
      <c r="D41" s="16">
        <f>COUNTIF(D2:D40,"No")</f>
        <v>11</v>
      </c>
      <c r="E41" s="16" t="s">
        <v>69</v>
      </c>
      <c r="F41" s="16">
        <f>COUNTIF(F2:F40,"Yes")</f>
        <v>6</v>
      </c>
    </row>
    <row r="42" spans="1:6" ht="14.45" customHeight="1">
      <c r="B42" s="6"/>
      <c r="C42" s="16" t="s">
        <v>196</v>
      </c>
      <c r="D42" s="16">
        <f>COUNTIF(D2:D40,"Yes")</f>
        <v>28</v>
      </c>
      <c r="E42" s="16" t="s">
        <v>70</v>
      </c>
      <c r="F42">
        <f>COUNTIFS(D:D,"Partial",F:F,"Yes")</f>
        <v>0</v>
      </c>
    </row>
    <row r="43" spans="1:6" ht="14.45" customHeight="1">
      <c r="B43" s="6"/>
      <c r="C43" s="16" t="s">
        <v>733</v>
      </c>
      <c r="D43" s="16">
        <f>COUNTIF(D2:D40,"Partial")</f>
        <v>0</v>
      </c>
      <c r="E43" s="10" t="s">
        <v>110</v>
      </c>
      <c r="F43">
        <f>COUNTIF($G$2:$G$40,E43)</f>
        <v>0</v>
      </c>
    </row>
    <row r="44" spans="1:6" ht="15">
      <c r="E44" s="10" t="s">
        <v>111</v>
      </c>
      <c r="F44">
        <f t="shared" ref="F44:F47" si="0">COUNTIF($G$2:$G$40,E44)</f>
        <v>2</v>
      </c>
    </row>
    <row r="45" spans="1:6" ht="15">
      <c r="E45" s="10" t="s">
        <v>112</v>
      </c>
      <c r="F45">
        <f t="shared" si="0"/>
        <v>2</v>
      </c>
    </row>
    <row r="46" spans="1:6" ht="15">
      <c r="E46" s="10" t="s">
        <v>480</v>
      </c>
      <c r="F46">
        <f t="shared" si="0"/>
        <v>0</v>
      </c>
    </row>
    <row r="47" spans="1:6" ht="15">
      <c r="E47" s="10" t="s">
        <v>114</v>
      </c>
      <c r="F47">
        <f t="shared" si="0"/>
        <v>2</v>
      </c>
    </row>
    <row r="48" spans="1:6" ht="15"/>
    <row r="49" spans="5:6" ht="15">
      <c r="E49" s="16" t="s">
        <v>1175</v>
      </c>
      <c r="F49" s="16">
        <f>COUNTIF(F2:F40,"No")</f>
        <v>5</v>
      </c>
    </row>
    <row r="73" spans="27:27">
      <c r="AA73" t="s">
        <v>709</v>
      </c>
    </row>
  </sheetData>
  <mergeCells count="9">
    <mergeCell ref="A23:A27"/>
    <mergeCell ref="A28:A30"/>
    <mergeCell ref="A31:A34"/>
    <mergeCell ref="A35:A40"/>
    <mergeCell ref="A3:A5"/>
    <mergeCell ref="A6:A8"/>
    <mergeCell ref="A9:A14"/>
    <mergeCell ref="A15:A17"/>
    <mergeCell ref="A18:A22"/>
  </mergeCells>
  <conditionalFormatting sqref="D2:D16 D19:D24 D26 D30:D40">
    <cfRule type="containsText" dxfId="73" priority="4" operator="containsText" text="Partial">
      <formula>NOT(ISERROR(SEARCH("Partial",D2)))</formula>
    </cfRule>
    <cfRule type="containsText" dxfId="72" priority="5" operator="containsText" text="No">
      <formula>NOT(ISERROR(SEARCH("No",D2)))</formula>
    </cfRule>
    <cfRule type="containsText" dxfId="71" priority="6" operator="containsText" text="Yes">
      <formula>NOT(ISERROR(SEARCH("Yes",D2)))</formula>
    </cfRule>
  </conditionalFormatting>
  <conditionalFormatting sqref="D17:D30">
    <cfRule type="containsText" dxfId="70" priority="7" operator="containsText" text="Partial">
      <formula>NOT(ISERROR(SEARCH("Partial",D17)))</formula>
    </cfRule>
    <cfRule type="containsText" dxfId="69" priority="8" operator="containsText" text="No">
      <formula>NOT(ISERROR(SEARCH("No",D17)))</formula>
    </cfRule>
    <cfRule type="containsText" dxfId="68" priority="9" operator="containsText" text="Yes">
      <formula>NOT(ISERROR(SEARCH("Yes",D17)))</formula>
    </cfRule>
  </conditionalFormatting>
  <conditionalFormatting sqref="F2:F26 F30:F40">
    <cfRule type="containsText" dxfId="67" priority="2" operator="containsText" text="No">
      <formula>NOT(ISERROR(SEARCH("No",F2)))</formula>
    </cfRule>
    <cfRule type="containsText" dxfId="66" priority="3" operator="containsText" text="Yes">
      <formula>NOT(ISERROR(SEARCH("Yes",F2)))</formula>
    </cfRule>
  </conditionalFormatting>
  <conditionalFormatting sqref="F27:F30">
    <cfRule type="containsText" dxfId="65" priority="20" operator="containsText" text="No">
      <formula>NOT(ISERROR(SEARCH("No",F27)))</formula>
    </cfRule>
    <cfRule type="containsText" dxfId="64" priority="21" operator="containsText" text="Yes">
      <formula>NOT(ISERROR(SEARCH("Yes",F27)))</formula>
    </cfRule>
  </conditionalFormatting>
  <conditionalFormatting sqref="G2:G108">
    <cfRule type="containsText" dxfId="63" priority="12" operator="containsText" text="No">
      <formula>NOT(ISERROR(SEARCH("No",G2)))</formula>
    </cfRule>
    <cfRule type="containsText" dxfId="62" priority="13" operator="containsText" text="Yes">
      <formula>NOT(ISERROR(SEARCH("Yes",G2)))</formula>
    </cfRule>
  </conditionalFormatting>
  <dataValidations count="4">
    <dataValidation type="list" operator="equal" allowBlank="1" showInputMessage="1" showErrorMessage="1" sqref="D18:D24 D26" xr:uid="{00000000-0002-0000-1E00-000000000000}">
      <formula1>"Yes;No;Partial"</formula1>
      <formula2>0</formula2>
    </dataValidation>
    <dataValidation type="list" operator="equal" allowBlank="1" showInputMessage="1" showErrorMessage="1" sqref="D25 D2:D17 D27:D40" xr:uid="{00000000-0002-0000-1E00-000001000000}">
      <formula1>"Yes,No,Partial"</formula1>
      <formula2>0</formula2>
    </dataValidation>
    <dataValidation type="list" operator="equal" allowBlank="1" showInputMessage="1" showErrorMessage="1" sqref="F2:F40" xr:uid="{00000000-0002-0000-1E00-000002000000}">
      <formula1>"Yes,No"</formula1>
      <formula2>0</formula2>
    </dataValidation>
    <dataValidation operator="equal" allowBlank="1" showInputMessage="1" showErrorMessage="1" sqref="G2:G108" xr:uid="{00000000-0002-0000-1E00-00000B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A73"/>
  <sheetViews>
    <sheetView zoomScale="85" zoomScaleNormal="85" workbookViewId="0">
      <selection activeCell="E36" sqref="E36:F3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38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753</v>
      </c>
      <c r="C2" t="s">
        <v>1240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2390</v>
      </c>
      <c r="C3" t="s">
        <v>2281</v>
      </c>
      <c r="D3" t="s">
        <v>196</v>
      </c>
      <c r="E3" t="s">
        <v>199</v>
      </c>
    </row>
    <row r="4" spans="1:8">
      <c r="A4" s="49"/>
      <c r="B4" t="s">
        <v>2391</v>
      </c>
      <c r="C4" t="s">
        <v>2392</v>
      </c>
      <c r="D4" t="s">
        <v>196</v>
      </c>
      <c r="E4" t="s">
        <v>199</v>
      </c>
    </row>
    <row r="5" spans="1:8">
      <c r="A5" s="49"/>
      <c r="B5" t="s">
        <v>2393</v>
      </c>
      <c r="C5" t="s">
        <v>2394</v>
      </c>
      <c r="D5" t="s">
        <v>196</v>
      </c>
      <c r="E5" t="s">
        <v>199</v>
      </c>
    </row>
    <row r="6" spans="1:8">
      <c r="A6" s="49"/>
      <c r="B6" t="s">
        <v>2395</v>
      </c>
      <c r="C6" t="s">
        <v>2396</v>
      </c>
      <c r="D6" t="s">
        <v>196</v>
      </c>
      <c r="E6" t="s">
        <v>199</v>
      </c>
    </row>
    <row r="7" spans="1:8" ht="15" customHeight="1">
      <c r="A7" s="49" t="s">
        <v>519</v>
      </c>
      <c r="B7" t="s">
        <v>2397</v>
      </c>
      <c r="C7" t="s">
        <v>2398</v>
      </c>
      <c r="D7" t="s">
        <v>196</v>
      </c>
      <c r="E7" t="s">
        <v>202</v>
      </c>
    </row>
    <row r="8" spans="1:8" ht="15" customHeight="1">
      <c r="A8" s="49"/>
      <c r="B8" t="s">
        <v>2399</v>
      </c>
      <c r="C8" t="s">
        <v>2400</v>
      </c>
      <c r="D8" t="s">
        <v>196</v>
      </c>
      <c r="E8" t="s">
        <v>202</v>
      </c>
    </row>
    <row r="9" spans="1:8" ht="15" customHeight="1">
      <c r="A9" s="49"/>
      <c r="B9" t="s">
        <v>2401</v>
      </c>
      <c r="C9" t="s">
        <v>2402</v>
      </c>
      <c r="D9" t="s">
        <v>196</v>
      </c>
      <c r="E9" t="s">
        <v>202</v>
      </c>
    </row>
    <row r="10" spans="1:8" ht="15" customHeight="1">
      <c r="A10" s="49"/>
      <c r="B10" t="s">
        <v>535</v>
      </c>
      <c r="C10" t="s">
        <v>534</v>
      </c>
      <c r="D10" t="s">
        <v>193</v>
      </c>
      <c r="F10" t="s">
        <v>193</v>
      </c>
    </row>
    <row r="11" spans="1:8" ht="15" customHeight="1">
      <c r="A11" s="49"/>
      <c r="B11" t="s">
        <v>530</v>
      </c>
      <c r="C11" t="s">
        <v>2403</v>
      </c>
      <c r="D11" t="s">
        <v>193</v>
      </c>
      <c r="F11" t="s">
        <v>193</v>
      </c>
    </row>
    <row r="12" spans="1:8" ht="15" customHeight="1">
      <c r="A12" s="49" t="s">
        <v>536</v>
      </c>
      <c r="B12" t="s">
        <v>2404</v>
      </c>
      <c r="C12" t="s">
        <v>1791</v>
      </c>
      <c r="D12" t="s">
        <v>196</v>
      </c>
      <c r="E12" t="s">
        <v>2012</v>
      </c>
    </row>
    <row r="13" spans="1:8">
      <c r="A13" s="49"/>
      <c r="B13" t="s">
        <v>2405</v>
      </c>
      <c r="C13" t="s">
        <v>2406</v>
      </c>
      <c r="D13" t="s">
        <v>196</v>
      </c>
      <c r="E13" t="s">
        <v>2012</v>
      </c>
    </row>
    <row r="14" spans="1:8">
      <c r="A14" s="49"/>
      <c r="B14" t="s">
        <v>2407</v>
      </c>
      <c r="C14" t="s">
        <v>2408</v>
      </c>
      <c r="D14" t="s">
        <v>196</v>
      </c>
      <c r="E14" t="s">
        <v>2012</v>
      </c>
    </row>
    <row r="15" spans="1:8">
      <c r="A15" s="49"/>
      <c r="B15" t="s">
        <v>2409</v>
      </c>
      <c r="C15" t="s">
        <v>2410</v>
      </c>
      <c r="D15" t="s">
        <v>196</v>
      </c>
      <c r="E15" t="s">
        <v>2012</v>
      </c>
    </row>
    <row r="16" spans="1:8" ht="16.350000000000001" customHeight="1">
      <c r="A16" s="49" t="s">
        <v>589</v>
      </c>
      <c r="B16" t="s">
        <v>2411</v>
      </c>
      <c r="C16" t="s">
        <v>2412</v>
      </c>
      <c r="D16" t="s">
        <v>196</v>
      </c>
      <c r="E16" t="s">
        <v>226</v>
      </c>
    </row>
    <row r="17" spans="1:8">
      <c r="A17" s="49"/>
      <c r="B17" t="s">
        <v>2413</v>
      </c>
      <c r="C17" t="s">
        <v>2414</v>
      </c>
      <c r="D17" t="s">
        <v>196</v>
      </c>
      <c r="E17" t="s">
        <v>226</v>
      </c>
    </row>
    <row r="18" spans="1:8" ht="15" customHeight="1">
      <c r="A18" s="3" t="s">
        <v>613</v>
      </c>
      <c r="B18" t="s">
        <v>941</v>
      </c>
      <c r="C18" t="s">
        <v>2415</v>
      </c>
      <c r="D18" t="s">
        <v>196</v>
      </c>
      <c r="E18" t="s">
        <v>231</v>
      </c>
    </row>
    <row r="19" spans="1:8" ht="15" customHeight="1">
      <c r="A19" s="49" t="s">
        <v>625</v>
      </c>
      <c r="B19" t="s">
        <v>639</v>
      </c>
      <c r="C19" t="s">
        <v>2416</v>
      </c>
      <c r="D19" t="s">
        <v>193</v>
      </c>
      <c r="F19" t="s">
        <v>193</v>
      </c>
    </row>
    <row r="20" spans="1:8">
      <c r="A20" s="49"/>
      <c r="B20" t="s">
        <v>2417</v>
      </c>
      <c r="C20" t="s">
        <v>2316</v>
      </c>
      <c r="D20" t="s">
        <v>196</v>
      </c>
      <c r="E20" t="s">
        <v>2121</v>
      </c>
    </row>
    <row r="21" spans="1:8">
      <c r="A21" s="49"/>
      <c r="B21" t="s">
        <v>2418</v>
      </c>
      <c r="C21" t="s">
        <v>2419</v>
      </c>
      <c r="D21" t="s">
        <v>196</v>
      </c>
      <c r="E21" t="s">
        <v>2121</v>
      </c>
    </row>
    <row r="22" spans="1:8">
      <c r="A22" s="49"/>
      <c r="B22" t="s">
        <v>2420</v>
      </c>
      <c r="C22" t="s">
        <v>2421</v>
      </c>
      <c r="D22" t="s">
        <v>196</v>
      </c>
      <c r="E22" t="s">
        <v>235</v>
      </c>
    </row>
    <row r="23" spans="1:8" ht="29.25" customHeight="1">
      <c r="A23" s="44" t="s">
        <v>657</v>
      </c>
      <c r="B23" t="s">
        <v>1017</v>
      </c>
      <c r="C23" t="s">
        <v>2422</v>
      </c>
      <c r="D23" t="s">
        <v>196</v>
      </c>
      <c r="E23" t="s">
        <v>240</v>
      </c>
    </row>
    <row r="24" spans="1:8">
      <c r="A24" s="44"/>
      <c r="B24" t="s">
        <v>2423</v>
      </c>
      <c r="C24" t="s">
        <v>2424</v>
      </c>
      <c r="D24" t="s">
        <v>193</v>
      </c>
      <c r="F24" t="s">
        <v>196</v>
      </c>
      <c r="G24" t="s">
        <v>114</v>
      </c>
      <c r="H24" t="s">
        <v>2425</v>
      </c>
    </row>
    <row r="25" spans="1:8">
      <c r="A25" s="44"/>
      <c r="B25" t="s">
        <v>2426</v>
      </c>
      <c r="C25" t="s">
        <v>2427</v>
      </c>
      <c r="D25" t="s">
        <v>193</v>
      </c>
      <c r="F25" t="s">
        <v>196</v>
      </c>
      <c r="G25" t="s">
        <v>114</v>
      </c>
      <c r="H25" t="s">
        <v>2425</v>
      </c>
    </row>
    <row r="26" spans="1:8">
      <c r="A26" s="44"/>
      <c r="B26" t="s">
        <v>2428</v>
      </c>
      <c r="C26" t="s">
        <v>2429</v>
      </c>
      <c r="D26" t="s">
        <v>193</v>
      </c>
      <c r="F26" t="s">
        <v>196</v>
      </c>
      <c r="G26" t="s">
        <v>114</v>
      </c>
      <c r="H26" t="s">
        <v>2425</v>
      </c>
    </row>
    <row r="27" spans="1:8" ht="15" customHeight="1">
      <c r="A27" s="49" t="s">
        <v>667</v>
      </c>
      <c r="B27" t="s">
        <v>2430</v>
      </c>
      <c r="C27" t="s">
        <v>2371</v>
      </c>
      <c r="D27" t="s">
        <v>196</v>
      </c>
      <c r="E27" t="s">
        <v>1220</v>
      </c>
    </row>
    <row r="28" spans="1:8">
      <c r="A28" s="49"/>
      <c r="B28" t="s">
        <v>2431</v>
      </c>
      <c r="C28" t="s">
        <v>2373</v>
      </c>
      <c r="D28" t="s">
        <v>196</v>
      </c>
      <c r="E28" t="s">
        <v>1220</v>
      </c>
    </row>
    <row r="29" spans="1:8">
      <c r="A29" s="49"/>
      <c r="B29" t="s">
        <v>2432</v>
      </c>
      <c r="C29" t="s">
        <v>2375</v>
      </c>
      <c r="D29" t="s">
        <v>196</v>
      </c>
      <c r="E29" t="s">
        <v>1220</v>
      </c>
    </row>
    <row r="30" spans="1:8" ht="15" customHeight="1">
      <c r="A30" s="49" t="s">
        <v>695</v>
      </c>
      <c r="B30" t="s">
        <v>1092</v>
      </c>
      <c r="C30" t="s">
        <v>2433</v>
      </c>
      <c r="D30" t="s">
        <v>196</v>
      </c>
      <c r="E30" t="s">
        <v>351</v>
      </c>
    </row>
    <row r="31" spans="1:8">
      <c r="A31" s="49"/>
      <c r="B31" t="s">
        <v>2434</v>
      </c>
      <c r="C31" t="s">
        <v>2435</v>
      </c>
      <c r="D31" t="s">
        <v>193</v>
      </c>
      <c r="F31" t="s">
        <v>196</v>
      </c>
      <c r="G31" t="s">
        <v>114</v>
      </c>
      <c r="H31" t="s">
        <v>1604</v>
      </c>
    </row>
    <row r="32" spans="1:8">
      <c r="A32" s="49"/>
      <c r="B32" t="s">
        <v>2436</v>
      </c>
      <c r="C32" t="s">
        <v>2437</v>
      </c>
      <c r="D32" t="s">
        <v>193</v>
      </c>
      <c r="F32" t="s">
        <v>196</v>
      </c>
      <c r="G32" t="s">
        <v>114</v>
      </c>
      <c r="H32" t="s">
        <v>1604</v>
      </c>
    </row>
    <row r="33" spans="1:8">
      <c r="A33" s="49"/>
      <c r="B33" t="s">
        <v>2438</v>
      </c>
      <c r="C33" t="s">
        <v>2439</v>
      </c>
      <c r="D33" t="s">
        <v>193</v>
      </c>
      <c r="F33" t="s">
        <v>196</v>
      </c>
      <c r="G33" t="s">
        <v>114</v>
      </c>
      <c r="H33" t="s">
        <v>1604</v>
      </c>
    </row>
    <row r="34" spans="1:8">
      <c r="A34" s="49"/>
      <c r="B34" t="s">
        <v>2440</v>
      </c>
      <c r="C34" t="s">
        <v>2441</v>
      </c>
      <c r="D34" t="s">
        <v>193</v>
      </c>
      <c r="F34" t="s">
        <v>196</v>
      </c>
      <c r="G34" t="s">
        <v>114</v>
      </c>
      <c r="H34" t="s">
        <v>1604</v>
      </c>
    </row>
    <row r="35" spans="1:8" ht="14.45" customHeight="1">
      <c r="B35" s="16" t="s">
        <v>261</v>
      </c>
      <c r="C35" s="16" t="s">
        <v>193</v>
      </c>
      <c r="D35" s="16">
        <f>COUNTIF(D2:D34,"No")</f>
        <v>10</v>
      </c>
      <c r="E35" s="16" t="s">
        <v>69</v>
      </c>
      <c r="F35" s="16">
        <f>COUNTIF(F2:F34,"Yes")</f>
        <v>7</v>
      </c>
    </row>
    <row r="36" spans="1:8" ht="14.45" customHeight="1">
      <c r="B36" s="6"/>
      <c r="C36" s="16" t="s">
        <v>196</v>
      </c>
      <c r="D36" s="16">
        <f>COUNTIF(D2:D34,"Yes")</f>
        <v>23</v>
      </c>
      <c r="E36" s="16" t="s">
        <v>70</v>
      </c>
      <c r="F36">
        <f>COUNTIFS(D:D,"Partial",F:F,"Yes")</f>
        <v>0</v>
      </c>
    </row>
    <row r="37" spans="1:8" ht="14.45" customHeight="1">
      <c r="B37" s="6"/>
      <c r="C37" s="16" t="s">
        <v>733</v>
      </c>
      <c r="D37" s="16">
        <f>COUNTIF(D2:D34,"Partial")</f>
        <v>0</v>
      </c>
      <c r="E37" s="10" t="s">
        <v>110</v>
      </c>
      <c r="F37">
        <f>COUNTIF($G$2:$G$34,E37)</f>
        <v>0</v>
      </c>
    </row>
    <row r="38" spans="1:8" ht="15">
      <c r="E38" s="10" t="s">
        <v>111</v>
      </c>
      <c r="F38">
        <f t="shared" ref="F38:F41" si="0">COUNTIF($G$2:$G$34,E38)</f>
        <v>0</v>
      </c>
    </row>
    <row r="39" spans="1:8" ht="15">
      <c r="E39" s="10" t="s">
        <v>112</v>
      </c>
      <c r="F39">
        <f t="shared" si="0"/>
        <v>0</v>
      </c>
    </row>
    <row r="40" spans="1:8" ht="15">
      <c r="E40" s="10" t="s">
        <v>480</v>
      </c>
      <c r="F40">
        <f t="shared" si="0"/>
        <v>0</v>
      </c>
    </row>
    <row r="41" spans="1:8" ht="15">
      <c r="E41" s="10" t="s">
        <v>114</v>
      </c>
      <c r="F41">
        <f t="shared" si="0"/>
        <v>7</v>
      </c>
    </row>
    <row r="42" spans="1:8" ht="15"/>
    <row r="43" spans="1:8" ht="15">
      <c r="E43" s="16" t="s">
        <v>1175</v>
      </c>
      <c r="F43" s="16">
        <f>COUNTIF(F2:F34,"No")</f>
        <v>3</v>
      </c>
    </row>
    <row r="73" spans="27:27">
      <c r="AA73" t="s">
        <v>709</v>
      </c>
    </row>
  </sheetData>
  <mergeCells count="8">
    <mergeCell ref="A23:A26"/>
    <mergeCell ref="A27:A29"/>
    <mergeCell ref="A30:A34"/>
    <mergeCell ref="A3:A6"/>
    <mergeCell ref="A7:A11"/>
    <mergeCell ref="A12:A15"/>
    <mergeCell ref="A16:A17"/>
    <mergeCell ref="A19:A22"/>
  </mergeCells>
  <conditionalFormatting sqref="D2:D34">
    <cfRule type="containsText" dxfId="61" priority="4" operator="containsText" text="Partial">
      <formula>NOT(ISERROR(SEARCH("Partial",D2)))</formula>
    </cfRule>
    <cfRule type="containsText" dxfId="60" priority="5" operator="containsText" text="No">
      <formula>NOT(ISERROR(SEARCH("No",D2)))</formula>
    </cfRule>
    <cfRule type="containsText" dxfId="59" priority="6" operator="containsText" text="Yes">
      <formula>NOT(ISERROR(SEARCH("Yes",D2)))</formula>
    </cfRule>
  </conditionalFormatting>
  <conditionalFormatting sqref="F2:F34">
    <cfRule type="containsText" dxfId="58" priority="2" operator="containsText" text="No">
      <formula>NOT(ISERROR(SEARCH("No",F2)))</formula>
    </cfRule>
    <cfRule type="containsText" dxfId="57" priority="3" operator="containsText" text="Yes">
      <formula>NOT(ISERROR(SEARCH("Yes",F2)))</formula>
    </cfRule>
  </conditionalFormatting>
  <conditionalFormatting sqref="G2:G108">
    <cfRule type="containsText" dxfId="56" priority="7" operator="containsText" text="No">
      <formula>NOT(ISERROR(SEARCH("No",G2)))</formula>
    </cfRule>
    <cfRule type="containsText" dxfId="55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4" xr:uid="{00000000-0002-0000-1F00-000000000000}">
      <formula1>"Yes,No,Partial"</formula1>
      <formula2>0</formula2>
    </dataValidation>
    <dataValidation type="list" operator="equal" allowBlank="1" showInputMessage="1" showErrorMessage="1" sqref="F2:F34" xr:uid="{00000000-0002-0000-1F00-000001000000}">
      <formula1>"Yes,No"</formula1>
      <formula2>0</formula2>
    </dataValidation>
    <dataValidation operator="equal" allowBlank="1" showInputMessage="1" showErrorMessage="1" sqref="G2:G108" xr:uid="{00000000-0002-0000-1F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A73"/>
  <sheetViews>
    <sheetView zoomScale="85" zoomScaleNormal="85" workbookViewId="0">
      <selection activeCell="E41" sqref="E41:F4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39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2442</v>
      </c>
      <c r="C2" t="s">
        <v>2443</v>
      </c>
      <c r="D2" t="s">
        <v>196</v>
      </c>
      <c r="E2" t="s">
        <v>191</v>
      </c>
    </row>
    <row r="3" spans="1:8" ht="15" customHeight="1">
      <c r="A3" s="49"/>
      <c r="B3" t="s">
        <v>2444</v>
      </c>
      <c r="C3" t="s">
        <v>2445</v>
      </c>
      <c r="D3" t="s">
        <v>196</v>
      </c>
      <c r="E3" t="s">
        <v>191</v>
      </c>
    </row>
    <row r="4" spans="1:8" ht="15" customHeight="1">
      <c r="A4" s="49"/>
      <c r="B4" t="s">
        <v>2446</v>
      </c>
      <c r="C4" t="s">
        <v>2447</v>
      </c>
      <c r="D4" t="s">
        <v>196</v>
      </c>
      <c r="E4" t="s">
        <v>191</v>
      </c>
    </row>
    <row r="5" spans="1:8" ht="15" customHeight="1">
      <c r="A5" s="49" t="s">
        <v>513</v>
      </c>
      <c r="B5" t="s">
        <v>2448</v>
      </c>
      <c r="C5" t="s">
        <v>2212</v>
      </c>
      <c r="D5" t="s">
        <v>193</v>
      </c>
      <c r="F5" t="s">
        <v>196</v>
      </c>
      <c r="G5" t="s">
        <v>114</v>
      </c>
      <c r="H5" t="s">
        <v>2449</v>
      </c>
    </row>
    <row r="6" spans="1:8">
      <c r="A6" s="49"/>
      <c r="B6" t="s">
        <v>2450</v>
      </c>
      <c r="C6" t="s">
        <v>2451</v>
      </c>
      <c r="D6" t="s">
        <v>193</v>
      </c>
      <c r="F6" t="s">
        <v>196</v>
      </c>
      <c r="G6" t="s">
        <v>114</v>
      </c>
      <c r="H6" t="s">
        <v>2449</v>
      </c>
    </row>
    <row r="7" spans="1:8">
      <c r="A7" s="49"/>
      <c r="B7" t="s">
        <v>2452</v>
      </c>
      <c r="C7" t="s">
        <v>2453</v>
      </c>
      <c r="D7" t="s">
        <v>193</v>
      </c>
      <c r="F7" t="s">
        <v>196</v>
      </c>
      <c r="G7" t="s">
        <v>114</v>
      </c>
      <c r="H7" t="s">
        <v>2449</v>
      </c>
    </row>
    <row r="8" spans="1:8">
      <c r="A8" s="49"/>
      <c r="B8" t="s">
        <v>2454</v>
      </c>
      <c r="C8" t="s">
        <v>2455</v>
      </c>
      <c r="D8" t="s">
        <v>193</v>
      </c>
      <c r="F8" t="s">
        <v>196</v>
      </c>
      <c r="G8" t="s">
        <v>114</v>
      </c>
      <c r="H8" t="s">
        <v>2449</v>
      </c>
    </row>
    <row r="9" spans="1:8">
      <c r="A9" s="49"/>
      <c r="B9" t="s">
        <v>2456</v>
      </c>
      <c r="C9" t="s">
        <v>2457</v>
      </c>
      <c r="D9" t="s">
        <v>193</v>
      </c>
      <c r="F9" t="s">
        <v>196</v>
      </c>
      <c r="G9" t="s">
        <v>114</v>
      </c>
      <c r="H9" t="s">
        <v>2449</v>
      </c>
    </row>
    <row r="10" spans="1:8" ht="15" customHeight="1">
      <c r="A10" s="49" t="s">
        <v>519</v>
      </c>
      <c r="B10" t="s">
        <v>2458</v>
      </c>
      <c r="C10" t="s">
        <v>2219</v>
      </c>
      <c r="D10" t="s">
        <v>196</v>
      </c>
      <c r="E10" t="s">
        <v>202</v>
      </c>
    </row>
    <row r="11" spans="1:8" ht="15" customHeight="1">
      <c r="A11" s="49"/>
      <c r="B11" t="s">
        <v>2459</v>
      </c>
      <c r="C11" t="s">
        <v>2221</v>
      </c>
      <c r="D11" t="s">
        <v>196</v>
      </c>
      <c r="E11" t="s">
        <v>202</v>
      </c>
    </row>
    <row r="12" spans="1:8" ht="15" customHeight="1">
      <c r="A12" s="49"/>
      <c r="B12" t="s">
        <v>2460</v>
      </c>
      <c r="C12" t="s">
        <v>2223</v>
      </c>
      <c r="D12" t="s">
        <v>196</v>
      </c>
      <c r="E12" t="s">
        <v>202</v>
      </c>
    </row>
    <row r="13" spans="1:8" ht="15" customHeight="1">
      <c r="A13" s="49" t="s">
        <v>536</v>
      </c>
      <c r="B13" t="s">
        <v>881</v>
      </c>
      <c r="C13" t="s">
        <v>2461</v>
      </c>
      <c r="D13" t="s">
        <v>196</v>
      </c>
      <c r="E13" t="s">
        <v>2012</v>
      </c>
    </row>
    <row r="14" spans="1:8">
      <c r="A14" s="49"/>
      <c r="B14" t="s">
        <v>890</v>
      </c>
      <c r="C14" t="s">
        <v>1369</v>
      </c>
      <c r="D14" t="s">
        <v>196</v>
      </c>
      <c r="E14" t="s">
        <v>221</v>
      </c>
    </row>
    <row r="15" spans="1:8">
      <c r="A15" s="49"/>
      <c r="B15" t="s">
        <v>2462</v>
      </c>
      <c r="C15" t="s">
        <v>2463</v>
      </c>
      <c r="D15" t="s">
        <v>196</v>
      </c>
      <c r="E15" t="s">
        <v>1149</v>
      </c>
    </row>
    <row r="16" spans="1:8" ht="16.350000000000001" customHeight="1">
      <c r="A16" s="49" t="s">
        <v>589</v>
      </c>
      <c r="B16" t="s">
        <v>2464</v>
      </c>
      <c r="C16" t="s">
        <v>2465</v>
      </c>
      <c r="D16" t="s">
        <v>196</v>
      </c>
      <c r="E16" t="s">
        <v>226</v>
      </c>
    </row>
    <row r="17" spans="1:8">
      <c r="A17" s="49"/>
      <c r="B17" t="s">
        <v>2466</v>
      </c>
      <c r="C17" t="s">
        <v>2467</v>
      </c>
      <c r="D17" t="s">
        <v>196</v>
      </c>
      <c r="E17" t="s">
        <v>226</v>
      </c>
    </row>
    <row r="18" spans="1:8">
      <c r="A18" s="49"/>
      <c r="B18" t="s">
        <v>2468</v>
      </c>
      <c r="C18" t="s">
        <v>2469</v>
      </c>
      <c r="D18" t="s">
        <v>196</v>
      </c>
      <c r="E18" t="s">
        <v>226</v>
      </c>
    </row>
    <row r="19" spans="1:8">
      <c r="A19" s="49"/>
      <c r="B19" t="s">
        <v>2470</v>
      </c>
      <c r="C19" t="s">
        <v>2471</v>
      </c>
      <c r="D19" t="s">
        <v>196</v>
      </c>
      <c r="E19" t="s">
        <v>226</v>
      </c>
    </row>
    <row r="20" spans="1:8" ht="15" customHeight="1">
      <c r="A20" s="44" t="s">
        <v>613</v>
      </c>
      <c r="B20" t="s">
        <v>2472</v>
      </c>
      <c r="C20" t="s">
        <v>2239</v>
      </c>
      <c r="D20" t="s">
        <v>196</v>
      </c>
      <c r="E20" t="s">
        <v>231</v>
      </c>
    </row>
    <row r="21" spans="1:8">
      <c r="A21" s="44"/>
      <c r="B21" t="s">
        <v>2473</v>
      </c>
      <c r="C21" t="s">
        <v>2474</v>
      </c>
      <c r="D21" t="s">
        <v>196</v>
      </c>
      <c r="E21" t="s">
        <v>231</v>
      </c>
    </row>
    <row r="22" spans="1:8" ht="15" customHeight="1">
      <c r="A22" s="49" t="s">
        <v>625</v>
      </c>
      <c r="B22" t="s">
        <v>2475</v>
      </c>
      <c r="C22" t="s">
        <v>2476</v>
      </c>
      <c r="D22" t="s">
        <v>196</v>
      </c>
      <c r="E22" t="s">
        <v>2121</v>
      </c>
    </row>
    <row r="23" spans="1:8">
      <c r="A23" s="49"/>
      <c r="B23" t="s">
        <v>640</v>
      </c>
      <c r="C23" t="s">
        <v>2477</v>
      </c>
      <c r="D23" t="s">
        <v>193</v>
      </c>
      <c r="F23" t="s">
        <v>193</v>
      </c>
    </row>
    <row r="24" spans="1:8">
      <c r="A24" s="49"/>
      <c r="B24" t="s">
        <v>2478</v>
      </c>
      <c r="C24" t="s">
        <v>2479</v>
      </c>
      <c r="D24" t="s">
        <v>196</v>
      </c>
      <c r="E24" t="s">
        <v>2121</v>
      </c>
    </row>
    <row r="25" spans="1:8">
      <c r="A25" s="49"/>
      <c r="B25" t="s">
        <v>2480</v>
      </c>
      <c r="C25" t="s">
        <v>2481</v>
      </c>
      <c r="D25" t="s">
        <v>196</v>
      </c>
      <c r="E25" t="s">
        <v>2121</v>
      </c>
    </row>
    <row r="26" spans="1:8" ht="29.25" customHeight="1">
      <c r="A26" s="44" t="s">
        <v>657</v>
      </c>
      <c r="B26" t="s">
        <v>1018</v>
      </c>
      <c r="C26" t="s">
        <v>2482</v>
      </c>
      <c r="D26" t="s">
        <v>196</v>
      </c>
      <c r="E26" t="s">
        <v>240</v>
      </c>
    </row>
    <row r="27" spans="1:8">
      <c r="A27" s="44"/>
      <c r="B27" t="s">
        <v>2483</v>
      </c>
      <c r="C27" t="s">
        <v>2484</v>
      </c>
      <c r="D27" t="s">
        <v>193</v>
      </c>
      <c r="F27" t="s">
        <v>196</v>
      </c>
      <c r="G27" t="s">
        <v>114</v>
      </c>
      <c r="H27" t="s">
        <v>2425</v>
      </c>
    </row>
    <row r="28" spans="1:8">
      <c r="A28" s="44"/>
      <c r="B28" t="s">
        <v>2485</v>
      </c>
      <c r="C28" t="s">
        <v>2486</v>
      </c>
      <c r="D28" t="s">
        <v>193</v>
      </c>
      <c r="F28" t="s">
        <v>196</v>
      </c>
      <c r="G28" t="s">
        <v>114</v>
      </c>
      <c r="H28" t="s">
        <v>2425</v>
      </c>
    </row>
    <row r="29" spans="1:8">
      <c r="A29" s="44"/>
      <c r="B29" t="s">
        <v>2487</v>
      </c>
      <c r="C29" t="s">
        <v>2488</v>
      </c>
      <c r="D29" t="s">
        <v>193</v>
      </c>
      <c r="F29" t="s">
        <v>196</v>
      </c>
      <c r="G29" t="s">
        <v>114</v>
      </c>
      <c r="H29" t="s">
        <v>2425</v>
      </c>
    </row>
    <row r="30" spans="1:8">
      <c r="A30" s="44"/>
      <c r="B30" t="s">
        <v>2489</v>
      </c>
      <c r="C30" t="s">
        <v>2490</v>
      </c>
      <c r="D30" t="s">
        <v>193</v>
      </c>
      <c r="F30" t="s">
        <v>196</v>
      </c>
      <c r="G30" t="s">
        <v>114</v>
      </c>
      <c r="H30" t="s">
        <v>2425</v>
      </c>
    </row>
    <row r="31" spans="1:8" ht="15" customHeight="1">
      <c r="A31" s="49" t="s">
        <v>667</v>
      </c>
      <c r="B31" t="s">
        <v>1075</v>
      </c>
      <c r="C31" t="s">
        <v>2491</v>
      </c>
      <c r="D31" t="s">
        <v>196</v>
      </c>
      <c r="E31" t="s">
        <v>248</v>
      </c>
    </row>
    <row r="32" spans="1:8">
      <c r="A32" s="49"/>
      <c r="B32" t="s">
        <v>683</v>
      </c>
      <c r="C32" t="s">
        <v>2492</v>
      </c>
      <c r="D32" t="s">
        <v>193</v>
      </c>
      <c r="F32" t="s">
        <v>193</v>
      </c>
    </row>
    <row r="33" spans="1:8">
      <c r="A33" s="49"/>
      <c r="B33" t="s">
        <v>1044</v>
      </c>
      <c r="C33" t="s">
        <v>2493</v>
      </c>
      <c r="D33" t="s">
        <v>196</v>
      </c>
      <c r="E33" t="s">
        <v>246</v>
      </c>
    </row>
    <row r="34" spans="1:8" ht="15" customHeight="1">
      <c r="A34" s="49" t="s">
        <v>695</v>
      </c>
      <c r="B34" t="s">
        <v>1093</v>
      </c>
      <c r="C34" t="s">
        <v>2494</v>
      </c>
      <c r="D34" t="s">
        <v>196</v>
      </c>
      <c r="E34" t="s">
        <v>351</v>
      </c>
    </row>
    <row r="35" spans="1:8">
      <c r="A35" s="49"/>
      <c r="B35" t="s">
        <v>2495</v>
      </c>
      <c r="C35" t="s">
        <v>2496</v>
      </c>
      <c r="D35" t="s">
        <v>193</v>
      </c>
      <c r="F35" t="s">
        <v>196</v>
      </c>
      <c r="G35" t="s">
        <v>114</v>
      </c>
      <c r="H35" t="s">
        <v>1604</v>
      </c>
    </row>
    <row r="36" spans="1:8">
      <c r="A36" s="49"/>
      <c r="B36" t="s">
        <v>2497</v>
      </c>
      <c r="C36" t="s">
        <v>2498</v>
      </c>
      <c r="D36" t="s">
        <v>193</v>
      </c>
      <c r="F36" t="s">
        <v>196</v>
      </c>
      <c r="G36" t="s">
        <v>114</v>
      </c>
      <c r="H36" t="s">
        <v>1604</v>
      </c>
    </row>
    <row r="37" spans="1:8">
      <c r="A37" s="49"/>
      <c r="B37" t="s">
        <v>2499</v>
      </c>
      <c r="C37" t="s">
        <v>2500</v>
      </c>
      <c r="D37" t="s">
        <v>193</v>
      </c>
      <c r="F37" t="s">
        <v>196</v>
      </c>
      <c r="G37" t="s">
        <v>114</v>
      </c>
      <c r="H37" t="s">
        <v>1604</v>
      </c>
    </row>
    <row r="38" spans="1:8">
      <c r="A38" s="49"/>
      <c r="B38" t="s">
        <v>2501</v>
      </c>
      <c r="C38" t="s">
        <v>2502</v>
      </c>
      <c r="D38" t="s">
        <v>193</v>
      </c>
      <c r="F38" t="s">
        <v>196</v>
      </c>
      <c r="G38" t="s">
        <v>114</v>
      </c>
      <c r="H38" t="s">
        <v>1604</v>
      </c>
    </row>
    <row r="39" spans="1:8">
      <c r="A39" s="49"/>
      <c r="B39" t="s">
        <v>1110</v>
      </c>
      <c r="C39" t="s">
        <v>2503</v>
      </c>
      <c r="D39" t="s">
        <v>196</v>
      </c>
      <c r="E39" t="s">
        <v>253</v>
      </c>
    </row>
    <row r="40" spans="1:8" ht="14.45" customHeight="1">
      <c r="B40" s="16" t="s">
        <v>261</v>
      </c>
      <c r="C40" s="16" t="s">
        <v>193</v>
      </c>
      <c r="D40" s="16">
        <f>COUNTIF(D2:D39,"No")</f>
        <v>15</v>
      </c>
      <c r="E40" s="16" t="s">
        <v>69</v>
      </c>
      <c r="F40" s="16">
        <f>COUNTIF(F2:F39,"Yes")</f>
        <v>13</v>
      </c>
    </row>
    <row r="41" spans="1:8" ht="14.45" customHeight="1">
      <c r="B41" s="6"/>
      <c r="C41" s="16" t="s">
        <v>196</v>
      </c>
      <c r="D41" s="16">
        <f>COUNTIF(D2:D39,"Yes")</f>
        <v>23</v>
      </c>
      <c r="E41" s="16" t="s">
        <v>70</v>
      </c>
      <c r="F41">
        <f>COUNTIFS(D:D,"Partial",F:F,"Yes")</f>
        <v>0</v>
      </c>
    </row>
    <row r="42" spans="1:8" ht="14.45" customHeight="1">
      <c r="B42" s="6"/>
      <c r="C42" s="16" t="s">
        <v>733</v>
      </c>
      <c r="D42" s="16">
        <f>COUNTIF(D2:D39,"Partial")</f>
        <v>0</v>
      </c>
      <c r="E42" s="10" t="s">
        <v>110</v>
      </c>
      <c r="F42">
        <f>COUNTIF($G$2:$G$39,E42)</f>
        <v>0</v>
      </c>
    </row>
    <row r="43" spans="1:8" ht="15">
      <c r="E43" s="10" t="s">
        <v>111</v>
      </c>
      <c r="F43">
        <f t="shared" ref="F43:F46" si="0">COUNTIF($G$2:$G$39,E43)</f>
        <v>0</v>
      </c>
    </row>
    <row r="44" spans="1:8" ht="15">
      <c r="E44" s="10" t="s">
        <v>112</v>
      </c>
      <c r="F44">
        <f t="shared" si="0"/>
        <v>0</v>
      </c>
    </row>
    <row r="45" spans="1:8" ht="15">
      <c r="E45" s="10" t="s">
        <v>480</v>
      </c>
      <c r="F45">
        <f t="shared" si="0"/>
        <v>0</v>
      </c>
    </row>
    <row r="46" spans="1:8" ht="15">
      <c r="E46" s="10" t="s">
        <v>114</v>
      </c>
      <c r="F46">
        <f t="shared" si="0"/>
        <v>13</v>
      </c>
    </row>
    <row r="47" spans="1:8" ht="15"/>
    <row r="48" spans="1:8" ht="15">
      <c r="E48" s="16" t="s">
        <v>1175</v>
      </c>
      <c r="F48" s="16">
        <f>COUNTIF(F2:F39,"No")</f>
        <v>2</v>
      </c>
    </row>
    <row r="73" spans="27:27">
      <c r="AA73" t="s">
        <v>709</v>
      </c>
    </row>
  </sheetData>
  <mergeCells count="10">
    <mergeCell ref="A2:A4"/>
    <mergeCell ref="A5:A9"/>
    <mergeCell ref="A10:A12"/>
    <mergeCell ref="A13:A15"/>
    <mergeCell ref="A16:A19"/>
    <mergeCell ref="A20:A21"/>
    <mergeCell ref="A22:A25"/>
    <mergeCell ref="A26:A30"/>
    <mergeCell ref="A31:A33"/>
    <mergeCell ref="A34:A39"/>
  </mergeCells>
  <conditionalFormatting sqref="D2:D39">
    <cfRule type="containsText" dxfId="54" priority="4" operator="containsText" text="Partial">
      <formula>NOT(ISERROR(SEARCH("Partial",D2)))</formula>
    </cfRule>
    <cfRule type="containsText" dxfId="53" priority="5" operator="containsText" text="No">
      <formula>NOT(ISERROR(SEARCH("No",D2)))</formula>
    </cfRule>
    <cfRule type="containsText" dxfId="52" priority="6" operator="containsText" text="Yes">
      <formula>NOT(ISERROR(SEARCH("Yes",D2)))</formula>
    </cfRule>
  </conditionalFormatting>
  <conditionalFormatting sqref="F2:F39">
    <cfRule type="containsText" dxfId="51" priority="2" operator="containsText" text="No">
      <formula>NOT(ISERROR(SEARCH("No",F2)))</formula>
    </cfRule>
    <cfRule type="containsText" dxfId="50" priority="3" operator="containsText" text="Yes">
      <formula>NOT(ISERROR(SEARCH("Yes",F2)))</formula>
    </cfRule>
  </conditionalFormatting>
  <conditionalFormatting sqref="G2:G108">
    <cfRule type="containsText" dxfId="49" priority="7" operator="containsText" text="No">
      <formula>NOT(ISERROR(SEARCH("No",G2)))</formula>
    </cfRule>
    <cfRule type="containsText" dxfId="48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2000-000000000000}">
      <formula1>"Yes,No,Partial"</formula1>
      <formula2>0</formula2>
    </dataValidation>
    <dataValidation type="list" operator="equal" allowBlank="1" showInputMessage="1" showErrorMessage="1" sqref="F2:F39" xr:uid="{00000000-0002-0000-2000-000001000000}">
      <formula1>"Yes,No"</formula1>
      <formula2>0</formula2>
    </dataValidation>
    <dataValidation operator="equal" allowBlank="1" showInputMessage="1" showErrorMessage="1" sqref="G2:G108" xr:uid="{00000000-0002-0000-20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A73"/>
  <sheetViews>
    <sheetView zoomScale="85" zoomScaleNormal="85" workbookViewId="0">
      <selection activeCell="E26" sqref="E26:F26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5" t="s">
        <v>504</v>
      </c>
      <c r="B1" s="7" t="s">
        <v>2504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755</v>
      </c>
      <c r="C2" t="s">
        <v>2505</v>
      </c>
      <c r="D2" t="s">
        <v>196</v>
      </c>
      <c r="E2" t="s">
        <v>191</v>
      </c>
      <c r="H2" t="s">
        <v>2506</v>
      </c>
    </row>
    <row r="3" spans="1:8" ht="15" customHeight="1">
      <c r="A3" s="49" t="s">
        <v>513</v>
      </c>
      <c r="B3" t="s">
        <v>2507</v>
      </c>
      <c r="C3" t="s">
        <v>2508</v>
      </c>
      <c r="D3" t="s">
        <v>196</v>
      </c>
      <c r="E3" t="s">
        <v>199</v>
      </c>
    </row>
    <row r="4" spans="1:8">
      <c r="A4" s="49"/>
      <c r="B4" t="s">
        <v>423</v>
      </c>
      <c r="C4" t="s">
        <v>2509</v>
      </c>
      <c r="D4" t="s">
        <v>193</v>
      </c>
      <c r="F4" t="s">
        <v>196</v>
      </c>
      <c r="G4" t="s">
        <v>110</v>
      </c>
      <c r="H4" t="s">
        <v>2510</v>
      </c>
    </row>
    <row r="5" spans="1:8">
      <c r="A5" s="49"/>
      <c r="B5" t="s">
        <v>2511</v>
      </c>
      <c r="C5" t="s">
        <v>2512</v>
      </c>
      <c r="D5" t="s">
        <v>196</v>
      </c>
      <c r="E5" t="s">
        <v>199</v>
      </c>
    </row>
    <row r="6" spans="1:8" ht="15" customHeight="1">
      <c r="A6" s="4" t="s">
        <v>519</v>
      </c>
      <c r="B6" t="s">
        <v>808</v>
      </c>
      <c r="C6" t="s">
        <v>2513</v>
      </c>
      <c r="D6" t="s">
        <v>196</v>
      </c>
      <c r="E6" t="s">
        <v>2514</v>
      </c>
    </row>
    <row r="7" spans="1:8" ht="15" customHeight="1">
      <c r="A7" s="49" t="s">
        <v>536</v>
      </c>
      <c r="B7" t="s">
        <v>428</v>
      </c>
      <c r="C7" t="s">
        <v>2515</v>
      </c>
      <c r="D7" t="s">
        <v>193</v>
      </c>
      <c r="F7" t="s">
        <v>196</v>
      </c>
      <c r="G7" t="s">
        <v>110</v>
      </c>
    </row>
    <row r="8" spans="1:8">
      <c r="A8" s="49"/>
      <c r="B8" t="s">
        <v>429</v>
      </c>
      <c r="C8" t="s">
        <v>2516</v>
      </c>
      <c r="D8" t="s">
        <v>193</v>
      </c>
      <c r="F8" t="s">
        <v>196</v>
      </c>
      <c r="G8" t="s">
        <v>110</v>
      </c>
    </row>
    <row r="9" spans="1:8">
      <c r="A9" s="49"/>
      <c r="B9" t="s">
        <v>581</v>
      </c>
      <c r="C9" t="s">
        <v>580</v>
      </c>
      <c r="D9" t="s">
        <v>193</v>
      </c>
      <c r="F9" t="s">
        <v>193</v>
      </c>
    </row>
    <row r="10" spans="1:8" ht="16.350000000000001" customHeight="1">
      <c r="A10" s="49" t="s">
        <v>589</v>
      </c>
      <c r="B10" t="s">
        <v>913</v>
      </c>
      <c r="C10" t="s">
        <v>2517</v>
      </c>
      <c r="D10" t="s">
        <v>196</v>
      </c>
      <c r="E10" t="s">
        <v>226</v>
      </c>
    </row>
    <row r="11" spans="1:8">
      <c r="A11" s="49"/>
      <c r="B11" t="s">
        <v>922</v>
      </c>
      <c r="C11" t="s">
        <v>2518</v>
      </c>
      <c r="D11" t="s">
        <v>196</v>
      </c>
      <c r="E11" t="s">
        <v>288</v>
      </c>
    </row>
    <row r="12" spans="1:8" ht="15" customHeight="1">
      <c r="A12" s="44" t="s">
        <v>613</v>
      </c>
      <c r="B12" t="s">
        <v>943</v>
      </c>
      <c r="C12" t="s">
        <v>2519</v>
      </c>
      <c r="D12" t="s">
        <v>196</v>
      </c>
      <c r="E12" t="s">
        <v>231</v>
      </c>
    </row>
    <row r="13" spans="1:8">
      <c r="A13" s="44"/>
      <c r="B13" t="s">
        <v>623</v>
      </c>
      <c r="C13" t="s">
        <v>621</v>
      </c>
      <c r="D13" t="s">
        <v>193</v>
      </c>
      <c r="F13" t="s">
        <v>193</v>
      </c>
    </row>
    <row r="14" spans="1:8">
      <c r="A14" s="44"/>
      <c r="B14" t="s">
        <v>434</v>
      </c>
      <c r="C14" t="s">
        <v>2520</v>
      </c>
      <c r="D14" t="s">
        <v>193</v>
      </c>
      <c r="F14" t="s">
        <v>196</v>
      </c>
      <c r="G14" t="s">
        <v>110</v>
      </c>
    </row>
    <row r="15" spans="1:8" ht="15" customHeight="1">
      <c r="A15" s="49" t="s">
        <v>625</v>
      </c>
      <c r="B15" t="s">
        <v>971</v>
      </c>
      <c r="C15" t="s">
        <v>2521</v>
      </c>
      <c r="D15" t="s">
        <v>196</v>
      </c>
      <c r="E15" t="s">
        <v>233</v>
      </c>
    </row>
    <row r="16" spans="1:8">
      <c r="A16" s="49"/>
      <c r="B16" t="s">
        <v>988</v>
      </c>
      <c r="C16" t="s">
        <v>2522</v>
      </c>
      <c r="D16" t="s">
        <v>196</v>
      </c>
      <c r="E16" t="s">
        <v>1339</v>
      </c>
    </row>
    <row r="17" spans="1:7" ht="29.1">
      <c r="A17" s="3" t="s">
        <v>657</v>
      </c>
      <c r="B17" t="s">
        <v>1019</v>
      </c>
      <c r="C17" t="s">
        <v>2523</v>
      </c>
      <c r="D17" t="s">
        <v>196</v>
      </c>
      <c r="E17" t="s">
        <v>240</v>
      </c>
    </row>
    <row r="18" spans="1:7" ht="15" customHeight="1">
      <c r="A18" s="49" t="s">
        <v>667</v>
      </c>
      <c r="B18" t="s">
        <v>1076</v>
      </c>
      <c r="C18" t="s">
        <v>2524</v>
      </c>
      <c r="D18" t="s">
        <v>196</v>
      </c>
      <c r="E18" t="s">
        <v>248</v>
      </c>
    </row>
    <row r="19" spans="1:7">
      <c r="A19" s="49"/>
      <c r="B19" t="s">
        <v>684</v>
      </c>
      <c r="C19" t="s">
        <v>2525</v>
      </c>
      <c r="D19" t="s">
        <v>193</v>
      </c>
      <c r="F19" t="s">
        <v>193</v>
      </c>
    </row>
    <row r="20" spans="1:7">
      <c r="A20" s="49"/>
      <c r="B20" t="s">
        <v>694</v>
      </c>
      <c r="C20" t="s">
        <v>691</v>
      </c>
      <c r="D20" t="s">
        <v>193</v>
      </c>
      <c r="F20" t="s">
        <v>193</v>
      </c>
    </row>
    <row r="21" spans="1:7">
      <c r="A21" s="49"/>
      <c r="B21" t="s">
        <v>1045</v>
      </c>
      <c r="C21" t="s">
        <v>2526</v>
      </c>
      <c r="D21" t="s">
        <v>196</v>
      </c>
      <c r="E21" t="s">
        <v>246</v>
      </c>
    </row>
    <row r="22" spans="1:7" ht="15" customHeight="1">
      <c r="A22" s="49" t="s">
        <v>695</v>
      </c>
      <c r="B22" t="s">
        <v>2527</v>
      </c>
      <c r="C22" t="s">
        <v>2528</v>
      </c>
      <c r="D22" t="s">
        <v>193</v>
      </c>
      <c r="F22" t="s">
        <v>196</v>
      </c>
      <c r="G22" t="s">
        <v>114</v>
      </c>
    </row>
    <row r="23" spans="1:7">
      <c r="A23" s="49"/>
      <c r="B23" t="s">
        <v>708</v>
      </c>
      <c r="C23" t="s">
        <v>2529</v>
      </c>
      <c r="D23" t="s">
        <v>733</v>
      </c>
      <c r="E23" t="s">
        <v>253</v>
      </c>
      <c r="F23" t="s">
        <v>193</v>
      </c>
    </row>
    <row r="24" spans="1:7">
      <c r="A24" s="49"/>
      <c r="B24" t="s">
        <v>1121</v>
      </c>
      <c r="C24" t="s">
        <v>2530</v>
      </c>
      <c r="D24" t="s">
        <v>196</v>
      </c>
      <c r="E24" t="s">
        <v>254</v>
      </c>
    </row>
    <row r="25" spans="1:7" ht="14.45" customHeight="1">
      <c r="B25" s="16" t="s">
        <v>261</v>
      </c>
      <c r="C25" s="16" t="s">
        <v>193</v>
      </c>
      <c r="D25" s="16">
        <f>COUNTIF(D2:D24,"No")</f>
        <v>9</v>
      </c>
      <c r="E25" s="16" t="s">
        <v>69</v>
      </c>
      <c r="F25" s="16">
        <f>COUNTIF(F2:F24,"Yes")</f>
        <v>5</v>
      </c>
    </row>
    <row r="26" spans="1:7" ht="14.45" customHeight="1">
      <c r="B26" s="6"/>
      <c r="C26" s="16" t="s">
        <v>196</v>
      </c>
      <c r="D26" s="16">
        <f>COUNTIF(D2:D24,"Yes")</f>
        <v>13</v>
      </c>
      <c r="E26" s="16" t="s">
        <v>70</v>
      </c>
      <c r="F26">
        <f>COUNTIFS(D:D,"Partial",F:F,"Yes")</f>
        <v>0</v>
      </c>
    </row>
    <row r="27" spans="1:7" ht="14.45" customHeight="1">
      <c r="B27" s="6"/>
      <c r="C27" s="16" t="s">
        <v>733</v>
      </c>
      <c r="D27" s="16">
        <f>COUNTIF(D2:D24,"Partial")</f>
        <v>1</v>
      </c>
      <c r="E27" s="10" t="s">
        <v>110</v>
      </c>
      <c r="F27">
        <f>COUNTIF($G$2:$G$24,E27)</f>
        <v>4</v>
      </c>
    </row>
    <row r="28" spans="1:7" ht="15">
      <c r="E28" s="10" t="s">
        <v>111</v>
      </c>
      <c r="F28">
        <f t="shared" ref="F28:F31" si="0">COUNTIF($G$2:$G$24,E28)</f>
        <v>0</v>
      </c>
    </row>
    <row r="29" spans="1:7" ht="15">
      <c r="E29" s="10" t="s">
        <v>112</v>
      </c>
      <c r="F29">
        <f t="shared" si="0"/>
        <v>0</v>
      </c>
    </row>
    <row r="30" spans="1:7" ht="15">
      <c r="E30" s="10" t="s">
        <v>480</v>
      </c>
      <c r="F30">
        <f t="shared" si="0"/>
        <v>0</v>
      </c>
    </row>
    <row r="31" spans="1:7" ht="15">
      <c r="E31" s="10" t="s">
        <v>114</v>
      </c>
      <c r="F31">
        <f t="shared" si="0"/>
        <v>1</v>
      </c>
    </row>
    <row r="32" spans="1:7" ht="15"/>
    <row r="33" spans="5:6" ht="15">
      <c r="E33" s="16" t="s">
        <v>1175</v>
      </c>
      <c r="F33" s="16">
        <f>COUNTIF(F2:F24,"No")</f>
        <v>5</v>
      </c>
    </row>
    <row r="73" spans="27:27">
      <c r="AA73" t="s">
        <v>709</v>
      </c>
    </row>
  </sheetData>
  <mergeCells count="7">
    <mergeCell ref="A18:A21"/>
    <mergeCell ref="A22:A24"/>
    <mergeCell ref="A3:A5"/>
    <mergeCell ref="A7:A9"/>
    <mergeCell ref="A10:A11"/>
    <mergeCell ref="A12:A14"/>
    <mergeCell ref="A15:A16"/>
  </mergeCells>
  <conditionalFormatting sqref="D2:D24">
    <cfRule type="containsText" dxfId="47" priority="4" operator="containsText" text="Partial">
      <formula>NOT(ISERROR(SEARCH("Partial",D2)))</formula>
    </cfRule>
    <cfRule type="containsText" dxfId="46" priority="5" operator="containsText" text="No">
      <formula>NOT(ISERROR(SEARCH("No",D2)))</formula>
    </cfRule>
    <cfRule type="containsText" dxfId="45" priority="6" operator="containsText" text="Yes">
      <formula>NOT(ISERROR(SEARCH("Yes",D2)))</formula>
    </cfRule>
  </conditionalFormatting>
  <conditionalFormatting sqref="F2:F24">
    <cfRule type="containsText" dxfId="44" priority="2" operator="containsText" text="No">
      <formula>NOT(ISERROR(SEARCH("No",F2)))</formula>
    </cfRule>
    <cfRule type="containsText" dxfId="43" priority="3" operator="containsText" text="Yes">
      <formula>NOT(ISERROR(SEARCH("Yes",F2)))</formula>
    </cfRule>
  </conditionalFormatting>
  <conditionalFormatting sqref="G2:G108">
    <cfRule type="containsText" dxfId="42" priority="7" operator="containsText" text="No">
      <formula>NOT(ISERROR(SEARCH("No",G2)))</formula>
    </cfRule>
    <cfRule type="containsText" dxfId="4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4" xr:uid="{00000000-0002-0000-2100-000000000000}">
      <formula1>"Yes,No,Partial"</formula1>
      <formula2>0</formula2>
    </dataValidation>
    <dataValidation type="list" operator="equal" allowBlank="1" showInputMessage="1" showErrorMessage="1" sqref="F2:F24" xr:uid="{00000000-0002-0000-2100-000001000000}">
      <formula1>"Yes,No"</formula1>
      <formula2>0</formula2>
    </dataValidation>
    <dataValidation operator="equal" allowBlank="1" showInputMessage="1" showErrorMessage="1" sqref="G2:G108" xr:uid="{00000000-0002-0000-21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A73"/>
  <sheetViews>
    <sheetView zoomScale="85" zoomScaleNormal="85" workbookViewId="0">
      <selection activeCell="E34" sqref="E34:F34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2531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2532</v>
      </c>
      <c r="C2" t="s">
        <v>2533</v>
      </c>
      <c r="D2" t="s">
        <v>196</v>
      </c>
      <c r="E2" t="s">
        <v>191</v>
      </c>
    </row>
    <row r="3" spans="1:8" ht="15" customHeight="1">
      <c r="A3" s="49"/>
      <c r="B3" t="s">
        <v>2534</v>
      </c>
      <c r="C3" t="s">
        <v>2535</v>
      </c>
      <c r="D3" t="s">
        <v>196</v>
      </c>
      <c r="E3" t="s">
        <v>191</v>
      </c>
    </row>
    <row r="4" spans="1:8" ht="15" customHeight="1">
      <c r="A4" s="49"/>
      <c r="B4" t="s">
        <v>2536</v>
      </c>
      <c r="C4" t="s">
        <v>2537</v>
      </c>
      <c r="D4" t="s">
        <v>196</v>
      </c>
      <c r="E4" t="s">
        <v>191</v>
      </c>
    </row>
    <row r="5" spans="1:8" ht="15" customHeight="1">
      <c r="A5" s="49" t="s">
        <v>513</v>
      </c>
      <c r="B5" t="s">
        <v>2538</v>
      </c>
      <c r="C5" t="s">
        <v>2539</v>
      </c>
      <c r="D5" t="s">
        <v>196</v>
      </c>
      <c r="E5" t="s">
        <v>199</v>
      </c>
    </row>
    <row r="6" spans="1:8" ht="15" customHeight="1">
      <c r="A6" s="49"/>
      <c r="B6" t="s">
        <v>2540</v>
      </c>
      <c r="C6" t="s">
        <v>2541</v>
      </c>
      <c r="D6" t="s">
        <v>196</v>
      </c>
      <c r="E6" t="s">
        <v>199</v>
      </c>
    </row>
    <row r="7" spans="1:8" ht="15" customHeight="1">
      <c r="A7" s="49"/>
      <c r="B7" t="s">
        <v>2542</v>
      </c>
      <c r="C7" t="s">
        <v>2543</v>
      </c>
      <c r="D7" t="s">
        <v>196</v>
      </c>
      <c r="E7" t="s">
        <v>199</v>
      </c>
    </row>
    <row r="8" spans="1:8" ht="15" customHeight="1">
      <c r="A8" s="49" t="s">
        <v>519</v>
      </c>
      <c r="B8" t="s">
        <v>2544</v>
      </c>
      <c r="C8" t="s">
        <v>2545</v>
      </c>
      <c r="D8" t="s">
        <v>196</v>
      </c>
      <c r="E8" t="s">
        <v>464</v>
      </c>
    </row>
    <row r="9" spans="1:8" ht="15" customHeight="1">
      <c r="A9" s="49"/>
      <c r="B9" t="s">
        <v>2546</v>
      </c>
      <c r="C9" t="s">
        <v>2547</v>
      </c>
      <c r="D9" t="s">
        <v>196</v>
      </c>
      <c r="E9" t="s">
        <v>202</v>
      </c>
    </row>
    <row r="10" spans="1:8" ht="15" customHeight="1">
      <c r="A10" s="49"/>
      <c r="B10" t="s">
        <v>2548</v>
      </c>
      <c r="C10" t="s">
        <v>2549</v>
      </c>
      <c r="D10" t="s">
        <v>196</v>
      </c>
      <c r="E10" t="s">
        <v>464</v>
      </c>
    </row>
    <row r="11" spans="1:8" ht="15" customHeight="1">
      <c r="A11" s="49"/>
      <c r="B11" t="s">
        <v>2550</v>
      </c>
      <c r="C11" t="s">
        <v>2551</v>
      </c>
      <c r="D11" t="s">
        <v>196</v>
      </c>
      <c r="E11" t="s">
        <v>202</v>
      </c>
    </row>
    <row r="12" spans="1:8" ht="15" customHeight="1">
      <c r="A12" s="49"/>
      <c r="B12" t="s">
        <v>2552</v>
      </c>
      <c r="C12" t="s">
        <v>2553</v>
      </c>
      <c r="D12" t="s">
        <v>196</v>
      </c>
      <c r="E12" t="s">
        <v>202</v>
      </c>
    </row>
    <row r="13" spans="1:8" ht="15" customHeight="1">
      <c r="A13" s="49"/>
      <c r="B13" t="s">
        <v>2554</v>
      </c>
      <c r="C13" t="s">
        <v>2555</v>
      </c>
      <c r="D13" t="s">
        <v>196</v>
      </c>
      <c r="E13" t="s">
        <v>464</v>
      </c>
    </row>
    <row r="14" spans="1:8" ht="15" customHeight="1">
      <c r="A14" s="49" t="s">
        <v>536</v>
      </c>
      <c r="B14" t="s">
        <v>2556</v>
      </c>
      <c r="C14" t="s">
        <v>2557</v>
      </c>
      <c r="D14" t="s">
        <v>196</v>
      </c>
      <c r="E14" s="3" t="s">
        <v>219</v>
      </c>
    </row>
    <row r="15" spans="1:8">
      <c r="A15" s="49"/>
      <c r="B15" t="s">
        <v>2558</v>
      </c>
      <c r="C15" t="s">
        <v>2559</v>
      </c>
      <c r="D15" t="s">
        <v>196</v>
      </c>
      <c r="E15" s="3" t="s">
        <v>219</v>
      </c>
    </row>
    <row r="16" spans="1:8">
      <c r="A16" s="49"/>
      <c r="B16" t="s">
        <v>2560</v>
      </c>
      <c r="C16" t="s">
        <v>2561</v>
      </c>
      <c r="D16" t="s">
        <v>196</v>
      </c>
      <c r="E16" s="3" t="s">
        <v>221</v>
      </c>
    </row>
    <row r="17" spans="1:6">
      <c r="A17" s="49"/>
      <c r="B17" t="s">
        <v>2562</v>
      </c>
      <c r="C17" t="s">
        <v>2563</v>
      </c>
      <c r="D17" t="s">
        <v>196</v>
      </c>
      <c r="E17" s="3" t="s">
        <v>221</v>
      </c>
    </row>
    <row r="18" spans="1:6" ht="14.25" customHeight="1">
      <c r="A18" s="4" t="s">
        <v>589</v>
      </c>
      <c r="B18" t="s">
        <v>914</v>
      </c>
      <c r="C18" t="s">
        <v>2564</v>
      </c>
      <c r="D18" t="s">
        <v>196</v>
      </c>
      <c r="E18" t="s">
        <v>1155</v>
      </c>
    </row>
    <row r="19" spans="1:6" ht="15" customHeight="1">
      <c r="A19" s="44" t="s">
        <v>613</v>
      </c>
      <c r="B19" t="s">
        <v>2565</v>
      </c>
      <c r="C19" t="s">
        <v>2566</v>
      </c>
      <c r="D19" t="s">
        <v>196</v>
      </c>
      <c r="E19" t="s">
        <v>231</v>
      </c>
    </row>
    <row r="20" spans="1:6" ht="15" customHeight="1">
      <c r="A20" s="44"/>
      <c r="B20" t="s">
        <v>2567</v>
      </c>
      <c r="C20" t="s">
        <v>2568</v>
      </c>
      <c r="D20" t="s">
        <v>196</v>
      </c>
      <c r="E20" t="s">
        <v>231</v>
      </c>
    </row>
    <row r="21" spans="1:6" ht="15" customHeight="1">
      <c r="A21" s="44"/>
      <c r="B21" t="s">
        <v>2569</v>
      </c>
      <c r="C21" t="s">
        <v>2570</v>
      </c>
      <c r="D21" t="s">
        <v>196</v>
      </c>
      <c r="E21" t="s">
        <v>231</v>
      </c>
    </row>
    <row r="22" spans="1:6" ht="15" customHeight="1">
      <c r="A22" s="49" t="s">
        <v>625</v>
      </c>
      <c r="B22" t="s">
        <v>2571</v>
      </c>
      <c r="C22" t="s">
        <v>2572</v>
      </c>
      <c r="D22" t="s">
        <v>196</v>
      </c>
      <c r="E22" t="s">
        <v>233</v>
      </c>
    </row>
    <row r="23" spans="1:6" ht="14.25" customHeight="1">
      <c r="A23" s="49"/>
      <c r="B23" t="s">
        <v>2573</v>
      </c>
      <c r="C23" t="s">
        <v>2574</v>
      </c>
      <c r="D23" t="s">
        <v>196</v>
      </c>
      <c r="E23" t="s">
        <v>233</v>
      </c>
    </row>
    <row r="24" spans="1:6">
      <c r="A24" s="49"/>
      <c r="B24" t="s">
        <v>2575</v>
      </c>
      <c r="C24" t="s">
        <v>2576</v>
      </c>
      <c r="D24" t="s">
        <v>196</v>
      </c>
      <c r="E24" t="s">
        <v>233</v>
      </c>
    </row>
    <row r="25" spans="1:6">
      <c r="A25" s="49"/>
      <c r="B25" t="s">
        <v>2577</v>
      </c>
      <c r="C25" t="s">
        <v>2578</v>
      </c>
      <c r="D25" t="s">
        <v>196</v>
      </c>
      <c r="E25" t="s">
        <v>233</v>
      </c>
    </row>
    <row r="26" spans="1:6">
      <c r="A26" s="49"/>
      <c r="B26" t="s">
        <v>997</v>
      </c>
      <c r="C26" t="s">
        <v>2579</v>
      </c>
      <c r="D26" t="s">
        <v>196</v>
      </c>
      <c r="E26" t="s">
        <v>2580</v>
      </c>
    </row>
    <row r="27" spans="1:6" ht="29.25" customHeight="1">
      <c r="A27" s="3" t="s">
        <v>657</v>
      </c>
      <c r="B27" t="s">
        <v>1020</v>
      </c>
      <c r="C27" t="s">
        <v>2581</v>
      </c>
      <c r="D27" t="s">
        <v>196</v>
      </c>
      <c r="E27" t="s">
        <v>240</v>
      </c>
    </row>
    <row r="28" spans="1:6" ht="15" customHeight="1">
      <c r="A28" s="49" t="s">
        <v>667</v>
      </c>
      <c r="B28" t="s">
        <v>685</v>
      </c>
      <c r="C28" t="s">
        <v>2582</v>
      </c>
      <c r="D28" t="s">
        <v>193</v>
      </c>
      <c r="F28" t="s">
        <v>193</v>
      </c>
    </row>
    <row r="29" spans="1:6">
      <c r="A29" s="49"/>
      <c r="B29" t="s">
        <v>1046</v>
      </c>
      <c r="C29" t="s">
        <v>2583</v>
      </c>
      <c r="D29" t="s">
        <v>196</v>
      </c>
      <c r="E29" t="s">
        <v>246</v>
      </c>
    </row>
    <row r="30" spans="1:6">
      <c r="A30" s="49"/>
      <c r="B30" t="s">
        <v>1077</v>
      </c>
      <c r="C30" t="s">
        <v>2584</v>
      </c>
      <c r="D30" t="s">
        <v>196</v>
      </c>
      <c r="E30" t="s">
        <v>248</v>
      </c>
    </row>
    <row r="31" spans="1:6" ht="15" customHeight="1">
      <c r="A31" s="49" t="s">
        <v>695</v>
      </c>
      <c r="B31" t="s">
        <v>1094</v>
      </c>
      <c r="C31" t="s">
        <v>2585</v>
      </c>
      <c r="D31" t="s">
        <v>196</v>
      </c>
      <c r="E31" t="s">
        <v>351</v>
      </c>
    </row>
    <row r="32" spans="1:6">
      <c r="A32" s="49"/>
      <c r="B32" t="s">
        <v>709</v>
      </c>
      <c r="C32" t="s">
        <v>2586</v>
      </c>
      <c r="D32" t="s">
        <v>733</v>
      </c>
      <c r="E32" t="s">
        <v>253</v>
      </c>
      <c r="F32" t="s">
        <v>193</v>
      </c>
    </row>
    <row r="33" spans="2:6" ht="14.45" customHeight="1">
      <c r="B33" s="16" t="s">
        <v>261</v>
      </c>
      <c r="C33" s="16" t="s">
        <v>193</v>
      </c>
      <c r="D33" s="16">
        <f>COUNTIF(D2:D32,"No")</f>
        <v>1</v>
      </c>
      <c r="E33" s="16" t="s">
        <v>69</v>
      </c>
      <c r="F33" s="16">
        <f>COUNTIF(F12:F32,"Yes")</f>
        <v>0</v>
      </c>
    </row>
    <row r="34" spans="2:6" ht="14.45" customHeight="1">
      <c r="B34" s="6"/>
      <c r="C34" s="16" t="s">
        <v>196</v>
      </c>
      <c r="D34" s="16">
        <f>COUNTIF(D12:D32,"Yes")</f>
        <v>19</v>
      </c>
      <c r="E34" s="16" t="s">
        <v>70</v>
      </c>
      <c r="F34">
        <f>COUNTIFS(D:D,"Partial",F:F,"Yes")</f>
        <v>0</v>
      </c>
    </row>
    <row r="35" spans="2:6" ht="14.45" customHeight="1">
      <c r="B35" s="6"/>
      <c r="C35" s="16" t="s">
        <v>733</v>
      </c>
      <c r="D35" s="16">
        <f>COUNTIF(D12:D32,"Partial")</f>
        <v>1</v>
      </c>
      <c r="E35" s="10" t="s">
        <v>110</v>
      </c>
      <c r="F35">
        <f>COUNTIF($G$2:$G$32,E35)</f>
        <v>0</v>
      </c>
    </row>
    <row r="36" spans="2:6" ht="15">
      <c r="E36" s="10" t="s">
        <v>111</v>
      </c>
      <c r="F36">
        <f t="shared" ref="F36:F39" si="0">COUNTIF($G$2:$G$32,E36)</f>
        <v>0</v>
      </c>
    </row>
    <row r="37" spans="2:6" ht="15">
      <c r="E37" s="10" t="s">
        <v>112</v>
      </c>
      <c r="F37">
        <f t="shared" si="0"/>
        <v>0</v>
      </c>
    </row>
    <row r="38" spans="2:6" ht="15">
      <c r="E38" s="10" t="s">
        <v>480</v>
      </c>
      <c r="F38">
        <f t="shared" si="0"/>
        <v>0</v>
      </c>
    </row>
    <row r="39" spans="2:6" ht="15">
      <c r="E39" s="10" t="s">
        <v>114</v>
      </c>
      <c r="F39">
        <f t="shared" si="0"/>
        <v>0</v>
      </c>
    </row>
    <row r="40" spans="2:6" ht="15"/>
    <row r="41" spans="2:6" ht="15">
      <c r="E41" s="16" t="s">
        <v>1175</v>
      </c>
      <c r="F41" s="16">
        <f>COUNTIF(F12:F32,"No")</f>
        <v>2</v>
      </c>
    </row>
    <row r="73" spans="27:27">
      <c r="AA73" t="s">
        <v>709</v>
      </c>
    </row>
  </sheetData>
  <mergeCells count="8">
    <mergeCell ref="A22:A26"/>
    <mergeCell ref="A28:A30"/>
    <mergeCell ref="A31:A32"/>
    <mergeCell ref="A2:A4"/>
    <mergeCell ref="A5:A7"/>
    <mergeCell ref="A8:A13"/>
    <mergeCell ref="A14:A17"/>
    <mergeCell ref="A19:A21"/>
  </mergeCells>
  <conditionalFormatting sqref="D2:D18 D26 D28:D32">
    <cfRule type="containsText" dxfId="40" priority="4" operator="containsText" text="Partial">
      <formula>NOT(ISERROR(SEARCH("Partial",D2)))</formula>
    </cfRule>
    <cfRule type="containsText" dxfId="39" priority="5" operator="containsText" text="No">
      <formula>NOT(ISERROR(SEARCH("No",D2)))</formula>
    </cfRule>
    <cfRule type="containsText" dxfId="38" priority="6" operator="containsText" text="Yes">
      <formula>NOT(ISERROR(SEARCH("Yes",D2)))</formula>
    </cfRule>
  </conditionalFormatting>
  <conditionalFormatting sqref="D19:D27">
    <cfRule type="containsText" dxfId="37" priority="9" operator="containsText" text="Partial">
      <formula>NOT(ISERROR(SEARCH("Partial",D19)))</formula>
    </cfRule>
    <cfRule type="containsText" dxfId="36" priority="10" operator="containsText" text="No">
      <formula>NOT(ISERROR(SEARCH("No",D19)))</formula>
    </cfRule>
    <cfRule type="containsText" dxfId="35" priority="11" operator="containsText" text="Yes">
      <formula>NOT(ISERROR(SEARCH("Yes",D19)))</formula>
    </cfRule>
  </conditionalFormatting>
  <conditionalFormatting sqref="F2:F32">
    <cfRule type="containsText" dxfId="34" priority="2" operator="containsText" text="No">
      <formula>NOT(ISERROR(SEARCH("No",F2)))</formula>
    </cfRule>
    <cfRule type="containsText" dxfId="33" priority="3" operator="containsText" text="Yes">
      <formula>NOT(ISERROR(SEARCH("Yes",F2)))</formula>
    </cfRule>
  </conditionalFormatting>
  <conditionalFormatting sqref="G2:G108">
    <cfRule type="containsText" dxfId="32" priority="7" operator="containsText" text="No">
      <formula>NOT(ISERROR(SEARCH("No",G2)))</formula>
    </cfRule>
    <cfRule type="containsText" dxfId="31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2" xr:uid="{00000000-0002-0000-2200-000000000000}">
      <formula1>"Yes,No,Partial"</formula1>
      <formula2>0</formula2>
    </dataValidation>
    <dataValidation type="list" operator="equal" allowBlank="1" showInputMessage="1" showErrorMessage="1" sqref="F2:F32" xr:uid="{00000000-0002-0000-2200-000001000000}">
      <formula1>"Yes,No"</formula1>
      <formula2>0</formula2>
    </dataValidation>
    <dataValidation operator="equal" allowBlank="1" showInputMessage="1" showErrorMessage="1" sqref="G2:G108" xr:uid="{00000000-0002-0000-22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H48"/>
  <sheetViews>
    <sheetView zoomScale="85" zoomScaleNormal="85" workbookViewId="0">
      <selection activeCell="E41" sqref="E41:F41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2587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9" t="s">
        <v>508</v>
      </c>
      <c r="B2" t="s">
        <v>2588</v>
      </c>
      <c r="C2" t="s">
        <v>2589</v>
      </c>
      <c r="D2" t="s">
        <v>196</v>
      </c>
      <c r="E2" t="s">
        <v>191</v>
      </c>
    </row>
    <row r="3" spans="1:8" ht="15" customHeight="1">
      <c r="A3" s="49"/>
      <c r="B3" t="s">
        <v>2590</v>
      </c>
      <c r="C3" t="s">
        <v>2591</v>
      </c>
      <c r="D3" t="s">
        <v>196</v>
      </c>
      <c r="E3" t="s">
        <v>191</v>
      </c>
    </row>
    <row r="4" spans="1:8" ht="15" customHeight="1">
      <c r="A4" s="49"/>
      <c r="B4" t="s">
        <v>2592</v>
      </c>
      <c r="C4" t="s">
        <v>2593</v>
      </c>
      <c r="D4" t="s">
        <v>196</v>
      </c>
      <c r="E4" t="s">
        <v>191</v>
      </c>
    </row>
    <row r="5" spans="1:8" ht="15" customHeight="1">
      <c r="A5" s="49" t="s">
        <v>513</v>
      </c>
      <c r="B5" t="s">
        <v>2594</v>
      </c>
      <c r="C5" t="s">
        <v>2595</v>
      </c>
      <c r="D5" t="s">
        <v>196</v>
      </c>
      <c r="E5" t="s">
        <v>199</v>
      </c>
    </row>
    <row r="6" spans="1:8" ht="15" customHeight="1">
      <c r="A6" s="49"/>
      <c r="B6" t="s">
        <v>2596</v>
      </c>
      <c r="C6" t="s">
        <v>2597</v>
      </c>
      <c r="D6" t="s">
        <v>196</v>
      </c>
      <c r="E6" t="s">
        <v>199</v>
      </c>
    </row>
    <row r="7" spans="1:8" ht="15" customHeight="1">
      <c r="A7" s="49"/>
      <c r="B7" t="s">
        <v>424</v>
      </c>
      <c r="C7" t="s">
        <v>2598</v>
      </c>
      <c r="D7" t="s">
        <v>193</v>
      </c>
      <c r="F7" t="s">
        <v>196</v>
      </c>
      <c r="G7" t="s">
        <v>114</v>
      </c>
      <c r="H7" t="s">
        <v>1770</v>
      </c>
    </row>
    <row r="8" spans="1:8" ht="15" customHeight="1">
      <c r="A8" s="49" t="s">
        <v>519</v>
      </c>
      <c r="B8" t="s">
        <v>2599</v>
      </c>
      <c r="C8" t="s">
        <v>2600</v>
      </c>
      <c r="D8" t="s">
        <v>196</v>
      </c>
      <c r="E8" t="s">
        <v>202</v>
      </c>
    </row>
    <row r="9" spans="1:8" ht="15" customHeight="1">
      <c r="A9" s="49"/>
      <c r="B9" t="s">
        <v>425</v>
      </c>
      <c r="C9" t="s">
        <v>2601</v>
      </c>
      <c r="D9" t="s">
        <v>193</v>
      </c>
      <c r="F9" t="s">
        <v>196</v>
      </c>
      <c r="G9" t="s">
        <v>110</v>
      </c>
    </row>
    <row r="10" spans="1:8" ht="15" customHeight="1">
      <c r="A10" s="49"/>
      <c r="B10" t="s">
        <v>531</v>
      </c>
      <c r="C10" t="s">
        <v>2602</v>
      </c>
      <c r="D10" t="s">
        <v>193</v>
      </c>
      <c r="F10" t="s">
        <v>193</v>
      </c>
    </row>
    <row r="11" spans="1:8" ht="15" customHeight="1">
      <c r="A11" s="49"/>
      <c r="B11" t="s">
        <v>2603</v>
      </c>
      <c r="C11" t="s">
        <v>2604</v>
      </c>
      <c r="D11" t="s">
        <v>196</v>
      </c>
      <c r="E11" t="s">
        <v>202</v>
      </c>
    </row>
    <row r="12" spans="1:8" ht="15" customHeight="1">
      <c r="A12" s="49"/>
      <c r="B12" t="s">
        <v>2605</v>
      </c>
      <c r="C12" t="s">
        <v>2606</v>
      </c>
      <c r="D12" t="s">
        <v>196</v>
      </c>
      <c r="E12" t="s">
        <v>202</v>
      </c>
    </row>
    <row r="13" spans="1:8" ht="15" customHeight="1">
      <c r="A13" s="49" t="s">
        <v>536</v>
      </c>
      <c r="B13" t="s">
        <v>582</v>
      </c>
      <c r="C13" t="s">
        <v>2607</v>
      </c>
      <c r="D13" t="s">
        <v>196</v>
      </c>
      <c r="E13" s="3" t="s">
        <v>219</v>
      </c>
    </row>
    <row r="14" spans="1:8">
      <c r="A14" s="49"/>
      <c r="B14" t="s">
        <v>2608</v>
      </c>
      <c r="C14" t="s">
        <v>2609</v>
      </c>
      <c r="D14" t="s">
        <v>196</v>
      </c>
      <c r="E14" s="3" t="s">
        <v>219</v>
      </c>
    </row>
    <row r="15" spans="1:8">
      <c r="A15" s="49"/>
      <c r="B15" t="s">
        <v>2610</v>
      </c>
      <c r="C15" t="s">
        <v>2611</v>
      </c>
      <c r="D15" t="s">
        <v>196</v>
      </c>
      <c r="E15" s="3" t="s">
        <v>219</v>
      </c>
    </row>
    <row r="16" spans="1:8">
      <c r="A16" s="49"/>
      <c r="B16" t="s">
        <v>2612</v>
      </c>
      <c r="C16" t="s">
        <v>2613</v>
      </c>
      <c r="D16" t="s">
        <v>196</v>
      </c>
      <c r="E16" s="3" t="s">
        <v>219</v>
      </c>
    </row>
    <row r="17" spans="1:6" ht="14.25" customHeight="1">
      <c r="A17" s="49"/>
      <c r="B17" t="s">
        <v>2614</v>
      </c>
      <c r="C17" t="s">
        <v>2615</v>
      </c>
      <c r="D17" t="s">
        <v>196</v>
      </c>
      <c r="E17" s="3" t="s">
        <v>219</v>
      </c>
    </row>
    <row r="18" spans="1:6" ht="14.25" customHeight="1">
      <c r="A18" s="49"/>
      <c r="B18" t="s">
        <v>2616</v>
      </c>
      <c r="C18" t="s">
        <v>2617</v>
      </c>
      <c r="D18" t="s">
        <v>196</v>
      </c>
      <c r="E18" s="3" t="s">
        <v>219</v>
      </c>
    </row>
    <row r="19" spans="1:6">
      <c r="A19" s="49"/>
      <c r="B19" t="s">
        <v>2618</v>
      </c>
      <c r="C19" t="s">
        <v>2619</v>
      </c>
      <c r="D19" t="s">
        <v>196</v>
      </c>
      <c r="E19" s="3" t="s">
        <v>219</v>
      </c>
    </row>
    <row r="20" spans="1:6">
      <c r="A20" s="49"/>
      <c r="B20" t="s">
        <v>2620</v>
      </c>
      <c r="C20" t="s">
        <v>2621</v>
      </c>
      <c r="D20" t="s">
        <v>196</v>
      </c>
      <c r="E20" s="3" t="s">
        <v>219</v>
      </c>
    </row>
    <row r="21" spans="1:6">
      <c r="A21" s="49"/>
      <c r="B21" t="s">
        <v>2622</v>
      </c>
      <c r="C21" t="s">
        <v>2623</v>
      </c>
      <c r="D21" t="s">
        <v>196</v>
      </c>
      <c r="E21" s="3" t="s">
        <v>219</v>
      </c>
    </row>
    <row r="22" spans="1:6" ht="15" customHeight="1">
      <c r="A22" s="49" t="s">
        <v>589</v>
      </c>
      <c r="B22" t="s">
        <v>2624</v>
      </c>
      <c r="C22" t="s">
        <v>2625</v>
      </c>
      <c r="D22" t="s">
        <v>196</v>
      </c>
      <c r="E22" t="s">
        <v>1155</v>
      </c>
    </row>
    <row r="23" spans="1:6">
      <c r="A23" s="49"/>
      <c r="B23" t="s">
        <v>2626</v>
      </c>
      <c r="C23" t="s">
        <v>2627</v>
      </c>
      <c r="D23" t="s">
        <v>196</v>
      </c>
      <c r="E23" t="s">
        <v>1155</v>
      </c>
    </row>
    <row r="24" spans="1:6">
      <c r="A24" s="49"/>
      <c r="B24" t="s">
        <v>611</v>
      </c>
      <c r="C24" t="s">
        <v>2628</v>
      </c>
      <c r="D24" t="s">
        <v>193</v>
      </c>
      <c r="F24" t="s">
        <v>193</v>
      </c>
    </row>
    <row r="25" spans="1:6">
      <c r="A25" s="49"/>
      <c r="B25" t="s">
        <v>2629</v>
      </c>
      <c r="C25" t="s">
        <v>2630</v>
      </c>
      <c r="D25" t="s">
        <v>193</v>
      </c>
      <c r="F25" t="s">
        <v>193</v>
      </c>
    </row>
    <row r="26" spans="1:6" ht="15" customHeight="1">
      <c r="A26" s="44" t="s">
        <v>613</v>
      </c>
      <c r="B26" t="s">
        <v>945</v>
      </c>
      <c r="C26" t="s">
        <v>2631</v>
      </c>
      <c r="D26" t="s">
        <v>196</v>
      </c>
      <c r="E26" t="s">
        <v>231</v>
      </c>
    </row>
    <row r="27" spans="1:6" ht="15" customHeight="1">
      <c r="A27" s="44"/>
      <c r="B27" t="s">
        <v>624</v>
      </c>
      <c r="C27" t="s">
        <v>2632</v>
      </c>
      <c r="D27" t="s">
        <v>193</v>
      </c>
      <c r="F27" t="s">
        <v>193</v>
      </c>
    </row>
    <row r="28" spans="1:6" ht="15" customHeight="1">
      <c r="A28" s="49" t="s">
        <v>625</v>
      </c>
      <c r="B28" t="s">
        <v>973</v>
      </c>
      <c r="C28" t="s">
        <v>2633</v>
      </c>
      <c r="D28" t="s">
        <v>196</v>
      </c>
      <c r="E28" t="s">
        <v>233</v>
      </c>
    </row>
    <row r="29" spans="1:6">
      <c r="A29" s="49"/>
      <c r="B29" t="s">
        <v>989</v>
      </c>
      <c r="C29" t="s">
        <v>2634</v>
      </c>
      <c r="D29" t="s">
        <v>196</v>
      </c>
      <c r="E29" t="s">
        <v>1339</v>
      </c>
    </row>
    <row r="30" spans="1:6" ht="29.25" customHeight="1">
      <c r="A30" s="44" t="s">
        <v>657</v>
      </c>
      <c r="B30" t="s">
        <v>2635</v>
      </c>
      <c r="C30" t="s">
        <v>2636</v>
      </c>
      <c r="D30" t="s">
        <v>196</v>
      </c>
      <c r="E30" t="s">
        <v>240</v>
      </c>
    </row>
    <row r="31" spans="1:6">
      <c r="A31" s="44"/>
      <c r="B31" t="s">
        <v>2637</v>
      </c>
      <c r="C31" t="s">
        <v>2638</v>
      </c>
      <c r="D31" t="s">
        <v>196</v>
      </c>
      <c r="E31" t="s">
        <v>240</v>
      </c>
    </row>
    <row r="32" spans="1:6" ht="15" customHeight="1">
      <c r="A32" s="49" t="s">
        <v>667</v>
      </c>
      <c r="B32" t="s">
        <v>1047</v>
      </c>
      <c r="C32" t="s">
        <v>2639</v>
      </c>
      <c r="D32" t="s">
        <v>196</v>
      </c>
      <c r="E32" t="s">
        <v>246</v>
      </c>
    </row>
    <row r="33" spans="1:7">
      <c r="A33" s="49"/>
      <c r="B33" t="s">
        <v>2640</v>
      </c>
      <c r="C33" t="s">
        <v>2641</v>
      </c>
      <c r="D33" t="s">
        <v>196</v>
      </c>
      <c r="E33" t="s">
        <v>248</v>
      </c>
    </row>
    <row r="34" spans="1:7">
      <c r="A34" s="49"/>
      <c r="B34" t="s">
        <v>686</v>
      </c>
      <c r="C34" t="s">
        <v>2642</v>
      </c>
      <c r="D34" t="s">
        <v>193</v>
      </c>
      <c r="F34" t="s">
        <v>193</v>
      </c>
    </row>
    <row r="35" spans="1:7">
      <c r="A35" s="49"/>
      <c r="B35" t="s">
        <v>2643</v>
      </c>
      <c r="C35" t="s">
        <v>2644</v>
      </c>
      <c r="D35" t="s">
        <v>196</v>
      </c>
      <c r="E35" t="s">
        <v>248</v>
      </c>
    </row>
    <row r="36" spans="1:7" ht="15" customHeight="1">
      <c r="A36" s="49" t="s">
        <v>695</v>
      </c>
      <c r="B36" t="s">
        <v>436</v>
      </c>
      <c r="C36" t="s">
        <v>2645</v>
      </c>
      <c r="D36" t="s">
        <v>193</v>
      </c>
      <c r="F36" t="s">
        <v>196</v>
      </c>
      <c r="G36" t="s">
        <v>110</v>
      </c>
    </row>
    <row r="37" spans="1:7">
      <c r="A37" s="49"/>
      <c r="B37" t="s">
        <v>2646</v>
      </c>
      <c r="C37" t="s">
        <v>2647</v>
      </c>
      <c r="D37" t="s">
        <v>196</v>
      </c>
      <c r="E37" t="s">
        <v>253</v>
      </c>
    </row>
    <row r="38" spans="1:7">
      <c r="A38" s="49"/>
      <c r="B38" t="s">
        <v>2648</v>
      </c>
      <c r="C38" t="s">
        <v>2649</v>
      </c>
      <c r="D38" t="s">
        <v>193</v>
      </c>
      <c r="F38" t="s">
        <v>196</v>
      </c>
      <c r="G38" t="s">
        <v>114</v>
      </c>
    </row>
    <row r="39" spans="1:7">
      <c r="A39" s="49"/>
      <c r="B39" t="s">
        <v>710</v>
      </c>
      <c r="C39" t="s">
        <v>2650</v>
      </c>
      <c r="D39" t="s">
        <v>733</v>
      </c>
      <c r="E39" t="s">
        <v>253</v>
      </c>
      <c r="F39" t="s">
        <v>193</v>
      </c>
    </row>
    <row r="40" spans="1:7" ht="14.45" customHeight="1">
      <c r="B40" s="16" t="s">
        <v>261</v>
      </c>
      <c r="C40" s="16" t="s">
        <v>193</v>
      </c>
      <c r="D40" s="16">
        <f>COUNTIF(D2:D39,"No")</f>
        <v>9</v>
      </c>
      <c r="E40" s="16" t="s">
        <v>69</v>
      </c>
      <c r="F40" s="16">
        <f>COUNTIF(F2:F39,"Yes")</f>
        <v>4</v>
      </c>
    </row>
    <row r="41" spans="1:7" ht="14.45" customHeight="1">
      <c r="B41" s="6"/>
      <c r="C41" s="16" t="s">
        <v>196</v>
      </c>
      <c r="D41" s="16">
        <f>COUNTIF(D2:D39,"Yes")</f>
        <v>28</v>
      </c>
      <c r="E41" s="16" t="s">
        <v>70</v>
      </c>
      <c r="F41">
        <f>COUNTIFS(D:D,"Partial",F:F,"Yes")</f>
        <v>0</v>
      </c>
    </row>
    <row r="42" spans="1:7" ht="14.45" customHeight="1">
      <c r="B42" s="6"/>
      <c r="C42" s="16" t="s">
        <v>733</v>
      </c>
      <c r="D42" s="16">
        <f>COUNTIF(D2:D39,"Partial")</f>
        <v>1</v>
      </c>
      <c r="E42" s="10" t="s">
        <v>110</v>
      </c>
      <c r="F42">
        <f>COUNTIF($G$2:$G$39,E42)</f>
        <v>2</v>
      </c>
    </row>
    <row r="43" spans="1:7" ht="15">
      <c r="E43" s="10" t="s">
        <v>111</v>
      </c>
      <c r="F43">
        <f t="shared" ref="F43:F46" si="0">COUNTIF($G$2:$G$39,E43)</f>
        <v>0</v>
      </c>
    </row>
    <row r="44" spans="1:7" ht="15">
      <c r="E44" s="10" t="s">
        <v>112</v>
      </c>
      <c r="F44">
        <f t="shared" si="0"/>
        <v>0</v>
      </c>
    </row>
    <row r="45" spans="1:7" ht="15">
      <c r="E45" s="10" t="s">
        <v>480</v>
      </c>
      <c r="F45">
        <f t="shared" si="0"/>
        <v>0</v>
      </c>
    </row>
    <row r="46" spans="1:7" ht="15">
      <c r="E46" s="10" t="s">
        <v>114</v>
      </c>
      <c r="F46">
        <f t="shared" si="0"/>
        <v>2</v>
      </c>
    </row>
    <row r="47" spans="1:7" ht="15"/>
    <row r="48" spans="1:7" ht="15">
      <c r="E48" s="16" t="s">
        <v>1175</v>
      </c>
      <c r="F48" s="16">
        <f>COUNTIF(F2:F39,"No")</f>
        <v>6</v>
      </c>
    </row>
  </sheetData>
  <mergeCells count="10">
    <mergeCell ref="A2:A4"/>
    <mergeCell ref="A5:A7"/>
    <mergeCell ref="A8:A12"/>
    <mergeCell ref="A13:A21"/>
    <mergeCell ref="A22:A25"/>
    <mergeCell ref="A26:A27"/>
    <mergeCell ref="A28:A29"/>
    <mergeCell ref="A30:A31"/>
    <mergeCell ref="A32:A35"/>
    <mergeCell ref="A36:A39"/>
  </mergeCells>
  <conditionalFormatting sqref="D2:D39">
    <cfRule type="containsText" dxfId="30" priority="4" operator="containsText" text="Partial">
      <formula>NOT(ISERROR(SEARCH("Partial",D2)))</formula>
    </cfRule>
    <cfRule type="containsText" dxfId="29" priority="5" operator="containsText" text="No">
      <formula>NOT(ISERROR(SEARCH("No",D2)))</formula>
    </cfRule>
    <cfRule type="containsText" dxfId="28" priority="6" operator="containsText" text="Yes">
      <formula>NOT(ISERROR(SEARCH("Yes",D2)))</formula>
    </cfRule>
  </conditionalFormatting>
  <conditionalFormatting sqref="F2:F39">
    <cfRule type="containsText" dxfId="27" priority="2" operator="containsText" text="No">
      <formula>NOT(ISERROR(SEARCH("No",F2)))</formula>
    </cfRule>
    <cfRule type="containsText" dxfId="26" priority="3" operator="containsText" text="Yes">
      <formula>NOT(ISERROR(SEARCH("Yes",F2)))</formula>
    </cfRule>
  </conditionalFormatting>
  <conditionalFormatting sqref="G2:G108">
    <cfRule type="containsText" dxfId="25" priority="10" operator="containsText" text="No">
      <formula>NOT(ISERROR(SEARCH("No",G2)))</formula>
    </cfRule>
    <cfRule type="containsText" dxfId="2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9" xr:uid="{00000000-0002-0000-2300-000000000000}">
      <formula1>"Yes,No,Partial"</formula1>
      <formula2>0</formula2>
    </dataValidation>
    <dataValidation type="list" operator="equal" allowBlank="1" showInputMessage="1" showErrorMessage="1" sqref="F2:F39" xr:uid="{00000000-0002-0000-2300-000001000000}">
      <formula1>"Yes,No"</formula1>
      <formula2>0</formula2>
    </dataValidation>
    <dataValidation operator="equal" allowBlank="1" showInputMessage="1" showErrorMessage="1" sqref="G2:G108" xr:uid="{00000000-0002-0000-23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40"/>
  <sheetViews>
    <sheetView zoomScale="85" zoomScaleNormal="85" workbookViewId="0">
      <selection activeCell="E33" sqref="E33:F33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2651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758</v>
      </c>
      <c r="C2" t="s">
        <v>2652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2653</v>
      </c>
      <c r="C3" t="s">
        <v>2654</v>
      </c>
      <c r="D3" t="s">
        <v>196</v>
      </c>
      <c r="E3" t="s">
        <v>199</v>
      </c>
    </row>
    <row r="4" spans="1:8" ht="15" customHeight="1">
      <c r="A4" s="49"/>
      <c r="B4" t="s">
        <v>2655</v>
      </c>
      <c r="C4" t="s">
        <v>2656</v>
      </c>
      <c r="D4" t="s">
        <v>196</v>
      </c>
      <c r="E4" t="s">
        <v>199</v>
      </c>
    </row>
    <row r="5" spans="1:8" ht="15" customHeight="1">
      <c r="A5" s="49" t="s">
        <v>519</v>
      </c>
      <c r="B5" t="s">
        <v>829</v>
      </c>
      <c r="C5" t="s">
        <v>2657</v>
      </c>
      <c r="D5" t="s">
        <v>196</v>
      </c>
      <c r="E5" t="s">
        <v>1960</v>
      </c>
    </row>
    <row r="6" spans="1:8" ht="15" customHeight="1">
      <c r="A6" s="49"/>
      <c r="B6" t="s">
        <v>2658</v>
      </c>
      <c r="C6" t="s">
        <v>2659</v>
      </c>
      <c r="D6" t="s">
        <v>196</v>
      </c>
      <c r="E6" t="s">
        <v>202</v>
      </c>
    </row>
    <row r="7" spans="1:8" ht="15" customHeight="1">
      <c r="A7" s="49"/>
      <c r="B7" t="s">
        <v>426</v>
      </c>
      <c r="C7" t="s">
        <v>2660</v>
      </c>
      <c r="D7" t="s">
        <v>193</v>
      </c>
      <c r="F7" t="s">
        <v>196</v>
      </c>
      <c r="G7" t="s">
        <v>110</v>
      </c>
    </row>
    <row r="8" spans="1:8" ht="15" customHeight="1">
      <c r="A8" s="49"/>
      <c r="B8" t="s">
        <v>2661</v>
      </c>
      <c r="C8" t="s">
        <v>2662</v>
      </c>
      <c r="D8" t="s">
        <v>196</v>
      </c>
      <c r="E8" t="s">
        <v>202</v>
      </c>
    </row>
    <row r="9" spans="1:8" ht="15" customHeight="1">
      <c r="A9" s="49"/>
      <c r="B9" t="s">
        <v>2663</v>
      </c>
      <c r="C9" t="s">
        <v>2664</v>
      </c>
      <c r="D9" t="s">
        <v>196</v>
      </c>
      <c r="E9" t="s">
        <v>202</v>
      </c>
    </row>
    <row r="10" spans="1:8" ht="15" customHeight="1">
      <c r="A10" s="49"/>
      <c r="B10" t="s">
        <v>2665</v>
      </c>
      <c r="C10" t="s">
        <v>2666</v>
      </c>
      <c r="D10" t="s">
        <v>196</v>
      </c>
      <c r="E10" t="s">
        <v>203</v>
      </c>
    </row>
    <row r="11" spans="1:8" ht="15" customHeight="1">
      <c r="A11" s="49" t="s">
        <v>536</v>
      </c>
      <c r="B11" t="s">
        <v>583</v>
      </c>
      <c r="C11" t="s">
        <v>2667</v>
      </c>
      <c r="D11" t="s">
        <v>193</v>
      </c>
      <c r="F11" t="s">
        <v>193</v>
      </c>
    </row>
    <row r="12" spans="1:8">
      <c r="A12" s="49"/>
      <c r="B12" t="s">
        <v>430</v>
      </c>
      <c r="C12" t="s">
        <v>2668</v>
      </c>
      <c r="D12" t="s">
        <v>193</v>
      </c>
      <c r="F12" t="s">
        <v>196</v>
      </c>
      <c r="G12" t="s">
        <v>110</v>
      </c>
    </row>
    <row r="13" spans="1:8">
      <c r="A13" s="49"/>
      <c r="B13" t="s">
        <v>883</v>
      </c>
      <c r="C13" t="s">
        <v>2669</v>
      </c>
      <c r="D13" t="s">
        <v>196</v>
      </c>
      <c r="E13" s="3" t="s">
        <v>219</v>
      </c>
    </row>
    <row r="14" spans="1:8" ht="14.25" customHeight="1">
      <c r="A14" s="49" t="s">
        <v>589</v>
      </c>
      <c r="B14" t="s">
        <v>482</v>
      </c>
      <c r="C14" t="s">
        <v>2517</v>
      </c>
      <c r="D14" t="s">
        <v>196</v>
      </c>
      <c r="E14" t="s">
        <v>2670</v>
      </c>
    </row>
    <row r="15" spans="1:8" ht="14.25" customHeight="1">
      <c r="A15" s="49"/>
      <c r="B15" t="s">
        <v>432</v>
      </c>
      <c r="C15" t="s">
        <v>2671</v>
      </c>
      <c r="D15" t="s">
        <v>193</v>
      </c>
      <c r="F15" t="s">
        <v>196</v>
      </c>
      <c r="G15" t="s">
        <v>110</v>
      </c>
    </row>
    <row r="16" spans="1:8" ht="14.25" customHeight="1">
      <c r="A16" s="49"/>
      <c r="B16" t="s">
        <v>433</v>
      </c>
      <c r="C16" t="s">
        <v>2672</v>
      </c>
      <c r="D16" t="s">
        <v>193</v>
      </c>
      <c r="F16" t="s">
        <v>196</v>
      </c>
      <c r="G16" t="s">
        <v>110</v>
      </c>
    </row>
    <row r="17" spans="1:7" ht="15" customHeight="1">
      <c r="A17" s="3" t="s">
        <v>613</v>
      </c>
      <c r="B17" t="s">
        <v>946</v>
      </c>
      <c r="C17" t="s">
        <v>2673</v>
      </c>
      <c r="D17" t="s">
        <v>196</v>
      </c>
      <c r="E17" t="s">
        <v>231</v>
      </c>
    </row>
    <row r="18" spans="1:7" ht="15" customHeight="1">
      <c r="A18" s="49" t="s">
        <v>625</v>
      </c>
      <c r="B18" t="s">
        <v>2674</v>
      </c>
      <c r="C18" t="s">
        <v>2675</v>
      </c>
      <c r="D18" t="s">
        <v>196</v>
      </c>
      <c r="E18" t="s">
        <v>233</v>
      </c>
    </row>
    <row r="19" spans="1:7" ht="14.25" customHeight="1">
      <c r="A19" s="49"/>
      <c r="B19" t="s">
        <v>990</v>
      </c>
      <c r="C19" t="s">
        <v>2676</v>
      </c>
      <c r="D19" t="s">
        <v>196</v>
      </c>
      <c r="E19" t="s">
        <v>2677</v>
      </c>
    </row>
    <row r="20" spans="1:7">
      <c r="A20" s="49"/>
      <c r="B20" t="s">
        <v>2678</v>
      </c>
      <c r="C20" t="s">
        <v>2679</v>
      </c>
      <c r="D20" t="s">
        <v>196</v>
      </c>
      <c r="E20" t="s">
        <v>233</v>
      </c>
    </row>
    <row r="21" spans="1:7">
      <c r="A21" s="49"/>
      <c r="B21" t="s">
        <v>2680</v>
      </c>
      <c r="C21" t="s">
        <v>2681</v>
      </c>
      <c r="D21" t="s">
        <v>196</v>
      </c>
      <c r="E21" t="s">
        <v>233</v>
      </c>
    </row>
    <row r="22" spans="1:7" ht="29.25" customHeight="1">
      <c r="A22" s="3" t="s">
        <v>657</v>
      </c>
      <c r="B22" t="s">
        <v>1022</v>
      </c>
      <c r="C22" t="s">
        <v>2682</v>
      </c>
      <c r="D22" t="s">
        <v>196</v>
      </c>
      <c r="E22" t="s">
        <v>240</v>
      </c>
    </row>
    <row r="23" spans="1:7" ht="15" customHeight="1">
      <c r="A23" s="49" t="s">
        <v>667</v>
      </c>
      <c r="B23" t="s">
        <v>2683</v>
      </c>
      <c r="C23" t="s">
        <v>2684</v>
      </c>
      <c r="D23" t="s">
        <v>196</v>
      </c>
      <c r="E23" t="s">
        <v>246</v>
      </c>
    </row>
    <row r="24" spans="1:7">
      <c r="A24" s="49"/>
      <c r="B24" t="s">
        <v>2685</v>
      </c>
      <c r="C24" t="s">
        <v>2686</v>
      </c>
      <c r="D24" t="s">
        <v>196</v>
      </c>
      <c r="E24" t="s">
        <v>248</v>
      </c>
    </row>
    <row r="25" spans="1:7">
      <c r="A25" s="49"/>
      <c r="B25" t="s">
        <v>687</v>
      </c>
      <c r="C25" t="s">
        <v>2687</v>
      </c>
      <c r="D25" t="s">
        <v>193</v>
      </c>
      <c r="F25" t="s">
        <v>193</v>
      </c>
    </row>
    <row r="26" spans="1:7">
      <c r="A26" s="49"/>
      <c r="B26" t="s">
        <v>2688</v>
      </c>
      <c r="C26" t="s">
        <v>2583</v>
      </c>
      <c r="D26" t="s">
        <v>196</v>
      </c>
      <c r="E26" t="s">
        <v>246</v>
      </c>
    </row>
    <row r="27" spans="1:7">
      <c r="A27" s="49"/>
      <c r="B27" t="s">
        <v>2689</v>
      </c>
      <c r="C27" t="s">
        <v>2690</v>
      </c>
      <c r="D27" t="s">
        <v>196</v>
      </c>
      <c r="E27" t="s">
        <v>248</v>
      </c>
    </row>
    <row r="28" spans="1:7" ht="15" customHeight="1">
      <c r="A28" s="49" t="s">
        <v>695</v>
      </c>
      <c r="B28" t="s">
        <v>1095</v>
      </c>
      <c r="C28" t="s">
        <v>2691</v>
      </c>
      <c r="D28" t="s">
        <v>196</v>
      </c>
      <c r="E28" t="s">
        <v>2262</v>
      </c>
    </row>
    <row r="29" spans="1:7">
      <c r="A29" s="49"/>
      <c r="B29" t="s">
        <v>2692</v>
      </c>
      <c r="C29" t="s">
        <v>2693</v>
      </c>
      <c r="D29" t="s">
        <v>193</v>
      </c>
      <c r="F29" t="s">
        <v>196</v>
      </c>
      <c r="G29" t="s">
        <v>114</v>
      </c>
    </row>
    <row r="30" spans="1:7">
      <c r="A30" s="49"/>
      <c r="B30" t="s">
        <v>2694</v>
      </c>
      <c r="C30" t="s">
        <v>2695</v>
      </c>
      <c r="D30" t="s">
        <v>193</v>
      </c>
      <c r="F30" t="s">
        <v>196</v>
      </c>
      <c r="G30" t="s">
        <v>114</v>
      </c>
    </row>
    <row r="31" spans="1:7">
      <c r="A31" s="49"/>
      <c r="B31" t="s">
        <v>437</v>
      </c>
      <c r="C31" t="s">
        <v>2696</v>
      </c>
      <c r="D31" t="s">
        <v>196</v>
      </c>
      <c r="E31" t="s">
        <v>253</v>
      </c>
    </row>
    <row r="32" spans="1:7" ht="14.45" customHeight="1">
      <c r="B32" s="16" t="s">
        <v>261</v>
      </c>
      <c r="C32" s="16" t="s">
        <v>193</v>
      </c>
      <c r="D32" s="16">
        <f>COUNTIF(D2:D31,"No")</f>
        <v>8</v>
      </c>
      <c r="E32" s="16" t="s">
        <v>69</v>
      </c>
      <c r="F32" s="16">
        <f>COUNTIF(F2:F31,"Yes")</f>
        <v>6</v>
      </c>
    </row>
    <row r="33" spans="2:6" ht="14.45" customHeight="1">
      <c r="B33" s="6"/>
      <c r="C33" s="16" t="s">
        <v>196</v>
      </c>
      <c r="D33" s="16">
        <f>COUNTIF(D2:D31,"Yes")</f>
        <v>22</v>
      </c>
      <c r="E33" s="16" t="s">
        <v>70</v>
      </c>
      <c r="F33">
        <f>COUNTIFS(D:D,"Partial",F:F,"Yes")</f>
        <v>0</v>
      </c>
    </row>
    <row r="34" spans="2:6" ht="14.45" customHeight="1">
      <c r="B34" s="6"/>
      <c r="C34" s="16" t="s">
        <v>733</v>
      </c>
      <c r="D34" s="16">
        <f>COUNTIF(D2:D31,"Partial")</f>
        <v>0</v>
      </c>
      <c r="E34" s="10" t="s">
        <v>110</v>
      </c>
      <c r="F34">
        <f>COUNTIF($G$2:$G$31,E34)</f>
        <v>4</v>
      </c>
    </row>
    <row r="35" spans="2:6" ht="15">
      <c r="E35" s="10" t="s">
        <v>111</v>
      </c>
      <c r="F35">
        <f t="shared" ref="F35:F38" si="0">COUNTIF($G$2:$G$31,E35)</f>
        <v>0</v>
      </c>
    </row>
    <row r="36" spans="2:6" ht="15">
      <c r="E36" s="10" t="s">
        <v>112</v>
      </c>
      <c r="F36">
        <f t="shared" si="0"/>
        <v>0</v>
      </c>
    </row>
    <row r="37" spans="2:6" ht="15">
      <c r="E37" s="10" t="s">
        <v>480</v>
      </c>
      <c r="F37">
        <f t="shared" si="0"/>
        <v>0</v>
      </c>
    </row>
    <row r="38" spans="2:6" ht="15">
      <c r="E38" s="10" t="s">
        <v>114</v>
      </c>
      <c r="F38">
        <f t="shared" si="0"/>
        <v>2</v>
      </c>
    </row>
    <row r="39" spans="2:6" ht="15"/>
    <row r="40" spans="2:6" ht="15">
      <c r="E40" s="16" t="s">
        <v>1175</v>
      </c>
      <c r="F40" s="16">
        <f>COUNTIF(F2:F31,"No")</f>
        <v>2</v>
      </c>
    </row>
  </sheetData>
  <mergeCells count="7">
    <mergeCell ref="A23:A27"/>
    <mergeCell ref="A28:A31"/>
    <mergeCell ref="A3:A4"/>
    <mergeCell ref="A5:A10"/>
    <mergeCell ref="A11:A13"/>
    <mergeCell ref="A14:A16"/>
    <mergeCell ref="A18:A21"/>
  </mergeCells>
  <conditionalFormatting sqref="D2:D16 D19:D21 D23:D31">
    <cfRule type="containsText" dxfId="23" priority="4" operator="containsText" text="Partial">
      <formula>NOT(ISERROR(SEARCH("Partial",D2)))</formula>
    </cfRule>
    <cfRule type="containsText" dxfId="22" priority="5" operator="containsText" text="No">
      <formula>NOT(ISERROR(SEARCH("No",D2)))</formula>
    </cfRule>
    <cfRule type="containsText" dxfId="21" priority="6" operator="containsText" text="Yes">
      <formula>NOT(ISERROR(SEARCH("Yes",D2)))</formula>
    </cfRule>
  </conditionalFormatting>
  <conditionalFormatting sqref="D17:D22">
    <cfRule type="containsText" dxfId="20" priority="12" operator="containsText" text="Partial">
      <formula>NOT(ISERROR(SEARCH("Partial",D17)))</formula>
    </cfRule>
    <cfRule type="containsText" dxfId="19" priority="13" operator="containsText" text="No">
      <formula>NOT(ISERROR(SEARCH("No",D17)))</formula>
    </cfRule>
    <cfRule type="containsText" dxfId="18" priority="14" operator="containsText" text="Yes">
      <formula>NOT(ISERROR(SEARCH("Yes",D17)))</formula>
    </cfRule>
  </conditionalFormatting>
  <conditionalFormatting sqref="F2:F31">
    <cfRule type="containsText" dxfId="17" priority="2" operator="containsText" text="No">
      <formula>NOT(ISERROR(SEARCH("No",F2)))</formula>
    </cfRule>
    <cfRule type="containsText" dxfId="16" priority="3" operator="containsText" text="Yes">
      <formula>NOT(ISERROR(SEARCH("Yes",F2)))</formula>
    </cfRule>
  </conditionalFormatting>
  <conditionalFormatting sqref="G2:G108">
    <cfRule type="containsText" dxfId="15" priority="10" operator="containsText" text="No">
      <formula>NOT(ISERROR(SEARCH("No",G2)))</formula>
    </cfRule>
    <cfRule type="containsText" dxfId="14" priority="11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1" xr:uid="{00000000-0002-0000-2400-000000000000}">
      <formula1>"Yes,No,Partial"</formula1>
      <formula2>0</formula2>
    </dataValidation>
    <dataValidation type="list" operator="equal" allowBlank="1" showInputMessage="1" showErrorMessage="1" sqref="F2:F31" xr:uid="{00000000-0002-0000-2400-000001000000}">
      <formula1>"Yes,No"</formula1>
      <formula2>0</formula2>
    </dataValidation>
    <dataValidation operator="equal" allowBlank="1" showInputMessage="1" showErrorMessage="1" sqref="G2:G108" xr:uid="{00000000-0002-0000-2400-000003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39"/>
  <sheetViews>
    <sheetView zoomScale="85" zoomScaleNormal="85" workbookViewId="0">
      <selection activeCell="E32" sqref="E32:F32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43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759</v>
      </c>
      <c r="C2" t="s">
        <v>2697</v>
      </c>
      <c r="D2" t="s">
        <v>196</v>
      </c>
      <c r="E2" t="s">
        <v>191</v>
      </c>
    </row>
    <row r="3" spans="1:8" ht="15" customHeight="1">
      <c r="A3" s="49" t="s">
        <v>513</v>
      </c>
      <c r="B3" t="s">
        <v>2698</v>
      </c>
      <c r="C3" t="s">
        <v>2699</v>
      </c>
      <c r="D3" t="s">
        <v>196</v>
      </c>
      <c r="E3" t="s">
        <v>199</v>
      </c>
    </row>
    <row r="4" spans="1:8">
      <c r="A4" s="49"/>
      <c r="B4" t="s">
        <v>2700</v>
      </c>
      <c r="C4" t="s">
        <v>2701</v>
      </c>
      <c r="D4" t="s">
        <v>196</v>
      </c>
      <c r="E4" t="s">
        <v>199</v>
      </c>
    </row>
    <row r="5" spans="1:8" ht="15" customHeight="1">
      <c r="A5" s="49" t="s">
        <v>519</v>
      </c>
      <c r="B5" t="s">
        <v>812</v>
      </c>
      <c r="C5" t="s">
        <v>2702</v>
      </c>
      <c r="D5" t="s">
        <v>196</v>
      </c>
      <c r="E5" t="s">
        <v>202</v>
      </c>
    </row>
    <row r="6" spans="1:8" ht="15" customHeight="1">
      <c r="A6" s="49"/>
      <c r="B6" t="s">
        <v>823</v>
      </c>
      <c r="C6" t="s">
        <v>2703</v>
      </c>
      <c r="D6" t="s">
        <v>196</v>
      </c>
      <c r="E6" t="s">
        <v>203</v>
      </c>
    </row>
    <row r="7" spans="1:8" ht="15" customHeight="1">
      <c r="A7" s="49"/>
      <c r="B7" t="s">
        <v>532</v>
      </c>
      <c r="C7" t="s">
        <v>2704</v>
      </c>
      <c r="D7" t="s">
        <v>193</v>
      </c>
      <c r="F7" t="s">
        <v>193</v>
      </c>
    </row>
    <row r="8" spans="1:8" ht="15" customHeight="1">
      <c r="A8" s="49"/>
      <c r="B8" t="s">
        <v>2705</v>
      </c>
      <c r="C8" t="s">
        <v>2706</v>
      </c>
      <c r="D8" t="s">
        <v>193</v>
      </c>
      <c r="F8" t="s">
        <v>196</v>
      </c>
      <c r="G8" t="s">
        <v>110</v>
      </c>
      <c r="H8" t="s">
        <v>1761</v>
      </c>
    </row>
    <row r="9" spans="1:8" ht="15" customHeight="1">
      <c r="A9" s="49"/>
      <c r="B9" t="s">
        <v>2707</v>
      </c>
      <c r="C9" t="s">
        <v>2708</v>
      </c>
      <c r="D9" t="s">
        <v>193</v>
      </c>
      <c r="F9" t="s">
        <v>196</v>
      </c>
      <c r="G9" t="s">
        <v>110</v>
      </c>
      <c r="H9" t="s">
        <v>1761</v>
      </c>
    </row>
    <row r="10" spans="1:8" ht="15" customHeight="1">
      <c r="A10" s="49" t="s">
        <v>536</v>
      </c>
      <c r="B10" t="s">
        <v>868</v>
      </c>
      <c r="C10" t="s">
        <v>2709</v>
      </c>
      <c r="D10" t="s">
        <v>196</v>
      </c>
      <c r="E10" t="s">
        <v>2710</v>
      </c>
    </row>
    <row r="11" spans="1:8">
      <c r="A11" s="49"/>
      <c r="B11" t="s">
        <v>2711</v>
      </c>
      <c r="C11" t="s">
        <v>2712</v>
      </c>
      <c r="D11" t="s">
        <v>733</v>
      </c>
      <c r="E11" t="s">
        <v>219</v>
      </c>
      <c r="F11" t="s">
        <v>196</v>
      </c>
      <c r="G11" t="s">
        <v>111</v>
      </c>
      <c r="H11" t="s">
        <v>2713</v>
      </c>
    </row>
    <row r="12" spans="1:8">
      <c r="A12" s="49"/>
      <c r="B12" t="s">
        <v>2714</v>
      </c>
      <c r="C12" t="s">
        <v>2715</v>
      </c>
      <c r="D12" t="s">
        <v>193</v>
      </c>
      <c r="F12" t="s">
        <v>196</v>
      </c>
      <c r="G12" t="s">
        <v>110</v>
      </c>
      <c r="H12" t="s">
        <v>1761</v>
      </c>
    </row>
    <row r="13" spans="1:8" ht="16.350000000000001" customHeight="1">
      <c r="A13" s="49" t="s">
        <v>589</v>
      </c>
      <c r="B13" t="s">
        <v>916</v>
      </c>
      <c r="C13" t="s">
        <v>2716</v>
      </c>
      <c r="D13" t="s">
        <v>196</v>
      </c>
      <c r="E13" t="s">
        <v>226</v>
      </c>
    </row>
    <row r="14" spans="1:8">
      <c r="A14" s="49"/>
      <c r="B14" t="s">
        <v>2717</v>
      </c>
      <c r="C14" t="s">
        <v>2718</v>
      </c>
      <c r="D14" t="s">
        <v>193</v>
      </c>
      <c r="F14" t="s">
        <v>196</v>
      </c>
      <c r="G14" t="s">
        <v>110</v>
      </c>
      <c r="H14" t="s">
        <v>1761</v>
      </c>
    </row>
    <row r="15" spans="1:8">
      <c r="A15" s="49"/>
      <c r="B15" t="s">
        <v>612</v>
      </c>
      <c r="C15" t="s">
        <v>606</v>
      </c>
      <c r="D15" t="s">
        <v>193</v>
      </c>
      <c r="F15" t="s">
        <v>193</v>
      </c>
    </row>
    <row r="16" spans="1:8" ht="15" customHeight="1">
      <c r="A16" s="44" t="s">
        <v>613</v>
      </c>
      <c r="B16" t="s">
        <v>2719</v>
      </c>
      <c r="C16" t="s">
        <v>1266</v>
      </c>
      <c r="D16" t="s">
        <v>196</v>
      </c>
      <c r="E16" t="s">
        <v>231</v>
      </c>
    </row>
    <row r="17" spans="1:8">
      <c r="A17" s="44"/>
      <c r="B17" t="s">
        <v>2720</v>
      </c>
      <c r="C17" t="s">
        <v>2721</v>
      </c>
      <c r="D17" t="s">
        <v>196</v>
      </c>
      <c r="E17" t="s">
        <v>231</v>
      </c>
    </row>
    <row r="18" spans="1:8">
      <c r="A18" s="44"/>
      <c r="B18" t="s">
        <v>2722</v>
      </c>
      <c r="C18" t="s">
        <v>2723</v>
      </c>
      <c r="D18" t="s">
        <v>196</v>
      </c>
      <c r="E18" t="s">
        <v>231</v>
      </c>
    </row>
    <row r="19" spans="1:8" ht="15" customHeight="1">
      <c r="A19" s="49" t="s">
        <v>625</v>
      </c>
      <c r="B19" t="s">
        <v>2724</v>
      </c>
      <c r="C19" t="s">
        <v>2725</v>
      </c>
      <c r="D19" t="s">
        <v>196</v>
      </c>
      <c r="E19" t="s">
        <v>233</v>
      </c>
    </row>
    <row r="20" spans="1:8">
      <c r="A20" s="49"/>
      <c r="B20" t="s">
        <v>2726</v>
      </c>
      <c r="C20" t="s">
        <v>2727</v>
      </c>
      <c r="D20" t="s">
        <v>196</v>
      </c>
      <c r="E20" t="s">
        <v>233</v>
      </c>
    </row>
    <row r="21" spans="1:8">
      <c r="A21" s="49"/>
      <c r="B21" t="s">
        <v>2728</v>
      </c>
      <c r="C21" t="s">
        <v>2729</v>
      </c>
      <c r="D21" t="s">
        <v>196</v>
      </c>
      <c r="E21" t="s">
        <v>233</v>
      </c>
    </row>
    <row r="22" spans="1:8" ht="29.1">
      <c r="A22" s="3" t="s">
        <v>657</v>
      </c>
      <c r="B22" t="s">
        <v>1023</v>
      </c>
      <c r="C22" t="s">
        <v>2730</v>
      </c>
      <c r="D22" t="s">
        <v>196</v>
      </c>
      <c r="E22" t="s">
        <v>240</v>
      </c>
      <c r="H22" t="s">
        <v>1770</v>
      </c>
    </row>
    <row r="23" spans="1:8" ht="15" customHeight="1">
      <c r="A23" s="49" t="s">
        <v>667</v>
      </c>
      <c r="B23" t="s">
        <v>2731</v>
      </c>
      <c r="C23" t="s">
        <v>2732</v>
      </c>
      <c r="D23" t="s">
        <v>196</v>
      </c>
      <c r="E23" t="s">
        <v>246</v>
      </c>
    </row>
    <row r="24" spans="1:8">
      <c r="A24" s="49"/>
      <c r="B24" t="s">
        <v>2733</v>
      </c>
      <c r="C24" t="s">
        <v>2734</v>
      </c>
      <c r="D24" t="s">
        <v>193</v>
      </c>
      <c r="F24" t="s">
        <v>196</v>
      </c>
      <c r="G24" t="s">
        <v>114</v>
      </c>
      <c r="H24" t="s">
        <v>1604</v>
      </c>
    </row>
    <row r="25" spans="1:8">
      <c r="A25" s="49"/>
      <c r="B25" t="s">
        <v>2735</v>
      </c>
      <c r="C25" t="s">
        <v>2736</v>
      </c>
      <c r="D25" t="s">
        <v>196</v>
      </c>
      <c r="E25" t="s">
        <v>246</v>
      </c>
    </row>
    <row r="26" spans="1:8">
      <c r="A26" s="49"/>
      <c r="B26" t="s">
        <v>1080</v>
      </c>
      <c r="C26" t="s">
        <v>2737</v>
      </c>
      <c r="D26" t="s">
        <v>196</v>
      </c>
      <c r="E26" t="s">
        <v>248</v>
      </c>
    </row>
    <row r="27" spans="1:8" ht="15" customHeight="1">
      <c r="A27" s="49" t="s">
        <v>695</v>
      </c>
      <c r="B27" t="s">
        <v>2738</v>
      </c>
      <c r="C27" t="s">
        <v>1297</v>
      </c>
      <c r="D27" s="31" t="s">
        <v>193</v>
      </c>
      <c r="F27" s="31" t="s">
        <v>196</v>
      </c>
      <c r="G27" t="s">
        <v>114</v>
      </c>
      <c r="H27" t="s">
        <v>2739</v>
      </c>
    </row>
    <row r="28" spans="1:8">
      <c r="A28" s="49"/>
      <c r="B28" t="s">
        <v>2740</v>
      </c>
      <c r="C28" t="s">
        <v>2741</v>
      </c>
      <c r="D28" s="31" t="s">
        <v>193</v>
      </c>
      <c r="F28" s="31" t="s">
        <v>196</v>
      </c>
      <c r="G28" t="s">
        <v>110</v>
      </c>
      <c r="H28" t="s">
        <v>1761</v>
      </c>
    </row>
    <row r="29" spans="1:8">
      <c r="A29" s="49"/>
      <c r="B29" t="s">
        <v>2742</v>
      </c>
      <c r="C29" t="s">
        <v>2743</v>
      </c>
      <c r="D29" s="31" t="s">
        <v>193</v>
      </c>
      <c r="F29" s="31" t="s">
        <v>196</v>
      </c>
      <c r="G29" t="s">
        <v>114</v>
      </c>
      <c r="H29" t="s">
        <v>1604</v>
      </c>
    </row>
    <row r="30" spans="1:8">
      <c r="A30" s="49"/>
      <c r="B30" t="s">
        <v>1122</v>
      </c>
      <c r="C30" t="s">
        <v>2744</v>
      </c>
      <c r="D30" s="32" t="s">
        <v>196</v>
      </c>
      <c r="E30" t="s">
        <v>254</v>
      </c>
    </row>
    <row r="31" spans="1:8" ht="14.45" customHeight="1">
      <c r="B31" s="16" t="s">
        <v>261</v>
      </c>
      <c r="C31" s="16" t="s">
        <v>193</v>
      </c>
      <c r="D31" s="16">
        <f>COUNTIF(D2:D30,"No")</f>
        <v>10</v>
      </c>
      <c r="E31" s="16" t="s">
        <v>69</v>
      </c>
      <c r="F31" s="16">
        <f>COUNTIF(F2:F30,"Yes")</f>
        <v>9</v>
      </c>
    </row>
    <row r="32" spans="1:8" ht="14.45" customHeight="1">
      <c r="B32" s="6"/>
      <c r="C32" s="16" t="s">
        <v>196</v>
      </c>
      <c r="D32" s="16">
        <f>COUNTIF(D2:D30,"Yes")</f>
        <v>18</v>
      </c>
      <c r="E32" s="16" t="s">
        <v>70</v>
      </c>
      <c r="F32">
        <f>COUNTIFS(D:D,"Partial",F:F,"Yes")</f>
        <v>1</v>
      </c>
    </row>
    <row r="33" spans="2:6" ht="14.45" customHeight="1">
      <c r="B33" s="6"/>
      <c r="C33" s="16" t="s">
        <v>733</v>
      </c>
      <c r="D33" s="16">
        <f>COUNTIF(D2:D30,"Partial")</f>
        <v>1</v>
      </c>
      <c r="E33" s="10" t="s">
        <v>110</v>
      </c>
      <c r="F33">
        <f>COUNTIF($G$2:$G$30,E33)</f>
        <v>5</v>
      </c>
    </row>
    <row r="34" spans="2:6" ht="15">
      <c r="E34" s="10" t="s">
        <v>111</v>
      </c>
      <c r="F34">
        <f t="shared" ref="F34:F37" si="0">COUNTIF($G$2:$G$30,E34)</f>
        <v>1</v>
      </c>
    </row>
    <row r="35" spans="2:6" ht="15">
      <c r="E35" s="10" t="s">
        <v>112</v>
      </c>
      <c r="F35">
        <f t="shared" si="0"/>
        <v>0</v>
      </c>
    </row>
    <row r="36" spans="2:6" ht="15">
      <c r="E36" s="10" t="s">
        <v>480</v>
      </c>
      <c r="F36">
        <f t="shared" si="0"/>
        <v>0</v>
      </c>
    </row>
    <row r="37" spans="2:6" ht="15">
      <c r="E37" s="10" t="s">
        <v>114</v>
      </c>
      <c r="F37">
        <f t="shared" si="0"/>
        <v>3</v>
      </c>
    </row>
    <row r="38" spans="2:6" ht="15"/>
    <row r="39" spans="2:6" ht="15">
      <c r="E39" s="16" t="s">
        <v>1175</v>
      </c>
      <c r="F39" s="16">
        <f>COUNTIF(F2:F30,"No")</f>
        <v>2</v>
      </c>
    </row>
  </sheetData>
  <mergeCells count="8">
    <mergeCell ref="A19:A21"/>
    <mergeCell ref="A23:A26"/>
    <mergeCell ref="A27:A30"/>
    <mergeCell ref="A3:A4"/>
    <mergeCell ref="A5:A9"/>
    <mergeCell ref="A10:A12"/>
    <mergeCell ref="A13:A15"/>
    <mergeCell ref="A16:A18"/>
  </mergeCells>
  <conditionalFormatting sqref="D2:D26">
    <cfRule type="containsText" dxfId="13" priority="2" operator="containsText" text="Partial">
      <formula>NOT(ISERROR(SEARCH("Partial",D2)))</formula>
    </cfRule>
    <cfRule type="containsText" dxfId="12" priority="3" operator="containsText" text="No">
      <formula>NOT(ISERROR(SEARCH("No",D2)))</formula>
    </cfRule>
    <cfRule type="containsText" dxfId="11" priority="4" operator="containsText" text="Yes">
      <formula>NOT(ISERROR(SEARCH("Yes",D2)))</formula>
    </cfRule>
  </conditionalFormatting>
  <conditionalFormatting sqref="F2:F26">
    <cfRule type="containsText" dxfId="10" priority="5" operator="containsText" text="No">
      <formula>NOT(ISERROR(SEARCH("No",F2)))</formula>
    </cfRule>
    <cfRule type="containsText" dxfId="9" priority="6" operator="containsText" text="Yes">
      <formula>NOT(ISERROR(SEARCH("Yes",F2)))</formula>
    </cfRule>
  </conditionalFormatting>
  <conditionalFormatting sqref="G2:G108">
    <cfRule type="containsText" dxfId="8" priority="7" operator="containsText" text="No">
      <formula>NOT(ISERROR(SEARCH("No",G2)))</formula>
    </cfRule>
    <cfRule type="containsText" dxfId="7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30" xr:uid="{00000000-0002-0000-2500-000000000000}">
      <formula1>"Yes,No,Partial"</formula1>
      <formula2>0</formula2>
    </dataValidation>
    <dataValidation type="list" operator="equal" allowBlank="1" showInputMessage="1" showErrorMessage="1" sqref="F2:F26" xr:uid="{00000000-0002-0000-2500-000001000000}">
      <formula1>"Yes,No"</formula1>
      <formula2>0</formula2>
    </dataValidation>
    <dataValidation operator="equal" allowBlank="1" showInputMessage="1" showErrorMessage="1" sqref="G2:G108" xr:uid="{00000000-0002-0000-25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37"/>
  <sheetViews>
    <sheetView zoomScale="85" zoomScaleNormal="85" workbookViewId="0">
      <selection activeCell="E30" sqref="E30:F30"/>
    </sheetView>
  </sheetViews>
  <sheetFormatPr defaultColWidth="9.140625" defaultRowHeight="14.45"/>
  <cols>
    <col min="1" max="1" width="60.7109375" style="3" customWidth="1"/>
    <col min="3" max="3" width="60.7109375" customWidth="1"/>
    <col min="4" max="4" width="14.7109375" customWidth="1"/>
    <col min="5" max="5" width="30.7109375" customWidth="1"/>
    <col min="6" max="7" width="14.7109375" customWidth="1"/>
    <col min="8" max="8" width="60.7109375" customWidth="1"/>
  </cols>
  <sheetData>
    <row r="1" spans="1:8" s="7" customFormat="1">
      <c r="A1" s="7" t="s">
        <v>504</v>
      </c>
      <c r="B1" s="7" t="s">
        <v>45</v>
      </c>
      <c r="C1" s="7" t="s">
        <v>1128</v>
      </c>
      <c r="D1" s="7" t="s">
        <v>731</v>
      </c>
      <c r="E1" s="7" t="s">
        <v>732</v>
      </c>
      <c r="F1" s="7" t="s">
        <v>1129</v>
      </c>
      <c r="G1" s="7" t="s">
        <v>1130</v>
      </c>
      <c r="H1" s="7" t="s">
        <v>1131</v>
      </c>
    </row>
    <row r="2" spans="1:8" ht="15" customHeight="1">
      <c r="A2" s="4" t="s">
        <v>508</v>
      </c>
      <c r="B2" t="s">
        <v>760</v>
      </c>
      <c r="C2" t="s">
        <v>2745</v>
      </c>
      <c r="D2" t="s">
        <v>196</v>
      </c>
      <c r="E2" t="s">
        <v>191</v>
      </c>
    </row>
    <row r="3" spans="1:8" ht="15" customHeight="1">
      <c r="A3" s="4" t="s">
        <v>513</v>
      </c>
      <c r="B3" t="s">
        <v>2746</v>
      </c>
      <c r="C3" t="s">
        <v>2747</v>
      </c>
      <c r="D3" t="s">
        <v>196</v>
      </c>
      <c r="E3" t="s">
        <v>199</v>
      </c>
    </row>
    <row r="4" spans="1:8" ht="15" customHeight="1">
      <c r="A4" s="49" t="s">
        <v>519</v>
      </c>
      <c r="B4" t="s">
        <v>2748</v>
      </c>
      <c r="C4" t="s">
        <v>2749</v>
      </c>
      <c r="D4" t="s">
        <v>196</v>
      </c>
      <c r="E4" t="s">
        <v>202</v>
      </c>
    </row>
    <row r="5" spans="1:8" ht="15" customHeight="1">
      <c r="A5" s="49"/>
      <c r="B5" t="s">
        <v>2750</v>
      </c>
      <c r="C5" t="s">
        <v>2751</v>
      </c>
      <c r="D5" t="s">
        <v>196</v>
      </c>
      <c r="E5" t="s">
        <v>202</v>
      </c>
    </row>
    <row r="6" spans="1:8" ht="15" customHeight="1">
      <c r="A6" s="49"/>
      <c r="B6" t="s">
        <v>2752</v>
      </c>
      <c r="C6" t="s">
        <v>1844</v>
      </c>
      <c r="D6" t="s">
        <v>196</v>
      </c>
      <c r="E6" t="s">
        <v>202</v>
      </c>
    </row>
    <row r="7" spans="1:8" ht="15" customHeight="1">
      <c r="A7" s="49"/>
      <c r="B7" t="s">
        <v>2753</v>
      </c>
      <c r="C7" t="s">
        <v>2754</v>
      </c>
      <c r="D7" t="s">
        <v>196</v>
      </c>
      <c r="E7" t="s">
        <v>202</v>
      </c>
    </row>
    <row r="8" spans="1:8" ht="15" customHeight="1">
      <c r="A8" s="49"/>
      <c r="B8" t="s">
        <v>2755</v>
      </c>
      <c r="C8" t="s">
        <v>2756</v>
      </c>
      <c r="D8" t="s">
        <v>193</v>
      </c>
      <c r="F8" t="s">
        <v>196</v>
      </c>
      <c r="G8" t="s">
        <v>110</v>
      </c>
      <c r="H8" t="s">
        <v>1761</v>
      </c>
    </row>
    <row r="9" spans="1:8" ht="15" customHeight="1">
      <c r="A9" s="49"/>
      <c r="B9" t="s">
        <v>533</v>
      </c>
      <c r="C9" t="s">
        <v>2757</v>
      </c>
      <c r="D9" t="s">
        <v>193</v>
      </c>
      <c r="F9" t="s">
        <v>193</v>
      </c>
    </row>
    <row r="10" spans="1:8" ht="15" customHeight="1">
      <c r="A10" s="49" t="s">
        <v>536</v>
      </c>
      <c r="B10" t="s">
        <v>2758</v>
      </c>
      <c r="C10" t="s">
        <v>2759</v>
      </c>
      <c r="D10" t="s">
        <v>196</v>
      </c>
      <c r="E10" t="s">
        <v>219</v>
      </c>
    </row>
    <row r="11" spans="1:8">
      <c r="A11" s="49"/>
      <c r="B11" t="s">
        <v>2760</v>
      </c>
      <c r="C11" t="s">
        <v>2761</v>
      </c>
      <c r="D11" t="s">
        <v>196</v>
      </c>
      <c r="E11" t="s">
        <v>219</v>
      </c>
    </row>
    <row r="12" spans="1:8">
      <c r="A12" s="49"/>
      <c r="B12" t="s">
        <v>2762</v>
      </c>
      <c r="C12" t="s">
        <v>2763</v>
      </c>
      <c r="D12" t="s">
        <v>196</v>
      </c>
      <c r="E12" t="s">
        <v>219</v>
      </c>
    </row>
    <row r="13" spans="1:8" ht="16.350000000000001" customHeight="1">
      <c r="A13" s="49" t="s">
        <v>589</v>
      </c>
      <c r="B13" t="s">
        <v>917</v>
      </c>
      <c r="C13" t="s">
        <v>2764</v>
      </c>
      <c r="D13" t="s">
        <v>196</v>
      </c>
      <c r="E13" t="s">
        <v>226</v>
      </c>
    </row>
    <row r="14" spans="1:8">
      <c r="A14" s="49"/>
      <c r="B14" t="s">
        <v>2765</v>
      </c>
      <c r="C14" t="s">
        <v>2766</v>
      </c>
      <c r="D14" t="s">
        <v>196</v>
      </c>
      <c r="E14" t="s">
        <v>288</v>
      </c>
    </row>
    <row r="15" spans="1:8">
      <c r="A15" s="49"/>
      <c r="B15" t="s">
        <v>2767</v>
      </c>
      <c r="C15" t="s">
        <v>2768</v>
      </c>
      <c r="D15" t="s">
        <v>196</v>
      </c>
      <c r="E15" t="s">
        <v>288</v>
      </c>
    </row>
    <row r="16" spans="1:8" ht="15" customHeight="1">
      <c r="A16" s="3" t="s">
        <v>613</v>
      </c>
      <c r="B16" t="s">
        <v>948</v>
      </c>
      <c r="C16" t="s">
        <v>614</v>
      </c>
      <c r="D16" t="s">
        <v>196</v>
      </c>
      <c r="E16" t="s">
        <v>231</v>
      </c>
    </row>
    <row r="17" spans="1:8" ht="15" customHeight="1">
      <c r="A17" s="49" t="s">
        <v>625</v>
      </c>
      <c r="B17" t="s">
        <v>2769</v>
      </c>
      <c r="C17" t="s">
        <v>2770</v>
      </c>
      <c r="D17" t="s">
        <v>196</v>
      </c>
      <c r="E17" t="s">
        <v>233</v>
      </c>
    </row>
    <row r="18" spans="1:8">
      <c r="A18" s="49"/>
      <c r="B18" t="s">
        <v>2771</v>
      </c>
      <c r="C18" t="s">
        <v>2772</v>
      </c>
      <c r="D18" t="s">
        <v>196</v>
      </c>
      <c r="E18" t="s">
        <v>233</v>
      </c>
    </row>
    <row r="19" spans="1:8">
      <c r="A19" s="49"/>
      <c r="B19" t="s">
        <v>2773</v>
      </c>
      <c r="C19" t="s">
        <v>2774</v>
      </c>
      <c r="D19" t="s">
        <v>196</v>
      </c>
      <c r="E19" t="s">
        <v>233</v>
      </c>
    </row>
    <row r="20" spans="1:8">
      <c r="A20" s="49"/>
      <c r="B20" t="s">
        <v>2775</v>
      </c>
      <c r="C20" t="s">
        <v>2776</v>
      </c>
      <c r="D20" t="s">
        <v>196</v>
      </c>
      <c r="E20" t="s">
        <v>233</v>
      </c>
    </row>
    <row r="21" spans="1:8" ht="29.1">
      <c r="A21" s="3" t="s">
        <v>657</v>
      </c>
      <c r="B21" t="s">
        <v>1024</v>
      </c>
      <c r="C21" t="s">
        <v>2777</v>
      </c>
      <c r="D21" t="s">
        <v>196</v>
      </c>
      <c r="E21" t="s">
        <v>240</v>
      </c>
      <c r="H21" t="s">
        <v>1770</v>
      </c>
    </row>
    <row r="22" spans="1:8" ht="15" customHeight="1">
      <c r="A22" s="49" t="s">
        <v>667</v>
      </c>
      <c r="B22" t="s">
        <v>2778</v>
      </c>
      <c r="C22" t="s">
        <v>2779</v>
      </c>
      <c r="D22" t="s">
        <v>196</v>
      </c>
      <c r="E22" t="s">
        <v>246</v>
      </c>
    </row>
    <row r="23" spans="1:8">
      <c r="A23" s="49"/>
      <c r="B23" t="s">
        <v>1081</v>
      </c>
      <c r="C23" t="s">
        <v>2780</v>
      </c>
      <c r="D23" t="s">
        <v>196</v>
      </c>
      <c r="E23" t="s">
        <v>248</v>
      </c>
    </row>
    <row r="24" spans="1:8">
      <c r="A24" s="49"/>
      <c r="B24" t="s">
        <v>2781</v>
      </c>
      <c r="C24" t="s">
        <v>2782</v>
      </c>
      <c r="D24" t="s">
        <v>196</v>
      </c>
      <c r="E24" t="s">
        <v>246</v>
      </c>
    </row>
    <row r="25" spans="1:8">
      <c r="A25" s="49"/>
      <c r="B25" t="s">
        <v>2783</v>
      </c>
      <c r="C25" t="s">
        <v>2784</v>
      </c>
      <c r="D25" t="s">
        <v>193</v>
      </c>
      <c r="F25" t="s">
        <v>196</v>
      </c>
      <c r="G25" t="s">
        <v>114</v>
      </c>
      <c r="H25" t="s">
        <v>1604</v>
      </c>
    </row>
    <row r="26" spans="1:8" ht="15" customHeight="1">
      <c r="A26" s="49" t="s">
        <v>695</v>
      </c>
      <c r="B26" t="s">
        <v>1123</v>
      </c>
      <c r="C26" t="s">
        <v>2785</v>
      </c>
      <c r="D26" t="s">
        <v>733</v>
      </c>
      <c r="E26" t="s">
        <v>254</v>
      </c>
      <c r="F26" t="s">
        <v>196</v>
      </c>
      <c r="G26" t="s">
        <v>114</v>
      </c>
      <c r="H26" t="s">
        <v>2786</v>
      </c>
    </row>
    <row r="27" spans="1:8">
      <c r="A27" s="49"/>
      <c r="B27" t="s">
        <v>2787</v>
      </c>
      <c r="C27" t="s">
        <v>2788</v>
      </c>
      <c r="D27" t="s">
        <v>193</v>
      </c>
      <c r="F27" t="s">
        <v>196</v>
      </c>
      <c r="G27" t="s">
        <v>114</v>
      </c>
      <c r="H27" t="s">
        <v>2739</v>
      </c>
    </row>
    <row r="28" spans="1:8">
      <c r="A28" s="49"/>
      <c r="B28" t="s">
        <v>1096</v>
      </c>
      <c r="C28" t="s">
        <v>2789</v>
      </c>
      <c r="D28" t="s">
        <v>196</v>
      </c>
      <c r="E28" t="s">
        <v>351</v>
      </c>
    </row>
    <row r="29" spans="1:8" ht="14.45" customHeight="1">
      <c r="B29" s="16" t="s">
        <v>261</v>
      </c>
      <c r="C29" s="16" t="s">
        <v>193</v>
      </c>
      <c r="D29" s="16">
        <f>COUNTIF(D2:D28,"No")</f>
        <v>4</v>
      </c>
      <c r="E29" s="16" t="s">
        <v>69</v>
      </c>
      <c r="F29" s="16">
        <f>COUNTIF(F2:F28,"Yes")</f>
        <v>4</v>
      </c>
    </row>
    <row r="30" spans="1:8" ht="14.45" customHeight="1">
      <c r="B30" s="6"/>
      <c r="C30" s="16" t="s">
        <v>196</v>
      </c>
      <c r="D30" s="16">
        <f>COUNTIF(D2:D28,"Yes")</f>
        <v>22</v>
      </c>
      <c r="E30" s="16" t="s">
        <v>70</v>
      </c>
      <c r="F30">
        <f>COUNTIFS(D:D,"Partial",F:F,"Yes")</f>
        <v>1</v>
      </c>
    </row>
    <row r="31" spans="1:8" ht="14.45" customHeight="1">
      <c r="B31" s="6"/>
      <c r="C31" s="16" t="s">
        <v>733</v>
      </c>
      <c r="D31" s="16">
        <f>COUNTIF(D2:D28,"Partial")</f>
        <v>1</v>
      </c>
      <c r="E31" s="10" t="s">
        <v>110</v>
      </c>
      <c r="F31">
        <f>COUNTIF($G$2:$G$28,E31)</f>
        <v>1</v>
      </c>
    </row>
    <row r="32" spans="1:8" ht="15">
      <c r="E32" s="10" t="s">
        <v>111</v>
      </c>
      <c r="F32">
        <f t="shared" ref="F32:F35" si="0">COUNTIF($G$2:$G$28,E32)</f>
        <v>0</v>
      </c>
    </row>
    <row r="33" spans="5:6" ht="15">
      <c r="E33" s="10" t="s">
        <v>112</v>
      </c>
      <c r="F33">
        <f t="shared" si="0"/>
        <v>0</v>
      </c>
    </row>
    <row r="34" spans="5:6" ht="15">
      <c r="E34" s="10" t="s">
        <v>480</v>
      </c>
      <c r="F34">
        <f t="shared" si="0"/>
        <v>0</v>
      </c>
    </row>
    <row r="35" spans="5:6" ht="15">
      <c r="E35" s="10" t="s">
        <v>114</v>
      </c>
      <c r="F35">
        <f t="shared" si="0"/>
        <v>3</v>
      </c>
    </row>
    <row r="36" spans="5:6" ht="15"/>
    <row r="37" spans="5:6" ht="15">
      <c r="E37" s="16" t="s">
        <v>1175</v>
      </c>
      <c r="F37" s="16">
        <f>COUNTIF(F2:F28,"No")</f>
        <v>1</v>
      </c>
    </row>
  </sheetData>
  <mergeCells count="6">
    <mergeCell ref="A26:A28"/>
    <mergeCell ref="A4:A9"/>
    <mergeCell ref="A10:A12"/>
    <mergeCell ref="A13:A15"/>
    <mergeCell ref="A17:A20"/>
    <mergeCell ref="A22:A25"/>
  </mergeCells>
  <conditionalFormatting sqref="D2:D28">
    <cfRule type="containsText" dxfId="6" priority="4" operator="containsText" text="Partial">
      <formula>NOT(ISERROR(SEARCH("Partial",D2)))</formula>
    </cfRule>
    <cfRule type="containsText" dxfId="5" priority="5" operator="containsText" text="No">
      <formula>NOT(ISERROR(SEARCH("No",D2)))</formula>
    </cfRule>
    <cfRule type="containsText" dxfId="4" priority="6" operator="containsText" text="Yes">
      <formula>NOT(ISERROR(SEARCH("Yes",D2)))</formula>
    </cfRule>
  </conditionalFormatting>
  <conditionalFormatting sqref="F2:F28">
    <cfRule type="containsText" dxfId="3" priority="2" operator="containsText" text="No">
      <formula>NOT(ISERROR(SEARCH("No",F2)))</formula>
    </cfRule>
    <cfRule type="containsText" dxfId="2" priority="3" operator="containsText" text="Yes">
      <formula>NOT(ISERROR(SEARCH("Yes",F2)))</formula>
    </cfRule>
  </conditionalFormatting>
  <conditionalFormatting sqref="G2:G108">
    <cfRule type="containsText" dxfId="1" priority="7" operator="containsText" text="No">
      <formula>NOT(ISERROR(SEARCH("No",G2)))</formula>
    </cfRule>
    <cfRule type="containsText" dxfId="0" priority="8" operator="containsText" text="Yes">
      <formula>NOT(ISERROR(SEARCH("Yes",G2)))</formula>
    </cfRule>
  </conditionalFormatting>
  <dataValidations count="3">
    <dataValidation type="list" operator="equal" allowBlank="1" showInputMessage="1" showErrorMessage="1" sqref="D2:D28" xr:uid="{00000000-0002-0000-2600-000000000000}">
      <formula1>"Yes,No,Partial"</formula1>
      <formula2>0</formula2>
    </dataValidation>
    <dataValidation type="list" operator="equal" allowBlank="1" showInputMessage="1" showErrorMessage="1" sqref="F2:F28" xr:uid="{00000000-0002-0000-2600-000001000000}">
      <formula1>"Yes,No"</formula1>
      <formula2>0</formula2>
    </dataValidation>
    <dataValidation operator="equal" allowBlank="1" showInputMessage="1" showErrorMessage="1" sqref="G2:G108" xr:uid="{00000000-0002-0000-2600-000002000000}">
      <formula1>0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4e24dd-306d-4fe6-b12e-9796b994e0bc">
      <Terms xmlns="http://schemas.microsoft.com/office/infopath/2007/PartnerControls"/>
    </lcf76f155ced4ddcb4097134ff3c332f>
    <TaxCatchAll xmlns="3f25d8c3-6b22-48b1-be24-ff67ed56c70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0BB5DA0B0CCAE4590BF69FF9332D7FE" ma:contentTypeVersion="15" ma:contentTypeDescription="Crear nuevo documento." ma:contentTypeScope="" ma:versionID="de83a70e401c01e196bed2b39855d419">
  <xsd:schema xmlns:xsd="http://www.w3.org/2001/XMLSchema" xmlns:xs="http://www.w3.org/2001/XMLSchema" xmlns:p="http://schemas.microsoft.com/office/2006/metadata/properties" xmlns:ns2="754e24dd-306d-4fe6-b12e-9796b994e0bc" xmlns:ns3="3f25d8c3-6b22-48b1-be24-ff67ed56c70e" targetNamespace="http://schemas.microsoft.com/office/2006/metadata/properties" ma:root="true" ma:fieldsID="ceeb74116d860cf6a02eea690c87be2a" ns2:_="" ns3:_="">
    <xsd:import namespace="754e24dd-306d-4fe6-b12e-9796b994e0bc"/>
    <xsd:import namespace="3f25d8c3-6b22-48b1-be24-ff67ed56c70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4e24dd-306d-4fe6-b12e-9796b994e0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6b79bab5-423c-41bb-b2a6-fa644551eac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25d8c3-6b22-48b1-be24-ff67ed56c70e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01a680c-827e-4a59-8cf9-bd12f48a7fa5}" ma:internalName="TaxCatchAll" ma:showField="CatchAllData" ma:web="3f25d8c3-6b22-48b1-be24-ff67ed56c70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3549BE-3DBA-428F-99F0-8C98071366A9}"/>
</file>

<file path=customXml/itemProps2.xml><?xml version="1.0" encoding="utf-8"?>
<ds:datastoreItem xmlns:ds="http://schemas.openxmlformats.org/officeDocument/2006/customXml" ds:itemID="{D09942EB-EEC9-4484-A9D8-D0B026D48619}"/>
</file>

<file path=customXml/itemProps3.xml><?xml version="1.0" encoding="utf-8"?>
<ds:datastoreItem xmlns:ds="http://schemas.openxmlformats.org/officeDocument/2006/customXml" ds:itemID="{B056D865-0E5D-468E-A88B-5106F3DE23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2</cp:revision>
  <dcterms:created xsi:type="dcterms:W3CDTF">2025-11-02T23:37:10Z</dcterms:created>
  <dcterms:modified xsi:type="dcterms:W3CDTF">2025-12-07T13:10:02Z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0x010100A0BB5DA0B0CCAE4590BF69FF9332D7FE</vt:lpwstr>
  </property>
  <property fmtid="{D5CDD505-2E9C-101B-9397-08002B2CF9AE}" pid="3" name="MediaServiceImageTags">
    <vt:lpwstr/>
  </property>
</Properties>
</file>