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500" firstSheet="9" activeTab="8" autoFilterDateGrouping="1"/>
  </bookViews>
  <sheets>
    <sheet name="Models" sheetId="1" state="visible" r:id="rId1"/>
    <sheet name="Summary" sheetId="2" state="visible" r:id="rId2"/>
    <sheet name="Summary {V}" sheetId="3" state="visible" r:id="rId3"/>
    <sheet name="{V} L3" sheetId="4" state="visible" r:id="rId4"/>
    <sheet name="{V} L0" sheetId="5" state="visible" r:id="rId5"/>
    <sheet name="{V} Q0" sheetId="6" state="visible" r:id="rId6"/>
    <sheet name="{V} M0" sheetId="7" state="visible" r:id="rId7"/>
    <sheet name="{V} G0" sheetId="8" state="visible" r:id="rId8"/>
    <sheet name="{V} InterModel" sheetId="9" state="visible" r:id="rId9"/>
    <sheet name="{C} GS to X" sheetId="10" state="visible" r:id="rId10"/>
    <sheet name="{C} Human to X" sheetId="11" state="visible" r:id="rId11"/>
    <sheet name="{C} L0" sheetId="12" state="visible" r:id="rId12"/>
    <sheet name="{C} L0_ii" sheetId="13" state="visible" r:id="rId13"/>
    <sheet name="{C} L0_iii" sheetId="14" state="visible" r:id="rId14"/>
    <sheet name="{C} L0_iv" sheetId="15" state="visible" r:id="rId15"/>
    <sheet name="{C} L1" sheetId="16" state="visible" r:id="rId16"/>
    <sheet name="{C} L2" sheetId="17" state="visible" r:id="rId17"/>
    <sheet name="{C} L3" sheetId="18" state="visible" r:id="rId18"/>
    <sheet name="{C} L4" sheetId="19" state="visible" r:id="rId19"/>
    <sheet name="{C} L5" sheetId="20" state="visible" r:id="rId20"/>
    <sheet name="{C} L0a" sheetId="21" state="visible" r:id="rId21"/>
    <sheet name="{C} L0b" sheetId="22" state="visible" r:id="rId22"/>
    <sheet name="{C} Q0" sheetId="23" state="visible" r:id="rId23"/>
    <sheet name="{C} Q0_ii" sheetId="24" state="visible" r:id="rId24"/>
    <sheet name="{C} Q0_iii" sheetId="25" state="visible" r:id="rId25"/>
    <sheet name="{C} Q0_iv" sheetId="26" state="visible" r:id="rId26"/>
    <sheet name="{C} Q1" sheetId="27" state="visible" r:id="rId27"/>
    <sheet name="{C} Q2" sheetId="28" state="visible" r:id="rId28"/>
    <sheet name="{C} M0" sheetId="29" state="visible" r:id="rId29"/>
    <sheet name="{C} M0_ii" sheetId="30" state="visible" r:id="rId30"/>
    <sheet name="{C} M0_iii" sheetId="31" state="visible" r:id="rId31"/>
    <sheet name="{C} M0_iv" sheetId="32" state="visible" r:id="rId32"/>
    <sheet name="{C} M1" sheetId="33" state="visible" r:id="rId33"/>
    <sheet name="{C} M2" sheetId="34" state="visible" r:id="rId34"/>
    <sheet name="{C} G0" sheetId="35" state="visible" r:id="rId35"/>
    <sheet name="{C} G0_ii" sheetId="36" state="visible" r:id="rId36"/>
    <sheet name="{C} G0_iii" sheetId="37" state="visible" r:id="rId37"/>
    <sheet name="{C} G0_iv" sheetId="38" state="visible" r:id="rId38"/>
    <sheet name="{C} G1" sheetId="39" state="visible" r:id="rId39"/>
    <sheet name="{C} G2" sheetId="40" state="visible" r:id="rId40"/>
  </sheets>
  <definedNames>
    <definedName name="_xlnm._FilterDatabase" localSheetId="3" hidden="1">'{V} L3'!$A$1:$F$67</definedName>
    <definedName name="_xlnm._FilterDatabase" localSheetId="4" hidden="1">'{V} L0'!$A$1:$F$59</definedName>
    <definedName name="_xlnm._FilterDatabase" localSheetId="5" hidden="1">'{V} Q0'!$A$1:$F$61</definedName>
    <definedName name="_xlnm._FilterDatabase" localSheetId="6" hidden="1">'{V} M0'!$A$1:$F$55</definedName>
    <definedName name="_xlnm._FilterDatabase" localSheetId="7" hidden="1">'{V} G0'!$A$1:$F$41</definedName>
    <definedName name="_xlnm._FilterDatabase" localSheetId="8" hidden="1">'{V} InterModel'!$A$1:$X$155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3">
    <numFmt numFmtId="164" formatCode="0.000%"/>
    <numFmt numFmtId="165" formatCode="0.0000"/>
    <numFmt numFmtId="166" formatCode="0.000"/>
  </numFmts>
  <fonts count="14">
    <font>
      <name val="Aptos Narrow"/>
      <charset val="1"/>
      <family val="2"/>
      <color rgb="FF000000"/>
      <sz val="11"/>
    </font>
    <font>
      <name val="Aptos Narrow"/>
      <charset val="1"/>
      <family val="2"/>
      <b val="1"/>
      <color rgb="FF000000"/>
      <sz val="11"/>
    </font>
    <font>
      <name val="Aptos Narrow"/>
      <charset val="1"/>
      <family val="2"/>
      <i val="1"/>
      <color rgb="FF000000"/>
      <sz val="11"/>
    </font>
    <font>
      <name val="Aptos Narrow"/>
      <charset val="1"/>
      <family val="2"/>
      <b val="1"/>
      <i val="1"/>
      <color rgb="FF000000"/>
      <sz val="11"/>
      <u val="single"/>
    </font>
    <font>
      <name val="Aptos Narrow"/>
      <charset val="1"/>
      <family val="2"/>
      <b val="1"/>
      <i val="1"/>
      <color rgb="FF000000"/>
      <sz val="11"/>
    </font>
    <font>
      <name val="Aptos Narrow"/>
      <charset val="1"/>
      <family val="2"/>
      <color rgb="FF000000"/>
      <sz val="11"/>
      <u val="single"/>
    </font>
    <font>
      <name val="Aptos Narrow"/>
      <family val="2"/>
      <color rgb="FF000000"/>
      <sz val="11"/>
    </font>
    <font>
      <name val="Aptos Narrow"/>
      <charset val="1"/>
      <family val="2"/>
      <color rgb="FF9C5700"/>
      <sz val="11"/>
    </font>
    <font>
      <name val="Aptos Narrow"/>
      <charset val="1"/>
      <family val="2"/>
      <color rgb="FF9C0006"/>
      <sz val="11"/>
    </font>
    <font>
      <name val="Aptos Narrow"/>
      <charset val="1"/>
      <family val="2"/>
      <color rgb="FF006100"/>
      <sz val="11"/>
    </font>
    <font>
      <name val="Aptos Narrow"/>
      <charset val="1"/>
      <family val="2"/>
      <color rgb="FF000000"/>
      <sz val="11"/>
    </font>
    <font>
      <name val="Aptos Narrow"/>
      <charset val="1"/>
      <family val="2"/>
      <color rgb="FFFF0000"/>
      <sz val="11"/>
    </font>
    <font>
      <name val="Aptos Narrow"/>
      <charset val="1"/>
      <b val="1"/>
      <color rgb="FF000000"/>
      <sz val="11"/>
    </font>
    <font>
      <name val="Aptos Narrow"/>
      <family val="2"/>
      <i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96DCF8"/>
        <bgColor rgb="FFA6CAEC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  <fill>
      <patternFill patternType="solid">
        <fgColor rgb="FFC6EFCE"/>
        <bgColor rgb="FFDCEAF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10" fillId="0" borderId="0"/>
    <xf numFmtId="9" fontId="10" fillId="0" borderId="0"/>
  </cellStyleXfs>
  <cellXfs count="57">
    <xf numFmtId="0" fontId="0" fillId="0" borderId="0" pivotButton="0" quotePrefix="0" xfId="0"/>
    <xf numFmtId="0" fontId="1" fillId="0" borderId="0" applyAlignment="1" pivotButton="0" quotePrefix="0" xfId="0">
      <alignment horizontal="right" wrapText="1"/>
    </xf>
    <xf numFmtId="0" fontId="1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/>
    </xf>
    <xf numFmtId="0" fontId="1" fillId="0" borderId="0" pivotButton="0" quotePrefix="0" xfId="0"/>
    <xf numFmtId="49" fontId="0" fillId="0" borderId="0" pivotButton="0" quotePrefix="0" xfId="0"/>
    <xf numFmtId="49" fontId="0" fillId="2" borderId="0" pivotButton="0" quotePrefix="0" xfId="0"/>
    <xf numFmtId="0" fontId="2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164" fontId="0" fillId="0" borderId="0" pivotButton="0" quotePrefix="0" xfId="0"/>
    <xf numFmtId="164" fontId="1" fillId="0" borderId="0" applyAlignment="1" pivotButton="0" quotePrefix="0" xfId="0">
      <alignment horizontal="right"/>
    </xf>
    <xf numFmtId="9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9" fontId="10" fillId="0" borderId="0" pivotButton="0" quotePrefix="0" xfId="1"/>
    <xf numFmtId="2" fontId="0" fillId="0" borderId="0" pivotButton="0" quotePrefix="0" xfId="0"/>
    <xf numFmtId="0" fontId="4" fillId="0" borderId="0" applyAlignment="1" pivotButton="0" quotePrefix="0" xfId="0">
      <alignment horizontal="right"/>
    </xf>
    <xf numFmtId="9" fontId="0" fillId="0" borderId="0" applyAlignment="1" pivotButton="0" quotePrefix="0" xfId="0">
      <alignment horizontal="right"/>
    </xf>
    <xf numFmtId="165" fontId="0" fillId="0" borderId="0" pivotButton="0" quotePrefix="0" xfId="0"/>
    <xf numFmtId="165" fontId="0" fillId="0" borderId="0" applyAlignment="1" pivotButton="0" quotePrefix="0" xfId="0">
      <alignment horizontal="right"/>
    </xf>
    <xf numFmtId="166" fontId="0" fillId="0" borderId="0" pivotButton="0" quotePrefix="0" xfId="0"/>
    <xf numFmtId="166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0" borderId="0" pivotButton="0" quotePrefix="0" xfId="0"/>
    <xf numFmtId="9" fontId="1" fillId="0" borderId="0" pivotButton="0" quotePrefix="0" xfId="0"/>
    <xf numFmtId="0" fontId="7" fillId="3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12" fillId="0" borderId="0" applyAlignment="1" pivotButton="0" quotePrefix="0" xfId="0">
      <alignment horizontal="right"/>
    </xf>
    <xf numFmtId="166" fontId="1" fillId="6" borderId="0" pivotButton="0" quotePrefix="0" xfId="0"/>
    <xf numFmtId="0" fontId="4" fillId="0" borderId="0" pivotButton="0" quotePrefix="0" xfId="0"/>
    <xf numFmtId="10" fontId="2" fillId="0" borderId="0" pivotButton="0" quotePrefix="0" xfId="0"/>
    <xf numFmtId="10" fontId="4" fillId="0" borderId="0" pivotButton="0" quotePrefix="0" xfId="0"/>
    <xf numFmtId="0" fontId="13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2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/>
    </xf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right" wrapText="1"/>
    </xf>
    <xf numFmtId="0" fontId="1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vertical="top" wrapText="1"/>
    </xf>
    <xf numFmtId="0" fontId="1" fillId="0" borderId="0" pivotButton="0" quotePrefix="0" xfId="0"/>
    <xf numFmtId="0" fontId="0" fillId="0" borderId="0" pivotButton="0" quotePrefix="0" xfId="0"/>
    <xf numFmtId="166" fontId="0" fillId="0" borderId="0" pivotButton="0" quotePrefix="0" xfId="0"/>
    <xf numFmtId="166" fontId="1" fillId="0" borderId="0" pivotButton="0" quotePrefix="0" xfId="0"/>
  </cellXfs>
  <cellStyles count="2">
    <cellStyle name="Normal" xfId="0" builtinId="0"/>
    <cellStyle name="Porcentaje" xfId="1" builtinId="5"/>
  </cellStyles>
  <dxfs count="273"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9C5700"/>
        <sz val="11"/>
      </font>
      <fill>
        <patternFill>
          <bgColor rgb="FFFFEB9C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9C5700"/>
        <sz val="11"/>
      </font>
      <fill>
        <patternFill>
          <bgColor rgb="FFFFEB9C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9C5700"/>
        <sz val="11"/>
      </font>
      <fill>
        <patternFill>
          <bgColor rgb="FFFFEB9C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9C5700"/>
        <sz val="11"/>
      </font>
      <fill>
        <patternFill>
          <bgColor rgb="FFFFEB9C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9C5700"/>
        <sz val="11"/>
      </font>
      <fill>
        <patternFill>
          <bgColor rgb="FFFFEB9C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9C5700"/>
        <sz val="11"/>
      </font>
      <fill>
        <patternFill>
          <bgColor rgb="FFFFEB9C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9C5700"/>
        <sz val="11"/>
      </font>
      <fill>
        <patternFill>
          <bgColor rgb="FFFFEB9C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9C5700"/>
        <sz val="11"/>
      </font>
      <fill>
        <patternFill>
          <bgColor rgb="FFFFEB9C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9C5700"/>
        <sz val="11"/>
      </font>
      <fill>
        <patternFill>
          <bgColor rgb="FFFFEB9C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9C5700"/>
        <sz val="11"/>
      </font>
      <fill>
        <patternFill>
          <bgColor rgb="FFFFEB9C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9C5700"/>
        <sz val="11"/>
      </font>
      <fill>
        <patternFill>
          <bgColor rgb="FFFFEB9C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9C5700"/>
        <sz val="11"/>
      </font>
      <fill>
        <patternFill>
          <bgColor rgb="FFFFEB9C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9C5700"/>
        <sz val="11"/>
      </font>
      <fill>
        <patternFill>
          <bgColor rgb="FFFFEB9C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9C5700"/>
        <sz val="11"/>
      </font>
      <fill>
        <patternFill>
          <bgColor rgb="FFFFEB9C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9C5700"/>
        <sz val="11"/>
      </font>
      <fill>
        <patternFill>
          <bgColor rgb="FFFFEB9C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9C5700"/>
        <sz val="11"/>
      </font>
      <fill>
        <patternFill>
          <bgColor rgb="FFFFEB9C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9C5700"/>
        <sz val="11"/>
      </font>
      <fill>
        <patternFill>
          <bgColor rgb="FFFFEB9C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9C5700"/>
        <sz val="11"/>
      </font>
      <fill>
        <patternFill>
          <bgColor rgb="FFFFEB9C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9C5700"/>
        <sz val="11"/>
      </font>
      <fill>
        <patternFill>
          <bgColor rgb="FFFFEB9C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9C5700"/>
        <sz val="11"/>
      </font>
      <fill>
        <patternFill>
          <bgColor rgb="FFFFEB9C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9C5700"/>
        <sz val="11"/>
      </font>
      <fill>
        <patternFill>
          <bgColor rgb="FFFFEB9C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9C5700"/>
        <sz val="11"/>
      </font>
      <fill>
        <patternFill>
          <bgColor rgb="FFFFEB9C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9C5700"/>
        <sz val="11"/>
      </font>
      <fill>
        <patternFill>
          <bgColor rgb="FFFFEB9C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9C5700"/>
        <sz val="11"/>
      </font>
      <fill>
        <patternFill>
          <bgColor rgb="FFFFEB9C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9C5700"/>
        <sz val="11"/>
      </font>
      <fill>
        <patternFill>
          <bgColor rgb="FFFFEB9C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9C5700"/>
        <sz val="11"/>
      </font>
      <fill>
        <patternFill>
          <bgColor rgb="FFFFEB9C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9C5700"/>
        <sz val="11"/>
      </font>
      <fill>
        <patternFill>
          <bgColor rgb="FFFFEB9C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9C5700"/>
        <sz val="11"/>
      </font>
      <fill>
        <patternFill>
          <bgColor rgb="FFFFEB9C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9C5700"/>
        <sz val="11"/>
      </font>
      <fill>
        <patternFill>
          <bgColor rgb="FFFFEB9C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9C5700"/>
        <sz val="11"/>
      </font>
      <fill>
        <patternFill>
          <bgColor rgb="FFFFEB9C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9C5700"/>
        <sz val="11"/>
      </font>
      <fill>
        <patternFill>
          <bgColor rgb="FFFFEB9C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9C5700"/>
        <sz val="11"/>
      </font>
      <fill>
        <patternFill>
          <bgColor rgb="FFFFEB9C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9C5700"/>
        <sz val="11"/>
      </font>
      <fill>
        <patternFill>
          <bgColor rgb="FFFFEB9C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9C5700"/>
        <sz val="11"/>
      </font>
      <fill>
        <patternFill>
          <bgColor rgb="FFFFEB9C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9C5700"/>
        <sz val="11"/>
      </font>
      <fill>
        <patternFill>
          <bgColor rgb="FFFFEB9C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9C5700"/>
        <sz val="11"/>
      </font>
      <fill>
        <patternFill>
          <bgColor rgb="FFFFEB9C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9C5700"/>
        <sz val="11"/>
      </font>
      <fill>
        <patternFill>
          <bgColor rgb="FFFFEB9C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Aptos Narrow"/>
        <charset val="1"/>
        <family val="2"/>
        <color rgb="FF006100"/>
        <sz val="1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96DC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A6CAEC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E95D9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zoomScale="85" zoomScaleNormal="85" workbookViewId="0">
      <selection activeCell="A1" sqref="A1"/>
    </sheetView>
  </sheetViews>
  <sheetFormatPr baseColWidth="8" defaultColWidth="9.140625" defaultRowHeight="15"/>
  <cols>
    <col width="30.42578125" customWidth="1" style="48" min="1" max="1"/>
    <col width="22.140625" customWidth="1" style="44" min="2" max="2"/>
    <col width="19.5703125" customWidth="1" style="44" min="3" max="3"/>
    <col width="22" customWidth="1" style="44" min="4" max="4"/>
    <col width="85.5703125" customWidth="1" style="44" min="5" max="5"/>
    <col width="9.140625" customWidth="1" style="44" min="6" max="16384"/>
  </cols>
  <sheetData>
    <row r="1" customFormat="1" s="48">
      <c r="A1" s="48" t="inlineStr">
        <is>
          <t>Identifier</t>
        </is>
      </c>
      <c r="B1" s="48" t="inlineStr">
        <is>
          <t>Model</t>
        </is>
      </c>
      <c r="C1" s="48" t="inlineStr">
        <is>
          <t>Pipeline/Prompt</t>
        </is>
      </c>
      <c r="D1" s="48" t="inlineStr">
        <is>
          <t>Hyperparameter tuning</t>
        </is>
      </c>
      <c r="E1" s="48" t="inlineStr">
        <is>
          <t>Hyperparameter config</t>
        </is>
      </c>
    </row>
    <row r="2">
      <c r="A2" s="48" t="inlineStr">
        <is>
          <t>H.#</t>
        </is>
      </c>
      <c r="B2" s="44" t="inlineStr">
        <is>
          <t>Manual</t>
        </is>
      </c>
      <c r="C2" s="44" t="inlineStr">
        <is>
          <t>N/A</t>
        </is>
      </c>
      <c r="D2" s="44" t="inlineStr">
        <is>
          <t>N/A</t>
        </is>
      </c>
      <c r="E2" s="44" t="inlineStr">
        <is>
          <t>N/A</t>
        </is>
      </c>
    </row>
    <row r="3" ht="57.75" customHeight="1" s="54">
      <c r="A3" s="48" t="inlineStr">
        <is>
          <t>L0.# | L0_ii.# | L0_iii.# | L0_iv.#</t>
        </is>
      </c>
      <c r="B3" s="44" t="inlineStr">
        <is>
          <t>Meta/LLaMa-3.1</t>
        </is>
      </c>
      <c r="C3" s="44" t="inlineStr">
        <is>
          <t>Base</t>
        </is>
      </c>
      <c r="D3" s="44" t="inlineStr">
        <is>
          <t>Optimal</t>
        </is>
      </c>
      <c r="E3" s="44" t="inlineStr">
        <is>
          <t>CHECK_APPLICABILITY_CHAIN: {top_p: 0.95; temperature: 0.6}
SEARCH_DOMAIN_ELEMENTS_CHAIN: {top_p: 0.95; temperature: 0.65}
GENERATE_CHAIN: {top_p: 0.95; temperature: 0.7}
FORMAT_CHAIN: {top_p: 0.95; temperature: 0.5}</t>
        </is>
      </c>
    </row>
    <row r="4" ht="57.75" customHeight="1" s="54">
      <c r="A4" s="48" t="inlineStr">
        <is>
          <t>L1.#</t>
        </is>
      </c>
      <c r="C4" s="44" t="inlineStr">
        <is>
          <t>Base</t>
        </is>
      </c>
      <c r="D4" s="44" t="inlineStr">
        <is>
          <t>Low temperature</t>
        </is>
      </c>
      <c r="E4" s="44" t="inlineStr">
        <is>
          <t>CHECK_APPLICABILITY_CHAIN: {top_p: 0.95; temperature: 0.6}
SEARCH_DOMAIN_ELEMENTS_CHAIN: {top_p: 0.85; temperature: 0.55}
GENERATE_CHAIN: {top_p: 0.85; temperature: 0.6}
FORMAT_CHAIN: {top_p: 0.95; temperature: 0.5}</t>
        </is>
      </c>
    </row>
    <row r="5" ht="57.75" customHeight="1" s="54">
      <c r="A5" s="48" t="inlineStr">
        <is>
          <t>L2.#</t>
        </is>
      </c>
      <c r="C5" s="44" t="inlineStr">
        <is>
          <t>Base</t>
        </is>
      </c>
      <c r="D5" s="44" t="inlineStr">
        <is>
          <t>High temperature</t>
        </is>
      </c>
      <c r="E5" s="44" t="inlineStr">
        <is>
          <t>CHECK_APPLICABILITY_CHAIN: {top_p: 0.95; temperature: 0.6}
SEARCH_DOMAIN_ELEMENTS_CHAIN: {top_p: 0.95; temperature: 0.75}
GENERATE_CHAIN: {top_p: 0.95; temperature: 0.8}
FORMAT_CHAIN: {top_p: 0.95; temperature: 0.5}</t>
        </is>
      </c>
    </row>
    <row r="6" ht="72.75" customHeight="1" s="54">
      <c r="A6" s="48" t="inlineStr">
        <is>
          <t>L3.#</t>
        </is>
      </c>
      <c r="C6" s="44" t="inlineStr">
        <is>
          <t>Branched (high sigma)</t>
        </is>
      </c>
      <c r="D6" s="44" t="inlineStr">
        <is>
          <t>Optimal</t>
        </is>
      </c>
      <c r="E6" s="44" t="inlineStr">
        <is>
          <t>CHECK_APPLICABILITY_CHAIN (x1): {top_p: 0.95; temperature: 0.6}
SEARCH_DOMAIN_ELEMENTS_CHAIN (x4): {top_p: 0.95; temperature: 0.65}
GENERATE_CHAIN (x4): {top_p: 0.95; temperature: 0.7}
COALESCE_CHAIN (x1): {top_p: 0.95; temperature: 0.6}
FORMAT_CHAIN: {top_p: 0.95; temperature: 0.6}</t>
        </is>
      </c>
    </row>
    <row r="7" ht="29.25" customHeight="1" s="54">
      <c r="A7" s="48" t="inlineStr">
        <is>
          <t>L4.#</t>
        </is>
      </c>
      <c r="C7" s="44" t="inlineStr">
        <is>
          <t>AiO</t>
        </is>
      </c>
      <c r="D7" s="44" t="inlineStr">
        <is>
          <t>Optimal</t>
        </is>
      </c>
      <c r="E7" s="44" t="inlineStr">
        <is>
          <t>GENERATE_CHAIN (x1): {top_p: 0.95; temperature: 0.7}
FORMAT_CHAIN: {top_p: 0.95; temperature: 0.5}</t>
        </is>
      </c>
    </row>
    <row r="8" ht="57.75" customHeight="1" s="54">
      <c r="A8" s="48" t="inlineStr">
        <is>
          <t>L5.#</t>
        </is>
      </c>
      <c r="C8" s="44" t="inlineStr">
        <is>
          <t>Few shot</t>
        </is>
      </c>
      <c r="D8" s="44" t="inlineStr">
        <is>
          <t>Optimal</t>
        </is>
      </c>
      <c r="E8" s="44" t="inlineStr">
        <is>
          <t>CHECK_APPLICABILITY_CHAIN: {top_p: 0.95; temperature: 0.6}
SEARCH_DOMAIN_ELEMENTS_CHAIN: {top_p: 0.95; temperature: 0.75}
GENERATE_CHAIN: {top_p: 0.95; temperature: 0.8}
FORMAT_CHAIN: {top_p: 0.95; temperature: 0.6}</t>
        </is>
      </c>
    </row>
    <row r="9" ht="57.75" customHeight="1" s="54">
      <c r="A9" s="48" t="inlineStr">
        <is>
          <t>L0a.#</t>
        </is>
      </c>
      <c r="C9" s="44" t="inlineStr">
        <is>
          <t>No repetitions</t>
        </is>
      </c>
      <c r="D9" s="44" t="inlineStr">
        <is>
          <t>Optimal</t>
        </is>
      </c>
      <c r="E9" s="44" t="inlineStr">
        <is>
          <t>CHECK_APPLICABILITY_CHAIN: {top_p: 0.95; temperature: 0.6}
SEARCH_DOMAIN_ELEMENTS_CHAIN: {top_p: 0.95; temperature: 0.65}
GENERATE_CHAIN: {top_p: 0.95; temperature: 0.7}
FORMAT_CHAIN: {top_p: 0.95; temperature: 0.5}</t>
        </is>
      </c>
    </row>
    <row r="10" ht="57.75" customHeight="1" s="54">
      <c r="A10" s="48" t="inlineStr">
        <is>
          <t>L0b.#</t>
        </is>
      </c>
      <c r="C10" s="44" t="inlineStr">
        <is>
          <t>Simplified</t>
        </is>
      </c>
      <c r="D10" s="44" t="inlineStr">
        <is>
          <t>Optimal</t>
        </is>
      </c>
      <c r="E10" s="44" t="inlineStr">
        <is>
          <t>CHECK_APPLICABILITY_CHAIN: {top_p: 0.95; temperature: 0.6}
SEARCH_DOMAIN_ELEMENTS_CHAIN: {top_p: 0.95; temperature: 0.65}
GENERATE_CHAIN: {top_p: 0.95; temperature: 0.7}
FORMAT_CHAIN: {top_p: 0.95; temperature: 0.5}</t>
        </is>
      </c>
    </row>
    <row r="11" ht="57.75" customHeight="1" s="54">
      <c r="A11" s="48" t="inlineStr">
        <is>
          <t>Q0.# | Q0_ii.# | Q0_iii.# | Q0_iv.#</t>
        </is>
      </c>
      <c r="B11" s="44" t="inlineStr">
        <is>
          <t>Qwen/Qwen2-72B</t>
        </is>
      </c>
      <c r="C11" s="44" t="inlineStr">
        <is>
          <t>Base</t>
        </is>
      </c>
      <c r="D11" s="44" t="inlineStr">
        <is>
          <t>Optimal</t>
        </is>
      </c>
      <c r="E11" s="44" t="inlineStr">
        <is>
          <t>CHECK_APPLICABILITY_CHAIN: {top_p: 0.95; temperature: 0.6}
SEARCH_DOMAIN_ELEMENTS_CHAIN: {top_p: 0.95; temperature: 0.65}
GENERATE_CHAIN: {top_p: 0.95; temperature: 0.7}
FORMAT_CHAIN: {top_p: 0.95; temperature: 0.5}</t>
        </is>
      </c>
    </row>
    <row r="12" ht="57.75" customHeight="1" s="54">
      <c r="A12" s="48" t="inlineStr">
        <is>
          <t>Q1.#</t>
        </is>
      </c>
      <c r="D12" s="44" t="inlineStr">
        <is>
          <t>Low temperature</t>
        </is>
      </c>
      <c r="E12" s="44" t="inlineStr">
        <is>
          <t>CHECK_APPLICABILITY_CHAIN: {top_p: 0.95; temperature: 0.6}
SEARCH_DOMAIN_ELEMENTS_CHAIN: {top_p: 0.85; temperature: 0.55}
GENERATE_CHAIN: {top_p: 0.85; temperature: 0.6}
FORMAT_CHAIN: {top_p: 0.95; temperature: 0.5}</t>
        </is>
      </c>
    </row>
    <row r="13" ht="57.75" customHeight="1" s="54">
      <c r="A13" s="48" t="inlineStr">
        <is>
          <t>Q2.#</t>
        </is>
      </c>
      <c r="D13" s="44" t="inlineStr">
        <is>
          <t>High temperature</t>
        </is>
      </c>
      <c r="E13" s="44" t="inlineStr">
        <is>
          <t>CHECK_APPLICABILITY_CHAIN: {top_p: 0.95; temperature: 0.6}
SEARCH_DOMAIN_ELEMENTS_CHAIN: {top_p: 0.95; temperature: 0.75}
GENERATE_CHAIN: {top_p: 0.95; temperature: 0.8}
FORMAT_CHAIN: {top_p: 0.95; temperature: 0.5}</t>
        </is>
      </c>
    </row>
    <row r="14" ht="57.75" customHeight="1" s="54">
      <c r="A14" s="48" t="inlineStr">
        <is>
          <t>M0.# | M0_ii.# | M0_iii.# | M0_iv.#</t>
        </is>
      </c>
      <c r="B14" s="44" t="inlineStr">
        <is>
          <t>mistralai/Mixtral-8x22B</t>
        </is>
      </c>
      <c r="C14" s="44" t="inlineStr">
        <is>
          <t>Base</t>
        </is>
      </c>
      <c r="D14" s="44" t="inlineStr">
        <is>
          <t>Optimal</t>
        </is>
      </c>
      <c r="E14" s="44" t="inlineStr">
        <is>
          <t>CHECK_APPLICABILITY_CHAIN: {top_p: 0.95; temperature: 0.6}
SEARCH_DOMAIN_ELEMENTS_CHAIN: {top_p: 0.95; temperature: 0.65}
GENERATE_CHAIN: {top_p: 0.95; temperature: 0.7}
FORMAT_CHAIN: {top_p: 0.95; temperature: 0.5}</t>
        </is>
      </c>
    </row>
    <row r="15" ht="57.75" customHeight="1" s="54">
      <c r="A15" s="48" t="inlineStr">
        <is>
          <t>M1.#</t>
        </is>
      </c>
      <c r="D15" s="44" t="inlineStr">
        <is>
          <t>Low temperature</t>
        </is>
      </c>
      <c r="E15" s="44" t="inlineStr">
        <is>
          <t>CHECK_APPLICABILITY_CHAIN: {top_p: 0.95; temperature: 0.6}
SEARCH_DOMAIN_ELEMENTS_CHAIN: {top_p: 0.85; temperature: 0.55}
GENERATE_CHAIN: {top_p: 0.85; temperature: 0.6}
FORMAT_CHAIN: {top_p: 0.95; temperature: 0.5}</t>
        </is>
      </c>
    </row>
    <row r="16" ht="57.75" customHeight="1" s="54">
      <c r="A16" s="48" t="inlineStr">
        <is>
          <t>M2.#</t>
        </is>
      </c>
      <c r="D16" s="44" t="inlineStr">
        <is>
          <t>High temperature</t>
        </is>
      </c>
      <c r="E16" s="44" t="inlineStr">
        <is>
          <t>CHECK_APPLICABILITY_CHAIN: {top_p: 0.95; temperature: 0.6}
SEARCH_DOMAIN_ELEMENTS_CHAIN: {top_p: 0.95; temperature: 0.75}
GENERATE_CHAIN: {top_p: 0.95; temperature: 0.8}
FORMAT_CHAIN: {top_p: 0.95; temperature: 0.5}</t>
        </is>
      </c>
    </row>
    <row r="17" ht="57.75" customHeight="1" s="54">
      <c r="A17" s="48" t="inlineStr">
        <is>
          <t>G0.# | G0_ii.# | G0_iii.# | G0_iv.#</t>
        </is>
      </c>
      <c r="B17" s="44" t="inlineStr">
        <is>
          <t>GPT-4-Turbo</t>
        </is>
      </c>
      <c r="C17" s="44" t="inlineStr">
        <is>
          <t>Base</t>
        </is>
      </c>
      <c r="D17" s="44" t="inlineStr">
        <is>
          <t>Optimal</t>
        </is>
      </c>
      <c r="E17" s="44" t="inlineStr">
        <is>
          <t>CHECK_APPLICABILITY_CHAIN: {temperature: 0.6}
SEARCH_DOMAIN_ELEMENTS_CHAIN: {temperature: 0.65}
GENERATE_CHAIN: {temperature: 0.7}
FORMAT_CHAIN: {temperature: 0.5}</t>
        </is>
      </c>
    </row>
    <row r="18" ht="57.75" customHeight="1" s="54">
      <c r="A18" s="48" t="inlineStr">
        <is>
          <t>G1.#</t>
        </is>
      </c>
      <c r="D18" s="44" t="inlineStr">
        <is>
          <t>Low temperature</t>
        </is>
      </c>
      <c r="E18" s="44" t="inlineStr">
        <is>
          <t>CHECK_APPLICABILITY_CHAIN: {temperature: 0.6}
SEARCH_DOMAIN_ELEMENTS_CHAIN: { temperature: 0.55}
GENERATE_CHAIN: {temperature: 0.6}
FORMAT_CHAIN: {temperature: 0.5}</t>
        </is>
      </c>
    </row>
    <row r="19" ht="57.75" customHeight="1" s="54">
      <c r="A19" s="48" t="inlineStr">
        <is>
          <t>G2.#</t>
        </is>
      </c>
      <c r="D19" s="44" t="inlineStr">
        <is>
          <t>High temperature</t>
        </is>
      </c>
      <c r="E19" s="44" t="inlineStr">
        <is>
          <t>CHECK_APPLICABILITY_CHAIN: {temperature: 0.6}
SEARCH_DOMAIN_ELEMENTS_CHAIN: {temperature: 0.75}
GENERATE_CHAIN: {temperature: 0.8}
FORMAT_CHAIN: {temperature: 0.5}</t>
        </is>
      </c>
    </row>
  </sheetData>
  <mergeCells count="7">
    <mergeCell ref="B17:B19"/>
    <mergeCell ref="C17:C19"/>
    <mergeCell ref="C11:C13"/>
    <mergeCell ref="B14:B16"/>
    <mergeCell ref="C14:C16"/>
    <mergeCell ref="B11:B13"/>
    <mergeCell ref="B3:B10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88"/>
  <sheetViews>
    <sheetView topLeftCell="B1" zoomScale="85" zoomScaleNormal="85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4.45"/>
  <cols>
    <col width="25.7109375" customWidth="1" style="54" min="1" max="1"/>
    <col width="9.28515625" customWidth="1" style="54" min="3" max="5"/>
    <col width="9.28515625" customWidth="1" style="54" min="9" max="17"/>
  </cols>
  <sheetData>
    <row r="1">
      <c r="B1" s="8" t="inlineStr">
        <is>
          <t>H</t>
        </is>
      </c>
      <c r="C1" s="9" t="inlineStr">
        <is>
          <t>L0</t>
        </is>
      </c>
      <c r="D1" s="8" t="inlineStr">
        <is>
          <t>L1</t>
        </is>
      </c>
      <c r="E1" s="8" t="inlineStr">
        <is>
          <t>L2</t>
        </is>
      </c>
      <c r="F1" s="8" t="inlineStr">
        <is>
          <t>L3</t>
        </is>
      </c>
      <c r="G1" s="8" t="inlineStr">
        <is>
          <t>L4</t>
        </is>
      </c>
      <c r="H1" s="8" t="inlineStr">
        <is>
          <t>L5</t>
        </is>
      </c>
      <c r="I1" s="9" t="inlineStr">
        <is>
          <t>Q0</t>
        </is>
      </c>
      <c r="J1" s="8" t="inlineStr">
        <is>
          <t>Q1</t>
        </is>
      </c>
      <c r="K1" s="8" t="inlineStr">
        <is>
          <t>Q2</t>
        </is>
      </c>
      <c r="L1" s="9" t="inlineStr">
        <is>
          <t>M0</t>
        </is>
      </c>
      <c r="M1" s="8" t="inlineStr">
        <is>
          <t>M1</t>
        </is>
      </c>
      <c r="N1" s="8" t="inlineStr">
        <is>
          <t>M2</t>
        </is>
      </c>
      <c r="O1" s="9" t="inlineStr">
        <is>
          <t>G0</t>
        </is>
      </c>
      <c r="P1" s="8" t="inlineStr">
        <is>
          <t>G1</t>
        </is>
      </c>
      <c r="Q1" s="8" t="inlineStr">
        <is>
          <t>G2</t>
        </is>
      </c>
      <c r="R1" t="inlineStr">
        <is>
          <t>L0a</t>
        </is>
      </c>
      <c r="S1" t="inlineStr">
        <is>
          <t>L0b</t>
        </is>
      </c>
    </row>
    <row r="2">
      <c r="A2" t="inlineStr">
        <is>
          <t>Covered (H)</t>
        </is>
      </c>
      <c r="B2" t="n">
        <v>30</v>
      </c>
      <c r="C2">
        <f>'{C} Human to X'!D33</f>
        <v/>
      </c>
      <c r="D2">
        <f>'{C} Human to X'!L33</f>
        <v/>
      </c>
      <c r="E2">
        <f>'{C} Human to X'!N33</f>
        <v/>
      </c>
      <c r="F2">
        <f>'{C} Human to X'!P33</f>
        <v/>
      </c>
      <c r="G2">
        <f>'{C} Human to X'!S33</f>
        <v/>
      </c>
      <c r="H2">
        <f>'{C} Human to X'!U33</f>
        <v/>
      </c>
      <c r="I2">
        <f>'{C} Human to X'!W33</f>
        <v/>
      </c>
      <c r="J2">
        <f>'{C} Human to X'!AE33</f>
        <v/>
      </c>
      <c r="K2">
        <f>'{C} Human to X'!AG33</f>
        <v/>
      </c>
      <c r="L2">
        <f>'{C} Human to X'!AI33</f>
        <v/>
      </c>
      <c r="M2">
        <f>'{C} Human to X'!AQ33</f>
        <v/>
      </c>
      <c r="N2">
        <f>'{C} Human to X'!AS33</f>
        <v/>
      </c>
      <c r="O2">
        <f>'{C} Human to X'!AU33</f>
        <v/>
      </c>
      <c r="P2">
        <f>'{C} Human to X'!BC33</f>
        <v/>
      </c>
      <c r="Q2">
        <f>'{C} Human to X'!BE33</f>
        <v/>
      </c>
      <c r="R2">
        <f>'{C} Human to X'!BG33</f>
        <v/>
      </c>
      <c r="S2">
        <f>'{C} Human to X'!BI33</f>
        <v/>
      </c>
    </row>
    <row r="3">
      <c r="A3" t="inlineStr">
        <is>
          <t>Uncovered (H)</t>
        </is>
      </c>
      <c r="B3" t="n">
        <v>0</v>
      </c>
      <c r="C3">
        <f>'{C} Human to X'!D34</f>
        <v/>
      </c>
      <c r="D3">
        <f>'{C} Human to X'!L34</f>
        <v/>
      </c>
      <c r="E3">
        <f>'{C} Human to X'!N34</f>
        <v/>
      </c>
      <c r="F3">
        <f>'{C} Human to X'!P34</f>
        <v/>
      </c>
      <c r="G3">
        <f>'{C} Human to X'!S34</f>
        <v/>
      </c>
      <c r="H3">
        <f>'{C} Human to X'!U34</f>
        <v/>
      </c>
      <c r="I3">
        <f>'{C} Human to X'!W34</f>
        <v/>
      </c>
      <c r="J3">
        <f>'{C} Human to X'!AE34</f>
        <v/>
      </c>
      <c r="K3">
        <f>'{C} Human to X'!AG34</f>
        <v/>
      </c>
      <c r="L3">
        <f>'{C} Human to X'!AI34</f>
        <v/>
      </c>
      <c r="M3">
        <f>'{C} Human to X'!AQ34</f>
        <v/>
      </c>
      <c r="N3">
        <f>'{C} Human to X'!AS34</f>
        <v/>
      </c>
      <c r="O3">
        <f>'{C} Human to X'!AU34</f>
        <v/>
      </c>
      <c r="P3">
        <f>'{C} Human to X'!BC34</f>
        <v/>
      </c>
      <c r="Q3">
        <f>'{C} Human to X'!BE34</f>
        <v/>
      </c>
      <c r="R3">
        <f>'{C} Human to X'!BG34</f>
        <v/>
      </c>
      <c r="S3">
        <f>'{C} Human to X'!BI34</f>
        <v/>
      </c>
    </row>
    <row r="4">
      <c r="A4" t="inlineStr">
        <is>
          <t>Partial (H)</t>
        </is>
      </c>
      <c r="B4" t="n">
        <v>0</v>
      </c>
      <c r="C4">
        <f>'{C} Human to X'!D35</f>
        <v/>
      </c>
      <c r="D4">
        <f>'{C} Human to X'!L35</f>
        <v/>
      </c>
      <c r="E4">
        <f>'{C} Human to X'!N35</f>
        <v/>
      </c>
      <c r="F4">
        <f>'{C} Human to X'!P35</f>
        <v/>
      </c>
      <c r="G4">
        <f>'{C} Human to X'!S35</f>
        <v/>
      </c>
      <c r="H4">
        <f>'{C} Human to X'!U35</f>
        <v/>
      </c>
      <c r="I4">
        <f>'{C} Human to X'!W35</f>
        <v/>
      </c>
      <c r="J4">
        <f>'{C} Human to X'!AE35</f>
        <v/>
      </c>
      <c r="K4">
        <f>'{C} Human to X'!AG35</f>
        <v/>
      </c>
      <c r="L4">
        <f>'{C} Human to X'!AI35</f>
        <v/>
      </c>
      <c r="M4">
        <f>'{C} Human to X'!AQ35</f>
        <v/>
      </c>
      <c r="N4">
        <f>'{C} Human to X'!AS35</f>
        <v/>
      </c>
      <c r="O4">
        <f>'{C} Human to X'!AU35</f>
        <v/>
      </c>
      <c r="P4">
        <f>'{C} Human to X'!BC35</f>
        <v/>
      </c>
      <c r="Q4">
        <f>'{C} Human to X'!BE35</f>
        <v/>
      </c>
      <c r="R4">
        <f>'{C} Human to X'!BG35</f>
        <v/>
      </c>
      <c r="S4">
        <f>'{C} Human to X'!BI35</f>
        <v/>
      </c>
    </row>
    <row r="5">
      <c r="A5" s="10" t="inlineStr">
        <is>
          <t>Total (H)</t>
        </is>
      </c>
      <c r="B5" s="11">
        <f>B2+B3+B4</f>
        <v/>
      </c>
      <c r="C5" s="11">
        <f>C2+C3+C4</f>
        <v/>
      </c>
      <c r="D5" s="11">
        <f>D2+D3+D4</f>
        <v/>
      </c>
      <c r="E5" s="11">
        <f>E2+E3+E4</f>
        <v/>
      </c>
      <c r="F5" s="11">
        <f>F2+F3+F4</f>
        <v/>
      </c>
      <c r="G5" s="11">
        <f>G2+G3+G4</f>
        <v/>
      </c>
      <c r="H5" s="11">
        <f>H2+H3+H4</f>
        <v/>
      </c>
      <c r="I5" s="11">
        <f>I2+I3+I4</f>
        <v/>
      </c>
      <c r="J5" s="11">
        <f>J2+J3+J4</f>
        <v/>
      </c>
      <c r="K5" s="11">
        <f>K2+K3+K4</f>
        <v/>
      </c>
      <c r="L5" s="11">
        <f>L2+L3+L4</f>
        <v/>
      </c>
      <c r="M5" s="11">
        <f>M2+M3+M4</f>
        <v/>
      </c>
      <c r="N5" s="11">
        <f>N2+N3+N4</f>
        <v/>
      </c>
      <c r="O5" s="11">
        <f>O2+O3+O4</f>
        <v/>
      </c>
      <c r="P5" s="11">
        <f>P2+P3+P4</f>
        <v/>
      </c>
      <c r="Q5" s="11">
        <f>Q2+Q3+Q4</f>
        <v/>
      </c>
      <c r="R5" s="11">
        <f>R2+R3+R4</f>
        <v/>
      </c>
      <c r="S5" s="11">
        <f>S2+S3+S4</f>
        <v/>
      </c>
    </row>
    <row r="6">
      <c r="A6" t="inlineStr">
        <is>
          <t>Hallucinations</t>
        </is>
      </c>
      <c r="B6" t="n">
        <v>0</v>
      </c>
      <c r="C6">
        <f>'{C} L0'!F35</f>
        <v/>
      </c>
      <c r="D6">
        <f>'{C} L1'!F40</f>
        <v/>
      </c>
      <c r="E6">
        <f>'{C} L2'!F35</f>
        <v/>
      </c>
      <c r="F6">
        <f>'{C} L3'!F127</f>
        <v/>
      </c>
      <c r="G6">
        <f>'{C} L4'!F37</f>
        <v/>
      </c>
      <c r="H6">
        <f>'{C} L5'!F42</f>
        <v/>
      </c>
      <c r="I6">
        <f>'{C} Q0'!F41</f>
        <v/>
      </c>
      <c r="J6">
        <f>'{C} Q1'!F23</f>
        <v/>
      </c>
      <c r="K6">
        <f>'{C} Q2'!F30</f>
        <v/>
      </c>
      <c r="L6">
        <f>'{C} M0'!F45</f>
        <v/>
      </c>
      <c r="M6">
        <f>'{C} M1'!F35</f>
        <v/>
      </c>
      <c r="N6">
        <f>'{C} M2'!F40</f>
        <v/>
      </c>
      <c r="O6">
        <f>'{C} G0'!F25</f>
        <v/>
      </c>
      <c r="P6">
        <f>'{C} G1'!F31</f>
        <v/>
      </c>
      <c r="Q6">
        <f>'{C} G2'!F29</f>
        <v/>
      </c>
      <c r="R6">
        <f>'{C} L0a'!F45</f>
        <v/>
      </c>
      <c r="S6">
        <f>'{C} L0b'!F46</f>
        <v/>
      </c>
    </row>
    <row r="7">
      <c r="A7" t="inlineStr">
        <is>
          <t>Partial hallucinations</t>
        </is>
      </c>
      <c r="B7" t="n">
        <v>0</v>
      </c>
      <c r="C7">
        <f>'{C} L0'!F36</f>
        <v/>
      </c>
      <c r="D7">
        <f>'{C} L1'!F41</f>
        <v/>
      </c>
      <c r="E7">
        <f>'{C} L2'!F36</f>
        <v/>
      </c>
      <c r="F7">
        <f>'{C} L3'!F128</f>
        <v/>
      </c>
      <c r="G7">
        <f>'{C} L4'!F38</f>
        <v/>
      </c>
      <c r="H7">
        <f>'{C} L5'!F43</f>
        <v/>
      </c>
      <c r="I7">
        <f>'{C} Q0'!F42</f>
        <v/>
      </c>
      <c r="J7">
        <f>'{C} Q1'!F24</f>
        <v/>
      </c>
      <c r="K7">
        <f>'{C} Q2'!F31</f>
        <v/>
      </c>
      <c r="L7">
        <f>'{C} M0'!F46</f>
        <v/>
      </c>
      <c r="M7">
        <f>'{C} M1'!F36</f>
        <v/>
      </c>
      <c r="N7">
        <f>'{C} M2'!F41</f>
        <v/>
      </c>
      <c r="O7">
        <f>'{C} G0'!F26</f>
        <v/>
      </c>
      <c r="P7">
        <f>'{C} G1'!F32</f>
        <v/>
      </c>
      <c r="Q7">
        <f>'{C} G2'!F30</f>
        <v/>
      </c>
      <c r="R7">
        <f>'{C} L0a'!F46</f>
        <v/>
      </c>
      <c r="S7">
        <f>'{C} L0b'!F47</f>
        <v/>
      </c>
    </row>
    <row r="9">
      <c r="A9" s="12" t="inlineStr">
        <is>
          <t>GT = H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</row>
    <row r="10" customFormat="1" s="13">
      <c r="A10" t="inlineStr">
        <is>
          <t>Covered + Partial (H)</t>
        </is>
      </c>
      <c r="B10">
        <f>B2+B4</f>
        <v/>
      </c>
      <c r="C10">
        <f>C2+C4</f>
        <v/>
      </c>
      <c r="D10">
        <f>D2+D4</f>
        <v/>
      </c>
      <c r="E10">
        <f>E2+E4</f>
        <v/>
      </c>
      <c r="F10">
        <f>F2+F4</f>
        <v/>
      </c>
      <c r="G10">
        <f>G2+G4</f>
        <v/>
      </c>
      <c r="H10">
        <f>H2+H4</f>
        <v/>
      </c>
      <c r="I10">
        <f>I2+I4</f>
        <v/>
      </c>
      <c r="J10">
        <f>J2+J4</f>
        <v/>
      </c>
      <c r="K10">
        <f>K2+K4</f>
        <v/>
      </c>
      <c r="L10">
        <f>L2+L4</f>
        <v/>
      </c>
      <c r="M10">
        <f>M2+M4</f>
        <v/>
      </c>
      <c r="N10">
        <f>N2+N4</f>
        <v/>
      </c>
      <c r="O10">
        <f>O2+O4</f>
        <v/>
      </c>
      <c r="P10">
        <f>P2+P4</f>
        <v/>
      </c>
      <c r="Q10">
        <f>Q2+Q4</f>
        <v/>
      </c>
      <c r="R10">
        <f>R2+R4</f>
        <v/>
      </c>
      <c r="S10">
        <f>S2+S4</f>
        <v/>
      </c>
    </row>
    <row r="11">
      <c r="A11" s="13" t="inlineStr">
        <is>
          <t>Uncovered + Partial (H)</t>
        </is>
      </c>
      <c r="B11">
        <f>B3+B4</f>
        <v/>
      </c>
      <c r="C11">
        <f>C3+C4</f>
        <v/>
      </c>
      <c r="D11">
        <f>D3+D4</f>
        <v/>
      </c>
      <c r="E11">
        <f>E3+E4</f>
        <v/>
      </c>
      <c r="F11">
        <f>F3+F4</f>
        <v/>
      </c>
      <c r="G11">
        <f>G3+G4</f>
        <v/>
      </c>
      <c r="H11">
        <f>H3+H4</f>
        <v/>
      </c>
      <c r="I11">
        <f>I3+I4</f>
        <v/>
      </c>
      <c r="J11">
        <f>J3+J4</f>
        <v/>
      </c>
      <c r="K11">
        <f>K3+K4</f>
        <v/>
      </c>
      <c r="L11">
        <f>L3+L4</f>
        <v/>
      </c>
      <c r="M11">
        <f>M3+M4</f>
        <v/>
      </c>
      <c r="N11">
        <f>N3+N4</f>
        <v/>
      </c>
      <c r="O11">
        <f>O3+O4</f>
        <v/>
      </c>
      <c r="P11">
        <f>P3+P4</f>
        <v/>
      </c>
      <c r="Q11">
        <f>Q3+Q4</f>
        <v/>
      </c>
      <c r="R11">
        <f>R3+R4</f>
        <v/>
      </c>
      <c r="S11">
        <f>S3+S4</f>
        <v/>
      </c>
      <c r="T11" s="13" t="n"/>
      <c r="U11" s="13" t="n"/>
    </row>
    <row r="12">
      <c r="A12" s="14" t="inlineStr">
        <is>
          <t>Precision</t>
        </is>
      </c>
      <c r="B12" s="15">
        <f>B10/(B10+B6+B7)</f>
        <v/>
      </c>
      <c r="C12" s="15">
        <f>C10/(C10+C6+C7)</f>
        <v/>
      </c>
      <c r="D12" s="15">
        <f>D10/(D10+D6+D7)</f>
        <v/>
      </c>
      <c r="E12" s="15">
        <f>E10/(E10+E6+E7)</f>
        <v/>
      </c>
      <c r="F12" s="15">
        <f>F10/(F10+F6+F7)</f>
        <v/>
      </c>
      <c r="G12" s="15">
        <f>G10/(G10+G6+G7)</f>
        <v/>
      </c>
      <c r="H12" s="15">
        <f>H10/(H10+H6+H7)</f>
        <v/>
      </c>
      <c r="I12" s="15">
        <f>I10/(I10+I6+I7)</f>
        <v/>
      </c>
      <c r="J12" s="15">
        <f>J10/(J10+J6+J7)</f>
        <v/>
      </c>
      <c r="K12" s="15">
        <f>K10/(K10+K6+K7)</f>
        <v/>
      </c>
      <c r="L12" s="15">
        <f>L10/(L10+L6+L7)</f>
        <v/>
      </c>
      <c r="M12" s="15">
        <f>M10/(M10+M6+M7)</f>
        <v/>
      </c>
      <c r="N12" s="15">
        <f>N10/(N10+N6+N7)</f>
        <v/>
      </c>
      <c r="O12" s="15">
        <f>O10/(O10+O6+O7)</f>
        <v/>
      </c>
      <c r="P12" s="15">
        <f>P10/(P10+P6+P7)</f>
        <v/>
      </c>
      <c r="Q12" s="15">
        <f>Q10/(Q10+Q6+Q7)</f>
        <v/>
      </c>
      <c r="R12" s="15">
        <f>R10/(R10+R6+R7)</f>
        <v/>
      </c>
      <c r="S12" s="15">
        <f>S10/(S10+S6+S7)</f>
        <v/>
      </c>
      <c r="T12" s="13" t="n"/>
      <c r="U12" s="13" t="n"/>
    </row>
    <row r="13">
      <c r="A13" s="16" t="inlineStr">
        <is>
          <t>Recall worst</t>
        </is>
      </c>
      <c r="B13" s="15">
        <f>B2/(B2+B11)</f>
        <v/>
      </c>
      <c r="C13" s="15">
        <f>C2/(C2+C11)</f>
        <v/>
      </c>
      <c r="D13" s="15">
        <f>D2/(D2+D11)</f>
        <v/>
      </c>
      <c r="E13" s="15">
        <f>E2/(E2+E11)</f>
        <v/>
      </c>
      <c r="F13" s="15">
        <f>F2/(F2+F11)</f>
        <v/>
      </c>
      <c r="G13" s="15">
        <f>G2/(G2+G11)</f>
        <v/>
      </c>
      <c r="H13" s="15">
        <f>H2/(H2+H11)</f>
        <v/>
      </c>
      <c r="I13" s="15">
        <f>I2/(I2+I11)</f>
        <v/>
      </c>
      <c r="J13" s="15">
        <f>J2/(J2+J11)</f>
        <v/>
      </c>
      <c r="K13" s="15">
        <f>K2/(K2+K11)</f>
        <v/>
      </c>
      <c r="L13" s="15">
        <f>L2/(L2+L11)</f>
        <v/>
      </c>
      <c r="M13" s="15">
        <f>M2/(M2+M11)</f>
        <v/>
      </c>
      <c r="N13" s="15">
        <f>N2/(N2+N11)</f>
        <v/>
      </c>
      <c r="O13" s="15">
        <f>O2/(O2+O11)</f>
        <v/>
      </c>
      <c r="P13" s="15">
        <f>P2/(P2+P11)</f>
        <v/>
      </c>
      <c r="Q13" s="15">
        <f>Q2/(Q2+Q11)</f>
        <v/>
      </c>
      <c r="R13" s="15">
        <f>R2/(R2+R11)</f>
        <v/>
      </c>
      <c r="S13" s="15">
        <f>S2/(S2+S11)</f>
        <v/>
      </c>
    </row>
    <row r="14">
      <c r="A14" s="16" t="inlineStr">
        <is>
          <t>Recall best</t>
        </is>
      </c>
      <c r="B14" s="15">
        <f>B10/(B10+B3)</f>
        <v/>
      </c>
      <c r="C14" s="15">
        <f>C10/(C10+C3)</f>
        <v/>
      </c>
      <c r="D14" s="15">
        <f>D10/(D10+D3)</f>
        <v/>
      </c>
      <c r="E14" s="15">
        <f>E10/(E10+E3)</f>
        <v/>
      </c>
      <c r="F14" s="15">
        <f>F10/(F10+F3)</f>
        <v/>
      </c>
      <c r="G14" s="15">
        <f>G10/(G10+G3)</f>
        <v/>
      </c>
      <c r="H14" s="15">
        <f>H10/(H10+H3)</f>
        <v/>
      </c>
      <c r="I14" s="15">
        <f>I10/(I10+I3)</f>
        <v/>
      </c>
      <c r="J14" s="15">
        <f>J10/(J10+J3)</f>
        <v/>
      </c>
      <c r="K14" s="15">
        <f>K10/(K10+K3)</f>
        <v/>
      </c>
      <c r="L14" s="15">
        <f>L10/(L10+L3)</f>
        <v/>
      </c>
      <c r="M14" s="15">
        <f>M10/(M10+M3)</f>
        <v/>
      </c>
      <c r="N14" s="15">
        <f>N10/(N10+N3)</f>
        <v/>
      </c>
      <c r="O14" s="15">
        <f>O10/(O10+O3)</f>
        <v/>
      </c>
      <c r="P14" s="15">
        <f>P10/(P10+P3)</f>
        <v/>
      </c>
      <c r="Q14" s="15">
        <f>Q10/(Q10+Q3)</f>
        <v/>
      </c>
      <c r="R14" s="15">
        <f>R10/(R10+R3)</f>
        <v/>
      </c>
      <c r="S14" s="15">
        <f>S10/(S10+S3)</f>
        <v/>
      </c>
    </row>
    <row r="16">
      <c r="A16" s="12" t="inlineStr">
        <is>
          <t>GT = GS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</row>
    <row r="17">
      <c r="A17" s="17" t="inlineStr">
        <is>
          <t>Total (GS)</t>
        </is>
      </c>
      <c r="B17" s="11">
        <f>'{C} GS to X'!$B$79</f>
        <v/>
      </c>
      <c r="C17" s="11">
        <f>'{C} GS to X'!$B$79</f>
        <v/>
      </c>
      <c r="D17" s="11">
        <f>'{C} GS to X'!$B$79</f>
        <v/>
      </c>
      <c r="E17" s="11">
        <f>'{C} GS to X'!$B$79</f>
        <v/>
      </c>
      <c r="F17" s="11">
        <f>'{C} GS to X'!$B$79</f>
        <v/>
      </c>
      <c r="G17" s="11">
        <f>'{C} GS to X'!$B$79</f>
        <v/>
      </c>
      <c r="H17" s="11">
        <f>'{C} GS to X'!$B$79</f>
        <v/>
      </c>
      <c r="I17" s="11">
        <f>'{C} GS to X'!$B$79</f>
        <v/>
      </c>
      <c r="J17" s="11">
        <f>'{C} GS to X'!$B$79</f>
        <v/>
      </c>
      <c r="K17" s="11">
        <f>'{C} GS to X'!$B$79</f>
        <v/>
      </c>
      <c r="L17" s="11">
        <f>'{C} GS to X'!$B$79</f>
        <v/>
      </c>
      <c r="M17" s="11">
        <f>'{C} GS to X'!$B$79</f>
        <v/>
      </c>
      <c r="N17" s="11">
        <f>'{C} GS to X'!$B$79</f>
        <v/>
      </c>
      <c r="O17" s="11">
        <f>'{C} GS to X'!$B$79</f>
        <v/>
      </c>
      <c r="P17" s="11">
        <f>'{C} GS to X'!$B$79</f>
        <v/>
      </c>
      <c r="Q17" s="11">
        <f>'{C} GS to X'!$B$79</f>
        <v/>
      </c>
    </row>
    <row r="18">
      <c r="A18" t="inlineStr">
        <is>
          <t>Discovered (GS)</t>
        </is>
      </c>
      <c r="B18" t="n">
        <v>0</v>
      </c>
      <c r="C18">
        <f>'{C} GS to X'!E79</f>
        <v/>
      </c>
      <c r="D18">
        <f>'{C} GS to X'!I79</f>
        <v/>
      </c>
      <c r="E18">
        <f>'{C} GS to X'!J79</f>
        <v/>
      </c>
      <c r="F18">
        <f>'{C} GS to X'!K79</f>
        <v/>
      </c>
      <c r="G18">
        <f>'{C} GS to X'!L79</f>
        <v/>
      </c>
      <c r="H18">
        <f>'{C} GS to X'!M79</f>
        <v/>
      </c>
      <c r="I18">
        <f>'{C} GS to X'!N79</f>
        <v/>
      </c>
      <c r="J18">
        <f>'{C} GS to X'!R79</f>
        <v/>
      </c>
      <c r="K18">
        <f>'{C} GS to X'!S79</f>
        <v/>
      </c>
      <c r="L18">
        <f>'{C} GS to X'!T79</f>
        <v/>
      </c>
      <c r="M18">
        <f>'{C} GS to X'!X79</f>
        <v/>
      </c>
      <c r="N18">
        <f>'{C} GS to X'!Y79</f>
        <v/>
      </c>
      <c r="O18">
        <f>'{C} GS to X'!Z79</f>
        <v/>
      </c>
      <c r="P18">
        <f>'{C} GS to X'!AD79</f>
        <v/>
      </c>
      <c r="Q18">
        <f>'{C} GS to X'!AE79</f>
        <v/>
      </c>
    </row>
    <row r="19">
      <c r="A19" t="inlineStr">
        <is>
          <t>Covered (GS)</t>
        </is>
      </c>
      <c r="B19">
        <f>B2+B18</f>
        <v/>
      </c>
      <c r="C19">
        <f>C2+C18</f>
        <v/>
      </c>
      <c r="D19">
        <f>D2+D18</f>
        <v/>
      </c>
      <c r="E19">
        <f>E2+E18</f>
        <v/>
      </c>
      <c r="F19">
        <f>F2+F18</f>
        <v/>
      </c>
      <c r="G19">
        <f>G2+G18</f>
        <v/>
      </c>
      <c r="H19">
        <f>H2+H18</f>
        <v/>
      </c>
      <c r="I19">
        <f>I2+I18</f>
        <v/>
      </c>
      <c r="J19">
        <f>J2+J18</f>
        <v/>
      </c>
      <c r="K19">
        <f>K2+K18</f>
        <v/>
      </c>
      <c r="L19">
        <f>L2+L18</f>
        <v/>
      </c>
      <c r="M19">
        <f>M2+M18</f>
        <v/>
      </c>
      <c r="N19">
        <f>N2+N18</f>
        <v/>
      </c>
      <c r="O19">
        <f>O2+O18</f>
        <v/>
      </c>
      <c r="P19">
        <f>P2+P18</f>
        <v/>
      </c>
      <c r="Q19">
        <f>Q2+Q18</f>
        <v/>
      </c>
    </row>
    <row r="20">
      <c r="A20" t="inlineStr">
        <is>
          <t>Uncovered (GS)</t>
        </is>
      </c>
      <c r="B20">
        <f>B17-B19-B4</f>
        <v/>
      </c>
      <c r="C20">
        <f>C17-C19-C4</f>
        <v/>
      </c>
      <c r="D20">
        <f>D17-D19-D4</f>
        <v/>
      </c>
      <c r="E20">
        <f>E17-E19-E4</f>
        <v/>
      </c>
      <c r="F20">
        <f>F17-F19-F4</f>
        <v/>
      </c>
      <c r="G20">
        <f>G17-G19-G4</f>
        <v/>
      </c>
      <c r="H20">
        <f>H17-H19-H4</f>
        <v/>
      </c>
      <c r="I20">
        <f>I17-I19-I4</f>
        <v/>
      </c>
      <c r="J20">
        <f>J17-J19-J4</f>
        <v/>
      </c>
      <c r="K20">
        <f>K17-K19-K4</f>
        <v/>
      </c>
      <c r="L20">
        <f>L17-L19-L4</f>
        <v/>
      </c>
      <c r="M20">
        <f>M17-M19-M4</f>
        <v/>
      </c>
      <c r="N20">
        <f>N17-N19-N4</f>
        <v/>
      </c>
      <c r="O20">
        <f>O17-O19-O4</f>
        <v/>
      </c>
      <c r="P20">
        <f>P17-P19-P4</f>
        <v/>
      </c>
      <c r="Q20">
        <f>Q17-Q19-Q4</f>
        <v/>
      </c>
    </row>
    <row r="21">
      <c r="A21" t="inlineStr">
        <is>
          <t>Covered + Partial (GS)</t>
        </is>
      </c>
      <c r="B21">
        <f>B19+B4</f>
        <v/>
      </c>
      <c r="C21">
        <f>C19+C4</f>
        <v/>
      </c>
      <c r="D21">
        <f>D19+D4</f>
        <v/>
      </c>
      <c r="E21">
        <f>E19+E4</f>
        <v/>
      </c>
      <c r="F21">
        <f>F19+F4</f>
        <v/>
      </c>
      <c r="G21">
        <f>G19+G4</f>
        <v/>
      </c>
      <c r="H21">
        <f>H19+H4</f>
        <v/>
      </c>
      <c r="I21">
        <f>I19+I4</f>
        <v/>
      </c>
      <c r="J21">
        <f>J19+J4</f>
        <v/>
      </c>
      <c r="K21">
        <f>K19+K4</f>
        <v/>
      </c>
      <c r="L21">
        <f>L19+L4</f>
        <v/>
      </c>
      <c r="M21">
        <f>M19+M4</f>
        <v/>
      </c>
      <c r="N21">
        <f>N19+N4</f>
        <v/>
      </c>
      <c r="O21">
        <f>O19+O4</f>
        <v/>
      </c>
      <c r="P21">
        <f>P19+P4</f>
        <v/>
      </c>
      <c r="Q21">
        <f>Q19+Q4</f>
        <v/>
      </c>
    </row>
    <row r="22">
      <c r="A22" t="inlineStr">
        <is>
          <t>Uncovered + Partial (GS)</t>
        </is>
      </c>
      <c r="B22">
        <f>B20+B4</f>
        <v/>
      </c>
      <c r="C22">
        <f>C20+C4</f>
        <v/>
      </c>
      <c r="D22">
        <f>D20+D4</f>
        <v/>
      </c>
      <c r="E22">
        <f>E20+E4</f>
        <v/>
      </c>
      <c r="F22">
        <f>F20+F4</f>
        <v/>
      </c>
      <c r="G22">
        <f>G20+G4</f>
        <v/>
      </c>
      <c r="H22">
        <f>H20+H4</f>
        <v/>
      </c>
      <c r="I22">
        <f>I20+I4</f>
        <v/>
      </c>
      <c r="J22">
        <f>J20+J4</f>
        <v/>
      </c>
      <c r="K22">
        <f>K20+K4</f>
        <v/>
      </c>
      <c r="L22">
        <f>L20+L4</f>
        <v/>
      </c>
      <c r="M22">
        <f>M20+M4</f>
        <v/>
      </c>
      <c r="N22">
        <f>N20+N4</f>
        <v/>
      </c>
      <c r="O22">
        <f>O20+O4</f>
        <v/>
      </c>
      <c r="P22">
        <f>P20+P4</f>
        <v/>
      </c>
      <c r="Q22">
        <f>Q20+Q4</f>
        <v/>
      </c>
    </row>
    <row r="23">
      <c r="A23" t="inlineStr">
        <is>
          <t>Hallucinations</t>
        </is>
      </c>
      <c r="B23">
        <f>B6</f>
        <v/>
      </c>
      <c r="C23">
        <f>C6</f>
        <v/>
      </c>
      <c r="D23">
        <f>D6</f>
        <v/>
      </c>
      <c r="E23">
        <f>E6</f>
        <v/>
      </c>
      <c r="F23">
        <f>F6</f>
        <v/>
      </c>
      <c r="G23">
        <f>G6</f>
        <v/>
      </c>
      <c r="H23">
        <f>H6</f>
        <v/>
      </c>
      <c r="I23">
        <f>I6</f>
        <v/>
      </c>
      <c r="J23">
        <f>J6</f>
        <v/>
      </c>
      <c r="K23">
        <f>K6</f>
        <v/>
      </c>
      <c r="L23">
        <f>L6</f>
        <v/>
      </c>
      <c r="M23">
        <f>M6</f>
        <v/>
      </c>
      <c r="N23">
        <f>N6</f>
        <v/>
      </c>
      <c r="O23">
        <f>O6</f>
        <v/>
      </c>
      <c r="P23">
        <f>P6</f>
        <v/>
      </c>
      <c r="Q23">
        <f>Q6</f>
        <v/>
      </c>
    </row>
    <row r="24">
      <c r="A24" t="inlineStr">
        <is>
          <t>Partial hallucinations</t>
        </is>
      </c>
      <c r="B24">
        <f>B7</f>
        <v/>
      </c>
      <c r="C24">
        <f>C7</f>
        <v/>
      </c>
      <c r="D24">
        <f>D7</f>
        <v/>
      </c>
      <c r="E24">
        <f>E7</f>
        <v/>
      </c>
      <c r="F24">
        <f>F7</f>
        <v/>
      </c>
      <c r="G24">
        <f>G7</f>
        <v/>
      </c>
      <c r="H24">
        <f>H7</f>
        <v/>
      </c>
      <c r="I24">
        <f>I7</f>
        <v/>
      </c>
      <c r="J24">
        <f>J7</f>
        <v/>
      </c>
      <c r="K24">
        <f>K7</f>
        <v/>
      </c>
      <c r="L24">
        <f>L7</f>
        <v/>
      </c>
      <c r="M24">
        <f>M7</f>
        <v/>
      </c>
      <c r="N24">
        <f>N7</f>
        <v/>
      </c>
      <c r="O24">
        <f>O7</f>
        <v/>
      </c>
      <c r="P24">
        <f>P7</f>
        <v/>
      </c>
      <c r="Q24">
        <f>Q7</f>
        <v/>
      </c>
    </row>
    <row r="26">
      <c r="A26" s="53" t="inlineStr">
        <is>
          <t>Recall worst</t>
        </is>
      </c>
      <c r="B26" s="18">
        <f>B19/(B19+B22)</f>
        <v/>
      </c>
      <c r="C26" s="18">
        <f>C19/(C19+C22)</f>
        <v/>
      </c>
      <c r="D26" s="18">
        <f>D19/(D19+D22)</f>
        <v/>
      </c>
      <c r="E26" s="18">
        <f>E19/(E19+E22)</f>
        <v/>
      </c>
      <c r="F26" s="18">
        <f>F19/(F19+F22)</f>
        <v/>
      </c>
      <c r="G26" s="18">
        <f>G19/(G19+G22)</f>
        <v/>
      </c>
      <c r="H26" s="18">
        <f>H19/(H19+H22)</f>
        <v/>
      </c>
      <c r="I26" s="18">
        <f>I19/(I19+I22)</f>
        <v/>
      </c>
      <c r="J26" s="18">
        <f>J19/(J19+J22)</f>
        <v/>
      </c>
      <c r="K26" s="18">
        <f>K19/(K19+K22)</f>
        <v/>
      </c>
      <c r="L26" s="18">
        <f>L19/(L19+L22)</f>
        <v/>
      </c>
      <c r="M26" s="18">
        <f>M19/(M19+M22)</f>
        <v/>
      </c>
      <c r="N26" s="18">
        <f>N19/(N19+N22)</f>
        <v/>
      </c>
      <c r="O26" s="18">
        <f>O19/(O19+O22)</f>
        <v/>
      </c>
      <c r="P26" s="18">
        <f>P19/(P19+P22)</f>
        <v/>
      </c>
      <c r="Q26" s="18">
        <f>Q19/(Q19+Q22)</f>
        <v/>
      </c>
    </row>
    <row r="27">
      <c r="A27" s="53" t="inlineStr">
        <is>
          <t>Recall best</t>
        </is>
      </c>
      <c r="B27" s="18">
        <f>B21/(B21+B20)</f>
        <v/>
      </c>
      <c r="C27" s="18">
        <f>C21/(C21+C20)</f>
        <v/>
      </c>
      <c r="D27" s="18">
        <f>D21/(D21+D20)</f>
        <v/>
      </c>
      <c r="E27" s="18">
        <f>E21/(E21+E20)</f>
        <v/>
      </c>
      <c r="F27" s="18">
        <f>F21/(F21+F20)</f>
        <v/>
      </c>
      <c r="G27" s="18">
        <f>G21/(G21+G20)</f>
        <v/>
      </c>
      <c r="H27" s="18">
        <f>H21/(H21+H20)</f>
        <v/>
      </c>
      <c r="I27" s="18">
        <f>I21/(I21+I20)</f>
        <v/>
      </c>
      <c r="J27" s="18">
        <f>J21/(J21+J20)</f>
        <v/>
      </c>
      <c r="K27" s="18">
        <f>K21/(K21+K20)</f>
        <v/>
      </c>
      <c r="L27" s="18">
        <f>L21/(L21+L20)</f>
        <v/>
      </c>
      <c r="M27" s="18">
        <f>M21/(M21+M20)</f>
        <v/>
      </c>
      <c r="N27" s="18">
        <f>N21/(N21+N20)</f>
        <v/>
      </c>
      <c r="O27" s="18">
        <f>O21/(O21+O20)</f>
        <v/>
      </c>
      <c r="P27" s="18">
        <f>P21/(P21+P20)</f>
        <v/>
      </c>
      <c r="Q27" s="18">
        <f>Q21/(Q21+Q20)</f>
        <v/>
      </c>
    </row>
    <row r="28">
      <c r="A28" s="53" t="inlineStr">
        <is>
          <t>Precision</t>
        </is>
      </c>
      <c r="B28" s="18">
        <f>B21/(B21+B23+B24)</f>
        <v/>
      </c>
      <c r="C28" s="18">
        <f>C21/(C21+C23+C24)</f>
        <v/>
      </c>
      <c r="D28" s="18">
        <f>D21/(D21+D23+D24)</f>
        <v/>
      </c>
      <c r="E28" s="18">
        <f>E21/(E21+E23+E24)</f>
        <v/>
      </c>
      <c r="F28" s="18">
        <f>F21/(F21+F23+F24)</f>
        <v/>
      </c>
      <c r="G28" s="18">
        <f>G21/(G21+G23+G24)</f>
        <v/>
      </c>
      <c r="H28" s="18">
        <f>H21/(H21+H23+H24)</f>
        <v/>
      </c>
      <c r="I28" s="18">
        <f>I21/(I21+I23+I24)</f>
        <v/>
      </c>
      <c r="J28" s="18">
        <f>J21/(J21+J23+J24)</f>
        <v/>
      </c>
      <c r="K28" s="18">
        <f>K21/(K21+K23+K24)</f>
        <v/>
      </c>
      <c r="L28" s="18">
        <f>L21/(L21+L23+L24)</f>
        <v/>
      </c>
      <c r="M28" s="18">
        <f>M21/(M21+M23+M24)</f>
        <v/>
      </c>
      <c r="N28" s="18">
        <f>N21/(N21+N23+N24)</f>
        <v/>
      </c>
      <c r="O28" s="18">
        <f>O21/(O21+O23+O24)</f>
        <v/>
      </c>
      <c r="P28" s="18">
        <f>P21/(P21+P23+P24)</f>
        <v/>
      </c>
      <c r="Q28" s="18">
        <f>Q21/(Q21+Q23+Q24)</f>
        <v/>
      </c>
    </row>
    <row r="29">
      <c r="A29" s="53" t="inlineStr">
        <is>
          <t>Recall gain worst</t>
        </is>
      </c>
      <c r="B29" s="18">
        <f>B26/$B26</f>
        <v/>
      </c>
      <c r="C29" s="18">
        <f>C26/$B26</f>
        <v/>
      </c>
      <c r="D29" s="18">
        <f>D26/$B26</f>
        <v/>
      </c>
      <c r="E29" s="18">
        <f>E26/$B26</f>
        <v/>
      </c>
      <c r="F29" s="18">
        <f>F26/$B26</f>
        <v/>
      </c>
      <c r="G29" s="18">
        <f>G26/$B26</f>
        <v/>
      </c>
      <c r="H29" s="18">
        <f>H26/$B26</f>
        <v/>
      </c>
      <c r="I29" s="18">
        <f>I26/$B26</f>
        <v/>
      </c>
      <c r="J29" s="18">
        <f>J26/$B26</f>
        <v/>
      </c>
      <c r="K29" s="18">
        <f>K26/$B26</f>
        <v/>
      </c>
      <c r="L29" s="18">
        <f>L26/$B26</f>
        <v/>
      </c>
      <c r="M29" s="18">
        <f>M26/$B26</f>
        <v/>
      </c>
      <c r="N29" s="18">
        <f>N26/$B26</f>
        <v/>
      </c>
      <c r="O29" s="18">
        <f>O26/$B26</f>
        <v/>
      </c>
      <c r="P29" s="18">
        <f>P26/$B26</f>
        <v/>
      </c>
      <c r="Q29" s="18">
        <f>Q26/$B26</f>
        <v/>
      </c>
    </row>
    <row r="30">
      <c r="A30" s="53" t="inlineStr">
        <is>
          <t>Recall gain best</t>
        </is>
      </c>
      <c r="B30" s="18">
        <f>B27/$B27</f>
        <v/>
      </c>
      <c r="C30" s="18">
        <f>C27/$B27</f>
        <v/>
      </c>
      <c r="D30" s="18">
        <f>D27/$B27</f>
        <v/>
      </c>
      <c r="E30" s="18">
        <f>E27/$B27</f>
        <v/>
      </c>
      <c r="F30" s="18">
        <f>F27/$B27</f>
        <v/>
      </c>
      <c r="G30" s="18">
        <f>G27/$B27</f>
        <v/>
      </c>
      <c r="H30" s="18">
        <f>H27/$B27</f>
        <v/>
      </c>
      <c r="I30" s="18">
        <f>I27/$B27</f>
        <v/>
      </c>
      <c r="J30" s="18">
        <f>J27/$B27</f>
        <v/>
      </c>
      <c r="K30" s="18">
        <f>K27/$B27</f>
        <v/>
      </c>
      <c r="L30" s="18">
        <f>L27/$B27</f>
        <v/>
      </c>
      <c r="M30" s="18">
        <f>M27/$B27</f>
        <v/>
      </c>
      <c r="N30" s="18">
        <f>N27/$B27</f>
        <v/>
      </c>
      <c r="O30" s="18">
        <f>O27/$B27</f>
        <v/>
      </c>
      <c r="P30" s="18">
        <f>P27/$B27</f>
        <v/>
      </c>
      <c r="Q30" s="18">
        <f>Q27/$B27</f>
        <v/>
      </c>
    </row>
    <row r="32">
      <c r="A32" s="53" t="inlineStr">
        <is>
          <t>F1 worst</t>
        </is>
      </c>
      <c r="B32" s="19">
        <f>HARMEAN(B26,B28)</f>
        <v/>
      </c>
      <c r="C32" s="19">
        <f>HARMEAN(C26,C28)</f>
        <v/>
      </c>
      <c r="D32" s="19">
        <f>HARMEAN(D26,D28)</f>
        <v/>
      </c>
      <c r="E32" s="19">
        <f>HARMEAN(E26,E28)</f>
        <v/>
      </c>
      <c r="F32" s="19">
        <f>HARMEAN(F26,F28)</f>
        <v/>
      </c>
      <c r="G32" s="19">
        <f>HARMEAN(G26,G28)</f>
        <v/>
      </c>
      <c r="H32" s="19">
        <f>HARMEAN(H26,H28)</f>
        <v/>
      </c>
      <c r="I32" s="19">
        <f>HARMEAN(I26,I28)</f>
        <v/>
      </c>
      <c r="J32" s="19">
        <f>HARMEAN(J26,J28)</f>
        <v/>
      </c>
      <c r="K32" s="19">
        <f>HARMEAN(K26,K28)</f>
        <v/>
      </c>
      <c r="L32" s="19">
        <f>HARMEAN(L26,L28)</f>
        <v/>
      </c>
      <c r="M32" s="19">
        <f>HARMEAN(M26,M28)</f>
        <v/>
      </c>
      <c r="N32" s="19">
        <f>HARMEAN(N26,N28)</f>
        <v/>
      </c>
      <c r="O32" s="19">
        <f>HARMEAN(O26,O28)</f>
        <v/>
      </c>
      <c r="P32" s="19">
        <f>HARMEAN(P26,P28)</f>
        <v/>
      </c>
      <c r="Q32" s="19">
        <f>HARMEAN(Q26,Q28)</f>
        <v/>
      </c>
    </row>
    <row r="33">
      <c r="A33" s="53" t="inlineStr">
        <is>
          <t>F1 best</t>
        </is>
      </c>
      <c r="B33" s="19">
        <f>HARMEAN(B27,B28)</f>
        <v/>
      </c>
      <c r="C33" s="19">
        <f>HARMEAN(C27,C28)</f>
        <v/>
      </c>
      <c r="D33" s="19">
        <f>HARMEAN(D27,D28)</f>
        <v/>
      </c>
      <c r="E33" s="19">
        <f>HARMEAN(E27,E28)</f>
        <v/>
      </c>
      <c r="F33" s="19">
        <f>HARMEAN(F27,F28)</f>
        <v/>
      </c>
      <c r="G33" s="19">
        <f>HARMEAN(G27,G28)</f>
        <v/>
      </c>
      <c r="H33" s="19">
        <f>HARMEAN(H27,H28)</f>
        <v/>
      </c>
      <c r="I33" s="19">
        <f>HARMEAN(I27,I28)</f>
        <v/>
      </c>
      <c r="J33" s="19">
        <f>HARMEAN(J27,J28)</f>
        <v/>
      </c>
      <c r="K33" s="19">
        <f>HARMEAN(K27,K28)</f>
        <v/>
      </c>
      <c r="L33" s="19">
        <f>HARMEAN(L27,L28)</f>
        <v/>
      </c>
      <c r="M33" s="19">
        <f>HARMEAN(M27,M28)</f>
        <v/>
      </c>
      <c r="N33" s="19">
        <f>HARMEAN(N27,N28)</f>
        <v/>
      </c>
      <c r="O33" s="19">
        <f>HARMEAN(O27,O28)</f>
        <v/>
      </c>
      <c r="P33" s="19">
        <f>HARMEAN(P27,P28)</f>
        <v/>
      </c>
      <c r="Q33" s="19">
        <f>HARMEAN(Q27,Q28)</f>
        <v/>
      </c>
    </row>
    <row r="34">
      <c r="A34" s="53" t="inlineStr">
        <is>
          <t>F2 worst</t>
        </is>
      </c>
      <c r="B34" s="19">
        <f>(1+2^2)*B28*B26/(2^2*B28+B26)</f>
        <v/>
      </c>
      <c r="C34" s="19">
        <f>(1+2^2)*C28*C26/(2^2*C28+C26)</f>
        <v/>
      </c>
      <c r="D34" s="19">
        <f>(1+2^2)*D28*D26/(2^2*D28+D26)</f>
        <v/>
      </c>
      <c r="E34" s="19">
        <f>(1+2^2)*E28*E26/(2^2*E28+E26)</f>
        <v/>
      </c>
      <c r="F34" s="19">
        <f>(1+2^2)*F28*F26/(2^2*F28+F26)</f>
        <v/>
      </c>
      <c r="G34" s="19">
        <f>(1+2^2)*G28*G26/(2^2*G28+G26)</f>
        <v/>
      </c>
      <c r="H34" s="19">
        <f>(1+2^2)*H28*H26/(2^2*H28+H26)</f>
        <v/>
      </c>
      <c r="I34" s="19">
        <f>(1+2^2)*I28*I26/(2^2*I28+I26)</f>
        <v/>
      </c>
      <c r="J34" s="19">
        <f>(1+2^2)*J28*J26/(2^2*J28+J26)</f>
        <v/>
      </c>
      <c r="K34" s="19">
        <f>(1+2^2)*K28*K26/(2^2*K28+K26)</f>
        <v/>
      </c>
      <c r="L34" s="19">
        <f>(1+2^2)*L28*L26/(2^2*L28+L26)</f>
        <v/>
      </c>
      <c r="M34" s="19">
        <f>(1+2^2)*M28*M26/(2^2*M28+M26)</f>
        <v/>
      </c>
      <c r="N34" s="19">
        <f>(1+2^2)*N28*N26/(2^2*N28+N26)</f>
        <v/>
      </c>
      <c r="O34" s="19">
        <f>(1+2^2)*O28*O26/(2^2*O28+O26)</f>
        <v/>
      </c>
      <c r="P34" s="19">
        <f>(1+2^2)*P28*P26/(2^2*P28+P26)</f>
        <v/>
      </c>
      <c r="Q34" s="19">
        <f>(1+2^2)*Q28*Q26/(2^2*Q28+Q26)</f>
        <v/>
      </c>
    </row>
    <row r="35">
      <c r="A35" s="53" t="inlineStr">
        <is>
          <t>F2 best</t>
        </is>
      </c>
      <c r="B35" s="19">
        <f>(1+2^2)*B28*B27/(2^2*B28+B27)</f>
        <v/>
      </c>
      <c r="C35" s="19">
        <f>(1+2^2)*C28*C27/(2^2*C28+C27)</f>
        <v/>
      </c>
      <c r="D35" s="19">
        <f>(1+2^2)*D28*D27/(2^2*D28+D27)</f>
        <v/>
      </c>
      <c r="E35" s="19">
        <f>(1+2^2)*E28*E27/(2^2*E28+E27)</f>
        <v/>
      </c>
      <c r="F35" s="19">
        <f>(1+2^2)*F28*F27/(2^2*F28+F27)</f>
        <v/>
      </c>
      <c r="G35" s="19">
        <f>(1+2^2)*G28*G27/(2^2*G28+G27)</f>
        <v/>
      </c>
      <c r="H35" s="19">
        <f>(1+2^2)*H28*H27/(2^2*H28+H27)</f>
        <v/>
      </c>
      <c r="I35" s="19">
        <f>(1+2^2)*I28*I27/(2^2*I28+I27)</f>
        <v/>
      </c>
      <c r="J35" s="19">
        <f>(1+2^2)*J28*J27/(2^2*J28+J27)</f>
        <v/>
      </c>
      <c r="K35" s="19">
        <f>(1+2^2)*K28*K27/(2^2*K28+K27)</f>
        <v/>
      </c>
      <c r="L35" s="19">
        <f>(1+2^2)*L28*L27/(2^2*L28+L27)</f>
        <v/>
      </c>
      <c r="M35" s="19">
        <f>(1+2^2)*M28*M27/(2^2*M28+M27)</f>
        <v/>
      </c>
      <c r="N35" s="19">
        <f>(1+2^2)*N28*N27/(2^2*N28+N27)</f>
        <v/>
      </c>
      <c r="O35" s="19">
        <f>(1+2^2)*O28*O27/(2^2*O28+O27)</f>
        <v/>
      </c>
      <c r="P35" s="19">
        <f>(1+2^2)*P28*P27/(2^2*P28+P27)</f>
        <v/>
      </c>
      <c r="Q35" s="19">
        <f>(1+2^2)*Q28*Q27/(2^2*Q28+Q27)</f>
        <v/>
      </c>
    </row>
    <row r="36">
      <c r="A36" s="53" t="inlineStr">
        <is>
          <t>F0.5 worst</t>
        </is>
      </c>
      <c r="B36" s="19">
        <f>(1+0.5^2)*B28*B26/(0.5^2*B28+B26)</f>
        <v/>
      </c>
      <c r="C36" s="19">
        <f>(1+0.5^2)*C28*C26/(0.5^2*C28+C26)</f>
        <v/>
      </c>
      <c r="D36" s="19">
        <f>(1+0.5^2)*D28*D26/(0.5^2*D28+D26)</f>
        <v/>
      </c>
      <c r="E36" s="19">
        <f>(1+0.5^2)*E28*E26/(0.5^2*E28+E26)</f>
        <v/>
      </c>
      <c r="F36" s="19">
        <f>(1+0.5^2)*F28*F26/(0.5^2*F28+F26)</f>
        <v/>
      </c>
      <c r="G36" s="19">
        <f>(1+0.5^2)*G28*G26/(0.5^2*G28+G26)</f>
        <v/>
      </c>
      <c r="H36" s="19">
        <f>(1+0.5^2)*H28*H26/(0.5^2*H28+H26)</f>
        <v/>
      </c>
      <c r="I36" s="19">
        <f>(1+0.5^2)*I28*I26/(0.5^2*I28+I26)</f>
        <v/>
      </c>
      <c r="J36" s="19">
        <f>(1+0.5^2)*J28*J26/(0.5^2*J28+J26)</f>
        <v/>
      </c>
      <c r="K36" s="19">
        <f>(1+0.5^2)*K28*K26/(0.5^2*K28+K26)</f>
        <v/>
      </c>
      <c r="L36" s="19">
        <f>(1+0.5^2)*L28*L26/(0.5^2*L28+L26)</f>
        <v/>
      </c>
      <c r="M36" s="19">
        <f>(1+0.5^2)*M28*M26/(0.5^2*M28+M26)</f>
        <v/>
      </c>
      <c r="N36" s="19">
        <f>(1+0.5^2)*N28*N26/(0.5^2*N28+N26)</f>
        <v/>
      </c>
      <c r="O36" s="19">
        <f>(1+0.5^2)*O28*O26/(0.5^2*O28+O26)</f>
        <v/>
      </c>
      <c r="P36" s="19">
        <f>(1+0.5^2)*P28*P26/(0.5^2*P28+P26)</f>
        <v/>
      </c>
      <c r="Q36" s="19">
        <f>(1+0.5^2)*Q28*Q26/(0.5^2*Q28+Q26)</f>
        <v/>
      </c>
    </row>
    <row r="37">
      <c r="A37" s="53" t="inlineStr">
        <is>
          <t>F0.5 best</t>
        </is>
      </c>
      <c r="B37" s="19">
        <f>(1+0.5^2)*B28*B27/(0.5^2*B28+B27)</f>
        <v/>
      </c>
      <c r="C37" s="19">
        <f>(1+0.5^2)*C28*C27/(0.5^2*C28+C27)</f>
        <v/>
      </c>
      <c r="D37" s="19">
        <f>(1+0.5^2)*D28*D27/(0.5^2*D28+D27)</f>
        <v/>
      </c>
      <c r="E37" s="19">
        <f>(1+0.5^2)*E28*E27/(0.5^2*E28+E27)</f>
        <v/>
      </c>
      <c r="F37" s="19">
        <f>(1+0.5^2)*F28*F27/(0.5^2*F28+F27)</f>
        <v/>
      </c>
      <c r="G37" s="19">
        <f>(1+0.5^2)*G28*G27/(0.5^2*G28+G27)</f>
        <v/>
      </c>
      <c r="H37" s="19">
        <f>(1+0.5^2)*H28*H27/(0.5^2*H28+H27)</f>
        <v/>
      </c>
      <c r="I37" s="19">
        <f>(1+0.5^2)*I28*I27/(0.5^2*I28+I27)</f>
        <v/>
      </c>
      <c r="J37" s="19">
        <f>(1+0.5^2)*J28*J27/(0.5^2*J28+J27)</f>
        <v/>
      </c>
      <c r="K37" s="19">
        <f>(1+0.5^2)*K28*K27/(0.5^2*K28+K27)</f>
        <v/>
      </c>
      <c r="L37" s="19">
        <f>(1+0.5^2)*L28*L27/(0.5^2*L28+L27)</f>
        <v/>
      </c>
      <c r="M37" s="19">
        <f>(1+0.5^2)*M28*M27/(0.5^2*M28+M27)</f>
        <v/>
      </c>
      <c r="N37" s="19">
        <f>(1+0.5^2)*N28*N27/(0.5^2*N28+N27)</f>
        <v/>
      </c>
      <c r="O37" s="19">
        <f>(1+0.5^2)*O28*O27/(0.5^2*O28+O27)</f>
        <v/>
      </c>
      <c r="P37" s="19">
        <f>(1+0.5^2)*P28*P27/(0.5^2*P28+P27)</f>
        <v/>
      </c>
      <c r="Q37" s="19">
        <f>(1+0.5^2)*Q28*Q27/(0.5^2*Q28+Q27)</f>
        <v/>
      </c>
    </row>
    <row r="38">
      <c r="A38" s="53" t="inlineStr">
        <is>
          <t>Relative F2 worst</t>
        </is>
      </c>
      <c r="B38" s="19">
        <f>(1+2^2)*B28*B29/(2^2*B28+B29)</f>
        <v/>
      </c>
      <c r="C38" s="19">
        <f>(1+2^2)*C28*C29/(2^2*C28+C29)</f>
        <v/>
      </c>
      <c r="D38" s="19">
        <f>(1+2^2)*D28*D29/(2^2*D28+D29)</f>
        <v/>
      </c>
      <c r="E38" s="19">
        <f>(1+2^2)*E28*E29/(2^2*E28+E29)</f>
        <v/>
      </c>
      <c r="F38" s="19">
        <f>(1+2^2)*F28*F29/(2^2*F28+F29)</f>
        <v/>
      </c>
      <c r="G38" s="19">
        <f>(1+2^2)*G28*G29/(2^2*G28+G29)</f>
        <v/>
      </c>
      <c r="H38" s="19">
        <f>(1+2^2)*H28*H29/(2^2*H28+H29)</f>
        <v/>
      </c>
      <c r="I38" s="19">
        <f>(1+2^2)*I28*I29/(2^2*I28+I29)</f>
        <v/>
      </c>
      <c r="J38" s="19">
        <f>(1+2^2)*J28*J29/(2^2*J28+J29)</f>
        <v/>
      </c>
      <c r="K38" s="19">
        <f>(1+2^2)*K28*K29/(2^2*K28+K29)</f>
        <v/>
      </c>
      <c r="L38" s="19">
        <f>(1+2^2)*L28*L29/(2^2*L28+L29)</f>
        <v/>
      </c>
      <c r="M38" s="19">
        <f>(1+2^2)*M28*M29/(2^2*M28+M29)</f>
        <v/>
      </c>
      <c r="N38" s="19">
        <f>(1+2^2)*N28*N29/(2^2*N28+N29)</f>
        <v/>
      </c>
      <c r="O38" s="19">
        <f>(1+2^2)*O28*O29/(2^2*O28+O29)</f>
        <v/>
      </c>
      <c r="P38" s="19">
        <f>(1+2^2)*P28*P29/(2^2*P28+P29)</f>
        <v/>
      </c>
      <c r="Q38" s="19">
        <f>(1+2^2)*Q28*Q29/(2^2*Q28+Q29)</f>
        <v/>
      </c>
    </row>
    <row r="39">
      <c r="A39" s="53" t="inlineStr">
        <is>
          <t>Relative F2 best</t>
        </is>
      </c>
      <c r="B39" s="19">
        <f>(1+2^2)*B28*B30/(2^2*B28+B30)</f>
        <v/>
      </c>
      <c r="C39" s="19">
        <f>(1+2^2)*C28*C30/(2^2*C28+C30)</f>
        <v/>
      </c>
      <c r="D39" s="19">
        <f>(1+2^2)*D28*D30/(2^2*D28+D30)</f>
        <v/>
      </c>
      <c r="E39" s="19">
        <f>(1+2^2)*E28*E30/(2^2*E28+E30)</f>
        <v/>
      </c>
      <c r="F39" s="19">
        <f>(1+2^2)*F28*F30/(2^2*F28+F30)</f>
        <v/>
      </c>
      <c r="G39" s="19">
        <f>(1+2^2)*G28*G30/(2^2*G28+G30)</f>
        <v/>
      </c>
      <c r="H39" s="19">
        <f>(1+2^2)*H28*H30/(2^2*H28+H30)</f>
        <v/>
      </c>
      <c r="I39" s="19">
        <f>(1+2^2)*I28*I30/(2^2*I28+I30)</f>
        <v/>
      </c>
      <c r="J39" s="19">
        <f>(1+2^2)*J28*J30/(2^2*J28+J30)</f>
        <v/>
      </c>
      <c r="K39" s="19">
        <f>(1+2^2)*K28*K30/(2^2*K28+K30)</f>
        <v/>
      </c>
      <c r="L39" s="19">
        <f>(1+2^2)*L28*L30/(2^2*L28+L30)</f>
        <v/>
      </c>
      <c r="M39" s="19">
        <f>(1+2^2)*M28*M30/(2^2*M28+M30)</f>
        <v/>
      </c>
      <c r="N39" s="19">
        <f>(1+2^2)*N28*N30/(2^2*N28+N30)</f>
        <v/>
      </c>
      <c r="O39" s="19">
        <f>(1+2^2)*O28*O30/(2^2*O28+O30)</f>
        <v/>
      </c>
      <c r="P39" s="19">
        <f>(1+2^2)*P28*P30/(2^2*P28+P30)</f>
        <v/>
      </c>
      <c r="Q39" s="19">
        <f>(1+2^2)*Q28*Q30/(2^2*Q28+Q30)</f>
        <v/>
      </c>
    </row>
    <row r="41">
      <c r="A41" s="20" t="inlineStr">
        <is>
          <t>P-value</t>
        </is>
      </c>
      <c r="B41" s="53" t="n">
        <v>0.1</v>
      </c>
      <c r="D41" s="21" t="inlineStr">
        <is>
          <t>(90%)</t>
        </is>
      </c>
    </row>
    <row r="42">
      <c r="A42" s="20" t="inlineStr">
        <is>
          <t>Z</t>
        </is>
      </c>
      <c r="B42" s="45">
        <f>ABS(NORMSINV(B41/2))</f>
        <v/>
      </c>
    </row>
    <row r="44">
      <c r="A44" s="53" t="inlineStr">
        <is>
          <t>Recall worst [CI center]</t>
        </is>
      </c>
      <c r="B44" s="22" t="n"/>
      <c r="C44" s="22">
        <f>(C26+$B$42^2/(2*C$17))/(1+($B$42^2/C$17))</f>
        <v/>
      </c>
      <c r="D44" s="22">
        <f>(D26+$B$42^2/(2*D$17))/(1+($B$42^2/D$17))</f>
        <v/>
      </c>
      <c r="E44" s="22">
        <f>(E26+$B$42^2/(2*E$17))/(1+($B$42^2/E$17))</f>
        <v/>
      </c>
      <c r="F44" s="22">
        <f>(F26+$B$42^2/(2*F$17))/(1+($B$42^2/F$17))</f>
        <v/>
      </c>
      <c r="G44" s="22">
        <f>(G26+$B$42^2/(2*G$17))/(1+($B$42^2/G$17))</f>
        <v/>
      </c>
      <c r="H44" s="22">
        <f>(H26+$B$42^2/(2*H$17))/(1+($B$42^2/H$17))</f>
        <v/>
      </c>
      <c r="I44" s="22">
        <f>(I26+$B$42^2/(2*I$17))/(1+($B$42^2/I$17))</f>
        <v/>
      </c>
      <c r="J44" s="22">
        <f>(J26+$B$42^2/(2*J$17))/(1+($B$42^2/J$17))</f>
        <v/>
      </c>
      <c r="K44" s="22">
        <f>(K26+$B$42^2/(2*K$17))/(1+($B$42^2/K$17))</f>
        <v/>
      </c>
      <c r="L44" s="22">
        <f>(L26+$B$42^2/(2*L$17))/(1+($B$42^2/L$17))</f>
        <v/>
      </c>
      <c r="M44" s="22">
        <f>(M26+$B$42^2/(2*M$17))/(1+($B$42^2/M$17))</f>
        <v/>
      </c>
      <c r="N44" s="22">
        <f>(N26+$B$42^2/(2*N$17))/(1+($B$42^2/N$17))</f>
        <v/>
      </c>
      <c r="O44" s="22">
        <f>(O26+$B$42^2/(2*O$17))/(1+($B$42^2/O$17))</f>
        <v/>
      </c>
      <c r="P44" s="22">
        <f>(P26+$B$42^2/(2*P$17))/(1+($B$42^2/P$17))</f>
        <v/>
      </c>
      <c r="Q44" s="22">
        <f>(Q26+$B$42^2/(2*Q$17))/(1+($B$42^2/Q$17))</f>
        <v/>
      </c>
    </row>
    <row r="45">
      <c r="A45" s="16" t="inlineStr">
        <is>
          <t>± Margin of error</t>
        </is>
      </c>
      <c r="B45" s="23" t="inlineStr">
        <is>
          <t>±</t>
        </is>
      </c>
      <c r="C45" s="22">
        <f>1/(1+$B$42^2/C$17)*$B$42*SQRT((C26*(1-C26)/C$17)+$B$42^2/(4*C$17^2))</f>
        <v/>
      </c>
      <c r="D45" s="22">
        <f>1/(1+$B$42^2/D$17)*$B$42*SQRT((D26*(1-D26)/D$17)+$B$42^2/(4*D$17^2))</f>
        <v/>
      </c>
      <c r="E45" s="22">
        <f>1/(1+$B$42^2/E$17)*$B$42*SQRT((E26*(1-E26)/E$17)+$B$42^2/(4*E$17^2))</f>
        <v/>
      </c>
      <c r="F45" s="22">
        <f>1/(1+$B$42^2/F$17)*$B$42*SQRT((F26*(1-F26)/F$17)+$B$42^2/(4*F$17^2))</f>
        <v/>
      </c>
      <c r="G45" s="22">
        <f>1/(1+$B$42^2/G$17)*$B$42*SQRT((G26*(1-G26)/G$17)+$B$42^2/(4*G$17^2))</f>
        <v/>
      </c>
      <c r="H45" s="22">
        <f>1/(1+$B$42^2/H$17)*$B$42*SQRT((H26*(1-H26)/H$17)+$B$42^2/(4*H$17^2))</f>
        <v/>
      </c>
      <c r="I45" s="22">
        <f>1/(1+$B$42^2/I$17)*$B$42*SQRT((I26*(1-I26)/I$17)+$B$42^2/(4*I$17^2))</f>
        <v/>
      </c>
      <c r="J45" s="22">
        <f>1/(1+$B$42^2/J$17)*$B$42*SQRT((J26*(1-J26)/J$17)+$B$42^2/(4*J$17^2))</f>
        <v/>
      </c>
      <c r="K45" s="22">
        <f>1/(1+$B$42^2/K$17)*$B$42*SQRT((K26*(1-K26)/K$17)+$B$42^2/(4*K$17^2))</f>
        <v/>
      </c>
      <c r="L45" s="22">
        <f>1/(1+$B$42^2/L$17)*$B$42*SQRT((L26*(1-L26)/L$17)+$B$42^2/(4*L$17^2))</f>
        <v/>
      </c>
      <c r="M45" s="22">
        <f>1/(1+$B$42^2/M$17)*$B$42*SQRT((M26*(1-M26)/M$17)+$B$42^2/(4*M$17^2))</f>
        <v/>
      </c>
      <c r="N45" s="22">
        <f>1/(1+$B$42^2/N$17)*$B$42*SQRT((N26*(1-N26)/N$17)+$B$42^2/(4*N$17^2))</f>
        <v/>
      </c>
      <c r="O45" s="22">
        <f>1/(1+$B$42^2/O$17)*$B$42*SQRT((O26*(1-O26)/O$17)+$B$42^2/(4*O$17^2))</f>
        <v/>
      </c>
      <c r="P45" s="22">
        <f>1/(1+$B$42^2/P$17)*$B$42*SQRT((P26*(1-P26)/P$17)+$B$42^2/(4*P$17^2))</f>
        <v/>
      </c>
      <c r="Q45" s="22">
        <f>1/(1+$B$42^2/Q$17)*$B$42*SQRT((Q26*(1-Q26)/Q$17)+$B$42^2/(4*Q$17^2))</f>
        <v/>
      </c>
    </row>
    <row r="46">
      <c r="A46" s="16" t="inlineStr">
        <is>
          <t>CI lower bound</t>
        </is>
      </c>
      <c r="B46" s="22" t="n"/>
      <c r="C46" s="22">
        <f>C44-C45</f>
        <v/>
      </c>
      <c r="D46" s="22">
        <f>D44-D45</f>
        <v/>
      </c>
      <c r="E46" s="22">
        <f>E44-E45</f>
        <v/>
      </c>
      <c r="F46" s="22">
        <f>F44-F45</f>
        <v/>
      </c>
      <c r="G46" s="22">
        <f>G44-G45</f>
        <v/>
      </c>
      <c r="H46" s="22">
        <f>H44-H45</f>
        <v/>
      </c>
      <c r="I46" s="22">
        <f>I44-I45</f>
        <v/>
      </c>
      <c r="J46" s="22">
        <f>J44-J45</f>
        <v/>
      </c>
      <c r="K46" s="22">
        <f>K44-K45</f>
        <v/>
      </c>
      <c r="L46" s="22">
        <f>L44-L45</f>
        <v/>
      </c>
      <c r="M46" s="22">
        <f>M44-M45</f>
        <v/>
      </c>
      <c r="N46" s="22">
        <f>N44-N45</f>
        <v/>
      </c>
      <c r="O46" s="22">
        <f>O44-O45</f>
        <v/>
      </c>
      <c r="P46" s="22">
        <f>P44-P45</f>
        <v/>
      </c>
      <c r="Q46" s="22">
        <f>Q44-Q45</f>
        <v/>
      </c>
    </row>
    <row r="47">
      <c r="A47" s="16" t="inlineStr">
        <is>
          <t>CI upper bound</t>
        </is>
      </c>
      <c r="B47" s="22" t="n"/>
      <c r="C47" s="22">
        <f>C44+C45</f>
        <v/>
      </c>
      <c r="D47" s="22">
        <f>D44+D45</f>
        <v/>
      </c>
      <c r="E47" s="22">
        <f>E44+E45</f>
        <v/>
      </c>
      <c r="F47" s="22">
        <f>F44+F45</f>
        <v/>
      </c>
      <c r="G47" s="22">
        <f>G44+G45</f>
        <v/>
      </c>
      <c r="H47" s="22">
        <f>H44+H45</f>
        <v/>
      </c>
      <c r="I47" s="22">
        <f>I44+I45</f>
        <v/>
      </c>
      <c r="J47" s="22">
        <f>J44+J45</f>
        <v/>
      </c>
      <c r="K47" s="22">
        <f>K44+K45</f>
        <v/>
      </c>
      <c r="L47" s="22">
        <f>L44+L45</f>
        <v/>
      </c>
      <c r="M47" s="22">
        <f>M44+M45</f>
        <v/>
      </c>
      <c r="N47" s="22">
        <f>N44+N45</f>
        <v/>
      </c>
      <c r="O47" s="22">
        <f>O44+O45</f>
        <v/>
      </c>
      <c r="P47" s="22">
        <f>P44+P45</f>
        <v/>
      </c>
      <c r="Q47" s="22">
        <f>Q44+Q45</f>
        <v/>
      </c>
    </row>
    <row r="49">
      <c r="A49" s="53" t="inlineStr">
        <is>
          <t>Recall best [CI center]</t>
        </is>
      </c>
      <c r="C49" s="22">
        <f>(C27+$B$42^2/(2*C$17))/(1+($B$42^2/C$17))</f>
        <v/>
      </c>
      <c r="D49" s="22">
        <f>(D27+$B$42^2/(2*D$17))/(1+($B$42^2/D$17))</f>
        <v/>
      </c>
      <c r="E49" s="22">
        <f>(E27+$B$42^2/(2*E$17))/(1+($B$42^2/E$17))</f>
        <v/>
      </c>
      <c r="F49" s="22">
        <f>(F27+$B$42^2/(2*F$17))/(1+($B$42^2/F$17))</f>
        <v/>
      </c>
      <c r="G49" s="22">
        <f>(G27+$B$42^2/(2*G$17))/(1+($B$42^2/G$17))</f>
        <v/>
      </c>
      <c r="H49" s="22">
        <f>(H27+$B$42^2/(2*H$17))/(1+($B$42^2/H$17))</f>
        <v/>
      </c>
      <c r="I49" s="22">
        <f>(I27+$B$42^2/(2*I$17))/(1+($B$42^2/I$17))</f>
        <v/>
      </c>
      <c r="J49" s="22">
        <f>(J27+$B$42^2/(2*J$17))/(1+($B$42^2/J$17))</f>
        <v/>
      </c>
      <c r="K49" s="22">
        <f>(K27+$B$42^2/(2*K$17))/(1+($B$42^2/K$17))</f>
        <v/>
      </c>
      <c r="L49" s="22">
        <f>(L27+$B$42^2/(2*L$17))/(1+($B$42^2/L$17))</f>
        <v/>
      </c>
      <c r="M49" s="22">
        <f>(M27+$B$42^2/(2*M$17))/(1+($B$42^2/M$17))</f>
        <v/>
      </c>
      <c r="N49" s="22">
        <f>(N27+$B$42^2/(2*N$17))/(1+($B$42^2/N$17))</f>
        <v/>
      </c>
      <c r="O49" s="22">
        <f>(O27+$B$42^2/(2*O$17))/(1+($B$42^2/O$17))</f>
        <v/>
      </c>
      <c r="P49" s="22">
        <f>(P27+$B$42^2/(2*P$17))/(1+($B$42^2/P$17))</f>
        <v/>
      </c>
      <c r="Q49" s="22">
        <f>(Q27+$B$42^2/(2*Q$17))/(1+($B$42^2/Q$17))</f>
        <v/>
      </c>
    </row>
    <row r="50">
      <c r="A50" s="16" t="inlineStr">
        <is>
          <t>± Margin of error</t>
        </is>
      </c>
      <c r="B50" s="23" t="inlineStr">
        <is>
          <t>±</t>
        </is>
      </c>
      <c r="C50" s="22">
        <f>1/(1+$B$42^2/C$17)*$B$42*SQRT((C27*(1-C27)/C$17)+$B$42^2/(4*C$17^2))</f>
        <v/>
      </c>
      <c r="D50" s="22">
        <f>1/(1+$B$42^2/D$17)*$B$42*SQRT((D27*(1-D27)/D$17)+$B$42^2/(4*D$17^2))</f>
        <v/>
      </c>
      <c r="E50" s="22">
        <f>1/(1+$B$42^2/E$17)*$B$42*SQRT((E27*(1-E27)/E$17)+$B$42^2/(4*E$17^2))</f>
        <v/>
      </c>
      <c r="F50" s="22">
        <f>1/(1+$B$42^2/F$17)*$B$42*SQRT((F27*(1-F27)/F$17)+$B$42^2/(4*F$17^2))</f>
        <v/>
      </c>
      <c r="G50" s="22">
        <f>1/(1+$B$42^2/G$17)*$B$42*SQRT((G27*(1-G27)/G$17)+$B$42^2/(4*G$17^2))</f>
        <v/>
      </c>
      <c r="H50" s="22">
        <f>1/(1+$B$42^2/H$17)*$B$42*SQRT((H27*(1-H27)/H$17)+$B$42^2/(4*H$17^2))</f>
        <v/>
      </c>
      <c r="I50" s="22">
        <f>1/(1+$B$42^2/I$17)*$B$42*SQRT((I27*(1-I27)/I$17)+$B$42^2/(4*I$17^2))</f>
        <v/>
      </c>
      <c r="J50" s="22">
        <f>1/(1+$B$42^2/J$17)*$B$42*SQRT((J27*(1-J27)/J$17)+$B$42^2/(4*J$17^2))</f>
        <v/>
      </c>
      <c r="K50" s="22">
        <f>1/(1+$B$42^2/K$17)*$B$42*SQRT((K27*(1-K27)/K$17)+$B$42^2/(4*K$17^2))</f>
        <v/>
      </c>
      <c r="L50" s="22">
        <f>1/(1+$B$42^2/L$17)*$B$42*SQRT((L27*(1-L27)/L$17)+$B$42^2/(4*L$17^2))</f>
        <v/>
      </c>
      <c r="M50" s="22">
        <f>1/(1+$B$42^2/M$17)*$B$42*SQRT((M27*(1-M27)/M$17)+$B$42^2/(4*M$17^2))</f>
        <v/>
      </c>
      <c r="N50" s="22">
        <f>1/(1+$B$42^2/N$17)*$B$42*SQRT((N27*(1-N27)/N$17)+$B$42^2/(4*N$17^2))</f>
        <v/>
      </c>
      <c r="O50" s="22">
        <f>1/(1+$B$42^2/O$17)*$B$42*SQRT((O27*(1-O27)/O$17)+$B$42^2/(4*O$17^2))</f>
        <v/>
      </c>
      <c r="P50" s="22">
        <f>1/(1+$B$42^2/P$17)*$B$42*SQRT((P27*(1-P27)/P$17)+$B$42^2/(4*P$17^2))</f>
        <v/>
      </c>
      <c r="Q50" s="22">
        <f>1/(1+$B$42^2/Q$17)*$B$42*SQRT((Q27*(1-Q27)/Q$17)+$B$42^2/(4*Q$17^2))</f>
        <v/>
      </c>
    </row>
    <row r="51">
      <c r="A51" s="16" t="inlineStr">
        <is>
          <t>CI lower bound</t>
        </is>
      </c>
      <c r="C51" s="22">
        <f>C49-C50</f>
        <v/>
      </c>
      <c r="D51" s="22">
        <f>D49-D50</f>
        <v/>
      </c>
      <c r="E51" s="22">
        <f>E49-E50</f>
        <v/>
      </c>
      <c r="F51" s="22">
        <f>F49-F50</f>
        <v/>
      </c>
      <c r="G51" s="22">
        <f>G49-G50</f>
        <v/>
      </c>
      <c r="H51" s="22">
        <f>H49-H50</f>
        <v/>
      </c>
      <c r="I51" s="22">
        <f>I49-I50</f>
        <v/>
      </c>
      <c r="J51" s="22">
        <f>J49-J50</f>
        <v/>
      </c>
      <c r="K51" s="22">
        <f>K49-K50</f>
        <v/>
      </c>
      <c r="L51" s="22">
        <f>L49-L50</f>
        <v/>
      </c>
      <c r="M51" s="22">
        <f>M49-M50</f>
        <v/>
      </c>
      <c r="N51" s="22">
        <f>N49-N50</f>
        <v/>
      </c>
      <c r="O51" s="22">
        <f>O49-O50</f>
        <v/>
      </c>
      <c r="P51" s="22">
        <f>P49-P50</f>
        <v/>
      </c>
      <c r="Q51" s="22">
        <f>Q49-Q50</f>
        <v/>
      </c>
    </row>
    <row r="52">
      <c r="A52" s="16" t="inlineStr">
        <is>
          <t>CI upper bound</t>
        </is>
      </c>
      <c r="C52" s="22">
        <f>C49+C50</f>
        <v/>
      </c>
      <c r="D52" s="22">
        <f>D49+D50</f>
        <v/>
      </c>
      <c r="E52" s="22">
        <f>E49+E50</f>
        <v/>
      </c>
      <c r="F52" s="22">
        <f>F49+F50</f>
        <v/>
      </c>
      <c r="G52" s="22">
        <f>G49+G50</f>
        <v/>
      </c>
      <c r="H52" s="22">
        <f>H49+H50</f>
        <v/>
      </c>
      <c r="I52" s="22">
        <f>I49+I50</f>
        <v/>
      </c>
      <c r="J52" s="22">
        <f>J49+J50</f>
        <v/>
      </c>
      <c r="K52" s="22">
        <f>K49+K50</f>
        <v/>
      </c>
      <c r="L52" s="22">
        <f>L49+L50</f>
        <v/>
      </c>
      <c r="M52" s="22">
        <f>M49+M50</f>
        <v/>
      </c>
      <c r="N52" s="22">
        <f>N49+N50</f>
        <v/>
      </c>
      <c r="O52" s="22">
        <f>O49+O50</f>
        <v/>
      </c>
      <c r="P52" s="22">
        <f>P49+P50</f>
        <v/>
      </c>
      <c r="Q52" s="22">
        <f>Q49+Q50</f>
        <v/>
      </c>
    </row>
    <row r="54">
      <c r="A54" s="53" t="inlineStr">
        <is>
          <t>Precision [CI center]</t>
        </is>
      </c>
      <c r="B54" s="22" t="n"/>
      <c r="C54" s="22">
        <f>(C28+$B$42^2/(2*C$17))/(1+($B$42^2/C$17))</f>
        <v/>
      </c>
      <c r="D54" s="22">
        <f>(D28+$B$42^2/(2*D$17))/(1+($B$42^2/D$17))</f>
        <v/>
      </c>
      <c r="E54" s="22">
        <f>(E28+$B$42^2/(2*E$17))/(1+($B$42^2/E$17))</f>
        <v/>
      </c>
      <c r="F54" s="22">
        <f>(F28+$B$42^2/(2*F$17))/(1+($B$42^2/F$17))</f>
        <v/>
      </c>
      <c r="G54" s="22">
        <f>(G28+$B$42^2/(2*G$17))/(1+($B$42^2/G$17))</f>
        <v/>
      </c>
      <c r="H54" s="22">
        <f>(H28+$B$42^2/(2*H$17))/(1+($B$42^2/H$17))</f>
        <v/>
      </c>
      <c r="I54" s="22">
        <f>(I28+$B$42^2/(2*I$17))/(1+($B$42^2/I$17))</f>
        <v/>
      </c>
      <c r="J54" s="22">
        <f>(J28+$B$42^2/(2*J$17))/(1+($B$42^2/J$17))</f>
        <v/>
      </c>
      <c r="K54" s="22">
        <f>(K28+$B$42^2/(2*K$17))/(1+($B$42^2/K$17))</f>
        <v/>
      </c>
      <c r="L54" s="22">
        <f>(L28+$B$42^2/(2*L$17))/(1+($B$42^2/L$17))</f>
        <v/>
      </c>
      <c r="M54" s="22">
        <f>(M28+$B$42^2/(2*M$17))/(1+($B$42^2/M$17))</f>
        <v/>
      </c>
      <c r="N54" s="22">
        <f>(N28+$B$42^2/(2*N$17))/(1+($B$42^2/N$17))</f>
        <v/>
      </c>
      <c r="O54" s="22">
        <f>(O28+$B$42^2/(2*O$17))/(1+($B$42^2/O$17))</f>
        <v/>
      </c>
      <c r="P54" s="22">
        <f>(P28+$B$42^2/(2*P$17))/(1+($B$42^2/P$17))</f>
        <v/>
      </c>
      <c r="Q54" s="22">
        <f>(Q28+$B$42^2/(2*Q$17))/(1+($B$42^2/Q$17))</f>
        <v/>
      </c>
    </row>
    <row r="55">
      <c r="A55" s="16" t="inlineStr">
        <is>
          <t>± Margin of error</t>
        </is>
      </c>
      <c r="B55" s="23" t="inlineStr">
        <is>
          <t>±</t>
        </is>
      </c>
      <c r="C55" s="22">
        <f>1/(1+$B$42^2/C$17)*$B$42*SQRT((C28*(1-C28)/C$17)+$B$42^2/(4*C$17^2))</f>
        <v/>
      </c>
      <c r="D55" s="22">
        <f>1/(1+$B$42^2/D$17)*$B$42*SQRT((D28*(1-D28)/D$17)+$B$42^2/(4*D$17^2))</f>
        <v/>
      </c>
      <c r="E55" s="22">
        <f>1/(1+$B$42^2/E$17)*$B$42*SQRT((E28*(1-E28)/E$17)+$B$42^2/(4*E$17^2))</f>
        <v/>
      </c>
      <c r="F55" s="22">
        <f>1/(1+$B$42^2/F$17)*$B$42*SQRT((F28*(1-F28)/F$17)+$B$42^2/(4*F$17^2))</f>
        <v/>
      </c>
      <c r="G55" s="22">
        <f>1/(1+$B$42^2/G$17)*$B$42*SQRT((G28*(1-G28)/G$17)+$B$42^2/(4*G$17^2))</f>
        <v/>
      </c>
      <c r="H55" s="22">
        <f>1/(1+$B$42^2/H$17)*$B$42*SQRT((H28*(1-H28)/H$17)+$B$42^2/(4*H$17^2))</f>
        <v/>
      </c>
      <c r="I55" s="22">
        <f>1/(1+$B$42^2/I$17)*$B$42*SQRT((I28*(1-I28)/I$17)+$B$42^2/(4*I$17^2))</f>
        <v/>
      </c>
      <c r="J55" s="22">
        <f>1/(1+$B$42^2/J$17)*$B$42*SQRT((J28*(1-J28)/J$17)+$B$42^2/(4*J$17^2))</f>
        <v/>
      </c>
      <c r="K55" s="22">
        <f>1/(1+$B$42^2/K$17)*$B$42*SQRT((K28*(1-K28)/K$17)+$B$42^2/(4*K$17^2))</f>
        <v/>
      </c>
      <c r="L55" s="22">
        <f>1/(1+$B$42^2/L$17)*$B$42*SQRT((L28*(1-L28)/L$17)+$B$42^2/(4*L$17^2))</f>
        <v/>
      </c>
      <c r="M55" s="22">
        <f>1/(1+$B$42^2/M$17)*$B$42*SQRT((M28*(1-M28)/M$17)+$B$42^2/(4*M$17^2))</f>
        <v/>
      </c>
      <c r="N55" s="22">
        <f>1/(1+$B$42^2/N$17)*$B$42*SQRT((N28*(1-N28)/N$17)+$B$42^2/(4*N$17^2))</f>
        <v/>
      </c>
      <c r="O55" s="22">
        <f>1/(1+$B$42^2/O$17)*$B$42*SQRT((O28*(1-O28)/O$17)+$B$42^2/(4*O$17^2))</f>
        <v/>
      </c>
      <c r="P55" s="22">
        <f>1/(1+$B$42^2/P$17)*$B$42*SQRT((P28*(1-P28)/P$17)+$B$42^2/(4*P$17^2))</f>
        <v/>
      </c>
      <c r="Q55" s="22">
        <f>1/(1+$B$42^2/Q$17)*$B$42*SQRT((Q28*(1-Q28)/Q$17)+$B$42^2/(4*Q$17^2))</f>
        <v/>
      </c>
    </row>
    <row r="56">
      <c r="A56" s="16" t="inlineStr">
        <is>
          <t>CI lower bound</t>
        </is>
      </c>
      <c r="B56" s="22" t="n"/>
      <c r="C56" s="22">
        <f>C54-C55</f>
        <v/>
      </c>
      <c r="D56" s="22">
        <f>D54-D55</f>
        <v/>
      </c>
      <c r="E56" s="22">
        <f>E54-E55</f>
        <v/>
      </c>
      <c r="F56" s="22">
        <f>F54-F55</f>
        <v/>
      </c>
      <c r="G56" s="22">
        <f>G54-G55</f>
        <v/>
      </c>
      <c r="H56" s="22">
        <f>H54-H55</f>
        <v/>
      </c>
      <c r="I56" s="22">
        <f>I54-I55</f>
        <v/>
      </c>
      <c r="J56" s="22">
        <f>J54-J55</f>
        <v/>
      </c>
      <c r="K56" s="22">
        <f>K54-K55</f>
        <v/>
      </c>
      <c r="L56" s="22">
        <f>L54-L55</f>
        <v/>
      </c>
      <c r="M56" s="22">
        <f>M54-M55</f>
        <v/>
      </c>
      <c r="N56" s="22">
        <f>N54-N55</f>
        <v/>
      </c>
      <c r="O56" s="22">
        <f>O54-O55</f>
        <v/>
      </c>
      <c r="P56" s="22">
        <f>P54-P55</f>
        <v/>
      </c>
      <c r="Q56" s="22">
        <f>Q54-Q55</f>
        <v/>
      </c>
    </row>
    <row r="57">
      <c r="A57" s="16" t="inlineStr">
        <is>
          <t>CI upper bound</t>
        </is>
      </c>
      <c r="B57" s="22" t="n"/>
      <c r="C57" s="22">
        <f>C54+C55</f>
        <v/>
      </c>
      <c r="D57" s="22">
        <f>D54+D55</f>
        <v/>
      </c>
      <c r="E57" s="22">
        <f>E54+E55</f>
        <v/>
      </c>
      <c r="F57" s="22">
        <f>F54+F55</f>
        <v/>
      </c>
      <c r="G57" s="22">
        <f>G54+G55</f>
        <v/>
      </c>
      <c r="H57" s="22">
        <f>H54+H55</f>
        <v/>
      </c>
      <c r="I57" s="22">
        <f>I54+I55</f>
        <v/>
      </c>
      <c r="J57" s="22">
        <f>J54+J55</f>
        <v/>
      </c>
      <c r="K57" s="22">
        <f>K54+K55</f>
        <v/>
      </c>
      <c r="L57" s="22">
        <f>L54+L55</f>
        <v/>
      </c>
      <c r="M57" s="22">
        <f>M54+M55</f>
        <v/>
      </c>
      <c r="N57" s="22">
        <f>N54+N55</f>
        <v/>
      </c>
      <c r="O57" s="22">
        <f>O54+O55</f>
        <v/>
      </c>
      <c r="P57" s="22">
        <f>P54+P55</f>
        <v/>
      </c>
      <c r="Q57" s="22">
        <f>Q54+Q55</f>
        <v/>
      </c>
    </row>
    <row r="59">
      <c r="A59" s="12" t="inlineStr">
        <is>
          <t>Other counts</t>
        </is>
      </c>
    </row>
    <row r="60">
      <c r="T60" s="20" t="inlineStr">
        <is>
          <t>TOTAL (exc. L0a, L0b)</t>
        </is>
      </c>
    </row>
    <row r="61">
      <c r="A61" s="16" t="inlineStr">
        <is>
          <t>Covered (*)</t>
        </is>
      </c>
      <c r="B61" t="n">
        <v>30</v>
      </c>
      <c r="C61">
        <f>'{C} L0'!D35</f>
        <v/>
      </c>
      <c r="D61">
        <f>'{C} L1'!D40</f>
        <v/>
      </c>
      <c r="E61">
        <f>'{C} L2'!D35</f>
        <v/>
      </c>
      <c r="F61">
        <f>'{C} L3'!D127</f>
        <v/>
      </c>
      <c r="G61">
        <f>'{C} L4'!D37</f>
        <v/>
      </c>
      <c r="H61">
        <f>'{C} L5'!D42</f>
        <v/>
      </c>
      <c r="I61">
        <f>'{C} Q0'!D41</f>
        <v/>
      </c>
      <c r="J61">
        <f>'{C} Q1'!D23</f>
        <v/>
      </c>
      <c r="K61">
        <f>'{C} Q2'!D30</f>
        <v/>
      </c>
      <c r="L61">
        <f>'{C} M0'!D45</f>
        <v/>
      </c>
      <c r="M61">
        <f>'{C} M1'!D35</f>
        <v/>
      </c>
      <c r="N61">
        <f>'{C} M2'!D40</f>
        <v/>
      </c>
      <c r="O61">
        <f>'{C} G0'!D25</f>
        <v/>
      </c>
      <c r="P61">
        <f>'{C} G1'!D31</f>
        <v/>
      </c>
      <c r="Q61">
        <f>'{C} G2'!D29</f>
        <v/>
      </c>
      <c r="R61">
        <f>'{C} L0a'!D45</f>
        <v/>
      </c>
      <c r="S61">
        <f>'{C} L0b'!D46</f>
        <v/>
      </c>
      <c r="T61" s="40">
        <f>SUM(B61:Q61)</f>
        <v/>
      </c>
    </row>
    <row r="62">
      <c r="A62" s="16" t="inlineStr">
        <is>
          <t>Uncovered (*)</t>
        </is>
      </c>
      <c r="B62" t="n">
        <v>0</v>
      </c>
      <c r="C62">
        <f>'{C} L0'!D36</f>
        <v/>
      </c>
      <c r="D62">
        <f>'{C} L1'!D41</f>
        <v/>
      </c>
      <c r="E62">
        <f>'{C} L2'!D36</f>
        <v/>
      </c>
      <c r="F62">
        <f>'{C} L3'!D128</f>
        <v/>
      </c>
      <c r="G62">
        <f>'{C} L4'!D38</f>
        <v/>
      </c>
      <c r="H62">
        <f>'{C} L5'!D43</f>
        <v/>
      </c>
      <c r="I62">
        <f>'{C} Q0'!D42</f>
        <v/>
      </c>
      <c r="J62">
        <f>'{C} Q1'!D24</f>
        <v/>
      </c>
      <c r="K62">
        <f>'{C} Q2'!D31</f>
        <v/>
      </c>
      <c r="L62">
        <f>'{C} M0'!D46</f>
        <v/>
      </c>
      <c r="M62">
        <f>'{C} M1'!D36</f>
        <v/>
      </c>
      <c r="N62">
        <f>'{C} M2'!D41</f>
        <v/>
      </c>
      <c r="O62">
        <f>'{C} G0'!D26</f>
        <v/>
      </c>
      <c r="P62">
        <f>'{C} G1'!D32</f>
        <v/>
      </c>
      <c r="Q62">
        <f>'{C} G2'!D30</f>
        <v/>
      </c>
      <c r="R62">
        <f>'{C} L0a'!D46</f>
        <v/>
      </c>
      <c r="S62">
        <f>'{C} L0b'!D47</f>
        <v/>
      </c>
      <c r="T62" s="40">
        <f>SUM(B62:Q62)</f>
        <v/>
      </c>
    </row>
    <row r="63">
      <c r="A63" s="16" t="inlineStr">
        <is>
          <t>Partial (*)</t>
        </is>
      </c>
      <c r="B63" t="n">
        <v>0</v>
      </c>
      <c r="C63">
        <f>'{C} L0'!D37</f>
        <v/>
      </c>
      <c r="D63">
        <f>'{C} L1'!D42</f>
        <v/>
      </c>
      <c r="E63">
        <f>'{C} L2'!D37</f>
        <v/>
      </c>
      <c r="F63">
        <f>'{C} L3'!D129</f>
        <v/>
      </c>
      <c r="G63">
        <f>'{C} L4'!D39</f>
        <v/>
      </c>
      <c r="H63">
        <f>'{C} L5'!D44</f>
        <v/>
      </c>
      <c r="I63">
        <f>'{C} Q0'!D43</f>
        <v/>
      </c>
      <c r="J63">
        <f>'{C} Q1'!D25</f>
        <v/>
      </c>
      <c r="K63">
        <f>'{C} Q2'!D32</f>
        <v/>
      </c>
      <c r="L63">
        <f>'{C} M0'!D47</f>
        <v/>
      </c>
      <c r="M63">
        <f>'{C} M1'!D37</f>
        <v/>
      </c>
      <c r="N63">
        <f>'{C} M2'!D42</f>
        <v/>
      </c>
      <c r="O63">
        <f>'{C} G0'!D27</f>
        <v/>
      </c>
      <c r="P63">
        <f>'{C} G1'!D33</f>
        <v/>
      </c>
      <c r="Q63">
        <f>'{C} G2'!D31</f>
        <v/>
      </c>
      <c r="R63">
        <f>'{C} L0a'!D47</f>
        <v/>
      </c>
      <c r="S63">
        <f>'{C} L0b'!D48</f>
        <v/>
      </c>
      <c r="T63" s="40">
        <f>SUM(B63:Q63)</f>
        <v/>
      </c>
    </row>
    <row r="64">
      <c r="A64" s="16" t="inlineStr">
        <is>
          <t>Hallucinations (*)</t>
        </is>
      </c>
      <c r="B64" t="n">
        <v>0</v>
      </c>
      <c r="C64">
        <f>'{C} L0'!F35</f>
        <v/>
      </c>
      <c r="D64">
        <f>'{C} L1'!F40</f>
        <v/>
      </c>
      <c r="E64">
        <f>'{C} L2'!F35</f>
        <v/>
      </c>
      <c r="F64">
        <f>'{C} L3'!F127</f>
        <v/>
      </c>
      <c r="G64">
        <f>'{C} L4'!F37</f>
        <v/>
      </c>
      <c r="H64">
        <f>'{C} L5'!F42</f>
        <v/>
      </c>
      <c r="I64">
        <f>'{C} Q0'!F41</f>
        <v/>
      </c>
      <c r="J64">
        <f>'{C} Q1'!F23</f>
        <v/>
      </c>
      <c r="K64">
        <f>'{C} Q2'!F30</f>
        <v/>
      </c>
      <c r="L64">
        <f>'{C} M0'!F45</f>
        <v/>
      </c>
      <c r="M64">
        <f>'{C} M1'!F35</f>
        <v/>
      </c>
      <c r="N64">
        <f>'{C} M2'!F40</f>
        <v/>
      </c>
      <c r="O64">
        <f>'{C} G0'!F25</f>
        <v/>
      </c>
      <c r="P64">
        <f>'{C} G1'!F31</f>
        <v/>
      </c>
      <c r="Q64">
        <f>'{C} G2'!F29</f>
        <v/>
      </c>
      <c r="R64">
        <f>'{C} L0a'!F45</f>
        <v/>
      </c>
      <c r="S64">
        <f>'{C} L0b'!F46</f>
        <v/>
      </c>
      <c r="T64" s="40">
        <f>SUM(B64:Q64)</f>
        <v/>
      </c>
    </row>
    <row r="65" ht="15" customHeight="1" s="54">
      <c r="A65" s="10" t="inlineStr">
        <is>
          <t>Template drift</t>
        </is>
      </c>
      <c r="B65" t="n">
        <v>0</v>
      </c>
      <c r="C65">
        <f>'{C} L0'!F37</f>
        <v/>
      </c>
      <c r="D65">
        <f>'{C} L1'!F42</f>
        <v/>
      </c>
      <c r="E65">
        <f>'{C} L2'!F37</f>
        <v/>
      </c>
      <c r="F65">
        <f>'{C} L3'!F129</f>
        <v/>
      </c>
      <c r="G65">
        <f>'{C} L4'!F39</f>
        <v/>
      </c>
      <c r="H65">
        <f>'{C} L5'!F44</f>
        <v/>
      </c>
      <c r="I65">
        <f>'{C} Q0'!F43</f>
        <v/>
      </c>
      <c r="J65">
        <f>'{C} Q1'!F25</f>
        <v/>
      </c>
      <c r="K65">
        <f>'{C} Q2'!F32</f>
        <v/>
      </c>
      <c r="L65">
        <f>'{C} M0'!F47</f>
        <v/>
      </c>
      <c r="M65">
        <f>'{C} M1'!F37</f>
        <v/>
      </c>
      <c r="N65">
        <f>'{C} M2'!F42</f>
        <v/>
      </c>
      <c r="O65">
        <f>'{C} G0'!F27</f>
        <v/>
      </c>
      <c r="P65">
        <f>'{C} G1'!F33</f>
        <v/>
      </c>
      <c r="Q65">
        <f>'{C} G2'!F31</f>
        <v/>
      </c>
      <c r="R65">
        <f>'{C} L0a'!F47</f>
        <v/>
      </c>
      <c r="S65">
        <f>'{C} L0b'!F48</f>
        <v/>
      </c>
      <c r="T65" s="40">
        <f>SUM(B65:Q65)</f>
        <v/>
      </c>
      <c r="U65" s="41">
        <f>T65/$T$64</f>
        <v/>
      </c>
    </row>
    <row r="66" ht="15" customHeight="1" s="54">
      <c r="A66" s="10" t="inlineStr">
        <is>
          <t>Contextual misfit</t>
        </is>
      </c>
      <c r="B66" t="n">
        <v>0</v>
      </c>
      <c r="C66">
        <f>'{C} L0'!F38</f>
        <v/>
      </c>
      <c r="D66">
        <f>'{C} L1'!F43</f>
        <v/>
      </c>
      <c r="E66">
        <f>'{C} L2'!F38</f>
        <v/>
      </c>
      <c r="F66">
        <f>'{C} L3'!F130</f>
        <v/>
      </c>
      <c r="G66">
        <f>'{C} L4'!F40</f>
        <v/>
      </c>
      <c r="H66">
        <f>'{C} L5'!F45</f>
        <v/>
      </c>
      <c r="I66">
        <f>'{C} Q0'!F44</f>
        <v/>
      </c>
      <c r="J66">
        <f>'{C} Q1'!F26</f>
        <v/>
      </c>
      <c r="K66">
        <f>'{C} Q2'!F33</f>
        <v/>
      </c>
      <c r="L66">
        <f>'{C} M0'!F48</f>
        <v/>
      </c>
      <c r="M66">
        <f>'{C} M1'!F38</f>
        <v/>
      </c>
      <c r="N66">
        <f>'{C} M2'!F43</f>
        <v/>
      </c>
      <c r="O66">
        <f>'{C} G0'!F28</f>
        <v/>
      </c>
      <c r="P66">
        <f>'{C} G1'!F34</f>
        <v/>
      </c>
      <c r="Q66">
        <f>'{C} G2'!F32</f>
        <v/>
      </c>
      <c r="R66">
        <f>'{C} L0a'!F48</f>
        <v/>
      </c>
      <c r="S66">
        <f>'{C} L0b'!F49</f>
        <v/>
      </c>
      <c r="T66" s="40">
        <f>SUM(B66:Q66)</f>
        <v/>
      </c>
      <c r="U66" s="41">
        <f>T66/$T$64</f>
        <v/>
      </c>
    </row>
    <row r="67" ht="15" customHeight="1" s="54">
      <c r="A67" s="10" t="inlineStr">
        <is>
          <t>Scope misalignment</t>
        </is>
      </c>
      <c r="B67" t="n">
        <v>0</v>
      </c>
      <c r="C67">
        <f>'{C} L0'!F39</f>
        <v/>
      </c>
      <c r="D67">
        <f>'{C} L1'!F44</f>
        <v/>
      </c>
      <c r="E67">
        <f>'{C} L2'!F39</f>
        <v/>
      </c>
      <c r="F67">
        <f>'{C} L3'!F131</f>
        <v/>
      </c>
      <c r="G67">
        <f>'{C} L4'!F41</f>
        <v/>
      </c>
      <c r="H67">
        <f>'{C} L5'!F46</f>
        <v/>
      </c>
      <c r="I67">
        <f>'{C} Q0'!F45</f>
        <v/>
      </c>
      <c r="J67">
        <f>'{C} Q1'!F27</f>
        <v/>
      </c>
      <c r="K67">
        <f>'{C} Q2'!F34</f>
        <v/>
      </c>
      <c r="L67">
        <f>'{C} M0'!F49</f>
        <v/>
      </c>
      <c r="M67">
        <f>'{C} M1'!F39</f>
        <v/>
      </c>
      <c r="N67">
        <f>'{C} M2'!F44</f>
        <v/>
      </c>
      <c r="O67">
        <f>'{C} G0'!F29</f>
        <v/>
      </c>
      <c r="P67">
        <f>'{C} G1'!F35</f>
        <v/>
      </c>
      <c r="Q67">
        <f>'{C} G2'!F33</f>
        <v/>
      </c>
      <c r="R67">
        <f>'{C} L0a'!F49</f>
        <v/>
      </c>
      <c r="S67">
        <f>'{C} L0b'!F50</f>
        <v/>
      </c>
      <c r="T67" s="40">
        <f>SUM(B67:Q67)</f>
        <v/>
      </c>
      <c r="U67" s="41">
        <f>T67/$T$64</f>
        <v/>
      </c>
    </row>
    <row r="68" ht="15" customHeight="1" s="54">
      <c r="A68" s="10" t="inlineStr">
        <is>
          <t>Responsiibility leakage</t>
        </is>
      </c>
      <c r="B68" t="n">
        <v>0</v>
      </c>
      <c r="C68">
        <f>'{C} L0'!F40</f>
        <v/>
      </c>
      <c r="D68">
        <f>'{C} L1'!F45</f>
        <v/>
      </c>
      <c r="E68">
        <f>'{C} L2'!F40</f>
        <v/>
      </c>
      <c r="F68">
        <f>'{C} L3'!F132</f>
        <v/>
      </c>
      <c r="G68">
        <f>'{C} L4'!F42</f>
        <v/>
      </c>
      <c r="H68">
        <f>'{C} L5'!F47</f>
        <v/>
      </c>
      <c r="I68">
        <f>'{C} Q0'!F46</f>
        <v/>
      </c>
      <c r="J68">
        <f>'{C} Q1'!F28</f>
        <v/>
      </c>
      <c r="K68">
        <f>'{C} Q2'!F35</f>
        <v/>
      </c>
      <c r="L68">
        <f>'{C} M0'!F50</f>
        <v/>
      </c>
      <c r="M68">
        <f>'{C} M1'!F40</f>
        <v/>
      </c>
      <c r="N68">
        <f>'{C} M2'!F45</f>
        <v/>
      </c>
      <c r="O68">
        <f>'{C} G0'!F30</f>
        <v/>
      </c>
      <c r="P68">
        <f>'{C} G1'!F36</f>
        <v/>
      </c>
      <c r="Q68">
        <f>'{C} G2'!F34</f>
        <v/>
      </c>
      <c r="R68">
        <f>'{C} L0a'!F50</f>
        <v/>
      </c>
      <c r="S68">
        <f>'{C} L0b'!F51</f>
        <v/>
      </c>
      <c r="T68" s="40">
        <f>SUM(B68:Q68)</f>
        <v/>
      </c>
      <c r="U68" s="41">
        <f>T68/$T$64</f>
        <v/>
      </c>
    </row>
    <row r="69" ht="15" customHeight="1" s="54">
      <c r="A69" s="10" t="inlineStr">
        <is>
          <t>Architectural infeasibility</t>
        </is>
      </c>
      <c r="B69" t="n">
        <v>0</v>
      </c>
      <c r="C69">
        <f>'{C} L0'!F41</f>
        <v/>
      </c>
      <c r="D69">
        <f>'{C} L1'!F46</f>
        <v/>
      </c>
      <c r="E69">
        <f>'{C} L2'!F41</f>
        <v/>
      </c>
      <c r="F69">
        <f>'{C} L3'!F133</f>
        <v/>
      </c>
      <c r="G69">
        <f>'{C} L4'!F43</f>
        <v/>
      </c>
      <c r="H69">
        <f>'{C} L5'!F48</f>
        <v/>
      </c>
      <c r="I69">
        <f>'{C} Q0'!F47</f>
        <v/>
      </c>
      <c r="J69">
        <f>'{C} Q1'!F29</f>
        <v/>
      </c>
      <c r="K69">
        <f>'{C} Q2'!F36</f>
        <v/>
      </c>
      <c r="L69">
        <f>'{C} M0'!F51</f>
        <v/>
      </c>
      <c r="M69">
        <f>'{C} M1'!F41</f>
        <v/>
      </c>
      <c r="N69">
        <f>'{C} M2'!F46</f>
        <v/>
      </c>
      <c r="O69">
        <f>'{C} G0'!F31</f>
        <v/>
      </c>
      <c r="P69">
        <f>'{C} G1'!F37</f>
        <v/>
      </c>
      <c r="Q69">
        <f>'{C} G2'!F35</f>
        <v/>
      </c>
      <c r="R69">
        <f>'{C} L0a'!F51</f>
        <v/>
      </c>
      <c r="S69">
        <f>'{C} L0b'!F52</f>
        <v/>
      </c>
      <c r="T69" s="40">
        <f>SUM(B69:Q69)</f>
        <v/>
      </c>
      <c r="U69" s="41">
        <f>T69/$T$64</f>
        <v/>
      </c>
    </row>
    <row r="70">
      <c r="A70" s="16" t="inlineStr">
        <is>
          <t>Discoveries (*)</t>
        </is>
      </c>
      <c r="B70" t="n">
        <v>30</v>
      </c>
      <c r="C70">
        <f>'{C} L0'!F43</f>
        <v/>
      </c>
      <c r="D70">
        <f>'{C} L1'!F48</f>
        <v/>
      </c>
      <c r="E70">
        <f>'{C} L2'!F43</f>
        <v/>
      </c>
      <c r="F70">
        <f>'{C} L3'!F135</f>
        <v/>
      </c>
      <c r="G70">
        <f>'{C} L4'!F45</f>
        <v/>
      </c>
      <c r="H70">
        <f>'{C} L5'!F50</f>
        <v/>
      </c>
      <c r="I70">
        <f>'{C} Q0'!F49</f>
        <v/>
      </c>
      <c r="J70">
        <f>'{C} Q1'!F31</f>
        <v/>
      </c>
      <c r="K70">
        <f>'{C} Q2'!F38</f>
        <v/>
      </c>
      <c r="L70">
        <f>'{C} M0'!F53</f>
        <v/>
      </c>
      <c r="M70">
        <f>'{C} M1'!F43</f>
        <v/>
      </c>
      <c r="N70">
        <f>'{C} M2'!F48</f>
        <v/>
      </c>
      <c r="O70">
        <f>'{C} G0'!F33</f>
        <v/>
      </c>
      <c r="P70">
        <f>'{C} G1'!F39</f>
        <v/>
      </c>
      <c r="Q70">
        <f>'{C} G2'!F37</f>
        <v/>
      </c>
      <c r="R70">
        <f>'{C} L0a'!F53</f>
        <v/>
      </c>
      <c r="S70">
        <f>'{C} L0b'!F54</f>
        <v/>
      </c>
      <c r="T70" s="40">
        <f>SUM(B70:Q70)</f>
        <v/>
      </c>
    </row>
    <row r="71">
      <c r="A71" s="16" t="inlineStr">
        <is>
          <t>Total judgments (forward) (*)</t>
        </is>
      </c>
      <c r="B71">
        <f>B61+B62+B63</f>
        <v/>
      </c>
      <c r="C71">
        <f>C61+C62+C63</f>
        <v/>
      </c>
      <c r="D71">
        <f>D61+D62+D63</f>
        <v/>
      </c>
      <c r="E71">
        <f>E61+E62+E63</f>
        <v/>
      </c>
      <c r="F71">
        <f>F61+F62+F63</f>
        <v/>
      </c>
      <c r="G71">
        <f>G61+G62+G63</f>
        <v/>
      </c>
      <c r="H71">
        <f>H61+H62+H63</f>
        <v/>
      </c>
      <c r="I71">
        <f>I61+I62+I63</f>
        <v/>
      </c>
      <c r="J71">
        <f>J61+J62+J63</f>
        <v/>
      </c>
      <c r="K71">
        <f>K61+K62+K63</f>
        <v/>
      </c>
      <c r="L71">
        <f>L61+L62+L63</f>
        <v/>
      </c>
      <c r="M71">
        <f>M61+M62+M63</f>
        <v/>
      </c>
      <c r="N71">
        <f>N61+N62+N63</f>
        <v/>
      </c>
      <c r="O71">
        <f>O61+O62+O63</f>
        <v/>
      </c>
      <c r="P71">
        <f>P61+P62+P63</f>
        <v/>
      </c>
      <c r="Q71">
        <f>Q61+Q62+Q63</f>
        <v/>
      </c>
      <c r="R71">
        <f>R61+R62+R63</f>
        <v/>
      </c>
      <c r="S71">
        <f>S61+S62+S63</f>
        <v/>
      </c>
      <c r="T71">
        <f>T61+T62+T63</f>
        <v/>
      </c>
    </row>
    <row r="72">
      <c r="A72" s="16" t="inlineStr">
        <is>
          <t>Partial (*)/Covered (*)</t>
        </is>
      </c>
      <c r="B72" s="41">
        <f>B63/B61</f>
        <v/>
      </c>
      <c r="C72" s="41">
        <f>C63/C61</f>
        <v/>
      </c>
      <c r="D72" s="41">
        <f>D63/D61</f>
        <v/>
      </c>
      <c r="E72" s="41">
        <f>E63/E61</f>
        <v/>
      </c>
      <c r="F72" s="41">
        <f>F63/F61</f>
        <v/>
      </c>
      <c r="G72" s="41">
        <f>G63/G61</f>
        <v/>
      </c>
      <c r="H72" s="41">
        <f>H63/H61</f>
        <v/>
      </c>
      <c r="I72" s="41">
        <f>I63/I61</f>
        <v/>
      </c>
      <c r="J72" s="41">
        <f>J63/J61</f>
        <v/>
      </c>
      <c r="K72" s="41">
        <f>K63/K61</f>
        <v/>
      </c>
      <c r="L72" s="41">
        <f>L63/L61</f>
        <v/>
      </c>
      <c r="M72" s="41">
        <f>M63/M61</f>
        <v/>
      </c>
      <c r="N72" s="41">
        <f>N63/N61</f>
        <v/>
      </c>
      <c r="O72" s="41">
        <f>O63/O61</f>
        <v/>
      </c>
      <c r="P72" s="41">
        <f>P63/P61</f>
        <v/>
      </c>
      <c r="Q72" s="41">
        <f>Q63/Q61</f>
        <v/>
      </c>
      <c r="R72" s="41">
        <f>R63/R61</f>
        <v/>
      </c>
      <c r="S72" s="41">
        <f>S63/S61</f>
        <v/>
      </c>
      <c r="T72" s="42">
        <f>T63/T61</f>
        <v/>
      </c>
    </row>
    <row r="73">
      <c r="A73" s="16" t="inlineStr">
        <is>
          <t>Partial(*)/Any(*)</t>
        </is>
      </c>
      <c r="B73" s="41">
        <f>B63/B71</f>
        <v/>
      </c>
      <c r="C73" s="41">
        <f>C63/C71</f>
        <v/>
      </c>
      <c r="D73" s="41">
        <f>D63/D71</f>
        <v/>
      </c>
      <c r="E73" s="41">
        <f>E63/E71</f>
        <v/>
      </c>
      <c r="F73" s="41">
        <f>F63/F71</f>
        <v/>
      </c>
      <c r="G73" s="41">
        <f>G63/G71</f>
        <v/>
      </c>
      <c r="H73" s="41">
        <f>H63/H71</f>
        <v/>
      </c>
      <c r="I73" s="41">
        <f>I63/I71</f>
        <v/>
      </c>
      <c r="J73" s="41">
        <f>J63/J71</f>
        <v/>
      </c>
      <c r="K73" s="41">
        <f>K63/K71</f>
        <v/>
      </c>
      <c r="L73" s="41">
        <f>L63/L71</f>
        <v/>
      </c>
      <c r="M73" s="41">
        <f>M63/M71</f>
        <v/>
      </c>
      <c r="N73" s="41">
        <f>N63/N71</f>
        <v/>
      </c>
      <c r="O73" s="41">
        <f>O63/O71</f>
        <v/>
      </c>
      <c r="P73" s="41">
        <f>P63/P71</f>
        <v/>
      </c>
      <c r="Q73" s="41">
        <f>Q63/Q71</f>
        <v/>
      </c>
      <c r="R73" s="41">
        <f>R63/R71</f>
        <v/>
      </c>
      <c r="S73" s="41">
        <f>S63/S71</f>
        <v/>
      </c>
      <c r="T73" s="41">
        <f>T63/T71</f>
        <v/>
      </c>
    </row>
    <row r="74">
      <c r="A74" s="53" t="n"/>
    </row>
    <row r="75">
      <c r="A75" s="16" t="inlineStr">
        <is>
          <t>Partial (backward)</t>
        </is>
      </c>
      <c r="B75">
        <f>B4</f>
        <v/>
      </c>
      <c r="C75">
        <f>C4</f>
        <v/>
      </c>
      <c r="D75">
        <f>D4</f>
        <v/>
      </c>
      <c r="E75">
        <f>E4</f>
        <v/>
      </c>
      <c r="F75">
        <f>F4</f>
        <v/>
      </c>
      <c r="G75">
        <f>G4</f>
        <v/>
      </c>
      <c r="H75">
        <f>H4</f>
        <v/>
      </c>
      <c r="I75">
        <f>I4</f>
        <v/>
      </c>
      <c r="J75">
        <f>J4</f>
        <v/>
      </c>
      <c r="K75">
        <f>K4</f>
        <v/>
      </c>
      <c r="L75">
        <f>L4</f>
        <v/>
      </c>
      <c r="M75">
        <f>M4</f>
        <v/>
      </c>
      <c r="N75">
        <f>N4</f>
        <v/>
      </c>
      <c r="O75">
        <f>O4</f>
        <v/>
      </c>
      <c r="P75">
        <f>P4</f>
        <v/>
      </c>
      <c r="Q75">
        <f>Q4</f>
        <v/>
      </c>
      <c r="R75">
        <f>R4</f>
        <v/>
      </c>
      <c r="S75">
        <f>S4</f>
        <v/>
      </c>
      <c r="T75" s="40">
        <f>SUM(B75:Q75)</f>
        <v/>
      </c>
    </row>
    <row r="76">
      <c r="A76" s="16" t="inlineStr">
        <is>
          <t>Total judgments (backward)</t>
        </is>
      </c>
      <c r="B76">
        <f>$B$2</f>
        <v/>
      </c>
      <c r="C76">
        <f>$B$2</f>
        <v/>
      </c>
      <c r="D76">
        <f>$B$2</f>
        <v/>
      </c>
      <c r="E76">
        <f>$B$2</f>
        <v/>
      </c>
      <c r="F76">
        <f>$B$2</f>
        <v/>
      </c>
      <c r="G76">
        <f>$B$2</f>
        <v/>
      </c>
      <c r="H76">
        <f>$B$2</f>
        <v/>
      </c>
      <c r="I76">
        <f>$B$2</f>
        <v/>
      </c>
      <c r="J76">
        <f>$B$2</f>
        <v/>
      </c>
      <c r="K76">
        <f>$B$2</f>
        <v/>
      </c>
      <c r="L76">
        <f>$B$2</f>
        <v/>
      </c>
      <c r="M76">
        <f>$B$2</f>
        <v/>
      </c>
      <c r="N76">
        <f>$B$2</f>
        <v/>
      </c>
      <c r="O76">
        <f>$B$2</f>
        <v/>
      </c>
      <c r="P76">
        <f>$B$2</f>
        <v/>
      </c>
      <c r="Q76">
        <f>$B$2</f>
        <v/>
      </c>
      <c r="R76">
        <f>$B$2</f>
        <v/>
      </c>
      <c r="S76">
        <f>$B$2</f>
        <v/>
      </c>
      <c r="T76" s="40">
        <f>SUM(B76:Q76)</f>
        <v/>
      </c>
    </row>
    <row r="77">
      <c r="A77" s="16" t="inlineStr">
        <is>
          <t>Partial/Any (backward)</t>
        </is>
      </c>
      <c r="B77" s="41">
        <f>B75/B76</f>
        <v/>
      </c>
      <c r="C77" s="41">
        <f>C75/C76</f>
        <v/>
      </c>
      <c r="D77" s="41">
        <f>D75/D76</f>
        <v/>
      </c>
      <c r="E77" s="41">
        <f>E75/E76</f>
        <v/>
      </c>
      <c r="F77" s="41">
        <f>F75/F76</f>
        <v/>
      </c>
      <c r="G77" s="41">
        <f>G75/G76</f>
        <v/>
      </c>
      <c r="H77" s="41">
        <f>H75/H76</f>
        <v/>
      </c>
      <c r="I77" s="41">
        <f>I75/I76</f>
        <v/>
      </c>
      <c r="J77" s="41">
        <f>J75/J76</f>
        <v/>
      </c>
      <c r="K77" s="41">
        <f>K75/K76</f>
        <v/>
      </c>
      <c r="L77" s="41">
        <f>L75/L76</f>
        <v/>
      </c>
      <c r="M77" s="41">
        <f>M75/M76</f>
        <v/>
      </c>
      <c r="N77" s="41">
        <f>N75/N76</f>
        <v/>
      </c>
      <c r="O77" s="41">
        <f>O75/O76</f>
        <v/>
      </c>
      <c r="P77" s="41">
        <f>P75/P76</f>
        <v/>
      </c>
      <c r="Q77" s="41">
        <f>Q75/Q76</f>
        <v/>
      </c>
      <c r="R77" s="41">
        <f>R75/R76</f>
        <v/>
      </c>
      <c r="S77" s="41">
        <f>S75/S76</f>
        <v/>
      </c>
      <c r="T77" s="41">
        <f>T75/T76</f>
        <v/>
      </c>
    </row>
    <row r="78" ht="15" customHeight="1" s="54">
      <c r="A78" s="16" t="n"/>
    </row>
    <row r="79" ht="15" customHeight="1" s="54">
      <c r="A79" s="16" t="n"/>
    </row>
    <row r="81" ht="15" customHeight="1" s="54">
      <c r="A81" s="53" t="n"/>
    </row>
    <row r="82" ht="15" customHeight="1" s="54">
      <c r="A82" s="16" t="inlineStr">
        <is>
          <t>Hallucinations per model and category</t>
        </is>
      </c>
      <c r="C82" t="inlineStr">
        <is>
          <t>LLaMa</t>
        </is>
      </c>
      <c r="I82" t="inlineStr">
        <is>
          <t>Qwen</t>
        </is>
      </c>
      <c r="L82" t="inlineStr">
        <is>
          <t>Mixtral</t>
        </is>
      </c>
      <c r="O82" t="inlineStr">
        <is>
          <t>GPT</t>
        </is>
      </c>
      <c r="T82" t="inlineStr">
        <is>
          <t>Total</t>
        </is>
      </c>
    </row>
    <row r="83">
      <c r="A83" s="47">
        <f>A64</f>
        <v/>
      </c>
      <c r="C83">
        <f>SUM(C64:H64)</f>
        <v/>
      </c>
      <c r="I83">
        <f>SUM(I64:K64)</f>
        <v/>
      </c>
      <c r="L83">
        <f>SUM(L64:N64)</f>
        <v/>
      </c>
      <c r="O83">
        <f>SUM(O64:Q64)</f>
        <v/>
      </c>
      <c r="T83">
        <f>SUM(C83:Q83)</f>
        <v/>
      </c>
    </row>
    <row r="84" ht="15" customHeight="1" s="54">
      <c r="A84" s="43">
        <f>A65</f>
        <v/>
      </c>
      <c r="C84">
        <f>SUM(C65:H65)</f>
        <v/>
      </c>
      <c r="I84">
        <f>SUM(I65:K65)</f>
        <v/>
      </c>
      <c r="L84">
        <f>SUM(L65:N65)</f>
        <v/>
      </c>
      <c r="O84">
        <f>SUM(O65:Q65)</f>
        <v/>
      </c>
      <c r="T84">
        <f>SUM(C84:Q84)</f>
        <v/>
      </c>
    </row>
    <row r="85" ht="15" customHeight="1" s="54">
      <c r="A85" s="43">
        <f>A66</f>
        <v/>
      </c>
      <c r="C85">
        <f>SUM(C66:H66)</f>
        <v/>
      </c>
      <c r="I85">
        <f>SUM(I66:K66)</f>
        <v/>
      </c>
      <c r="L85">
        <f>SUM(L66:N66)</f>
        <v/>
      </c>
      <c r="O85">
        <f>SUM(O66:Q66)</f>
        <v/>
      </c>
      <c r="T85">
        <f>SUM(C85:Q85)</f>
        <v/>
      </c>
    </row>
    <row r="86" ht="15" customHeight="1" s="54">
      <c r="A86" s="43">
        <f>A67</f>
        <v/>
      </c>
      <c r="C86">
        <f>SUM(C67:H67)</f>
        <v/>
      </c>
      <c r="I86">
        <f>SUM(I67:K67)</f>
        <v/>
      </c>
      <c r="L86">
        <f>SUM(L67:N67)</f>
        <v/>
      </c>
      <c r="O86">
        <f>SUM(O67:Q67)</f>
        <v/>
      </c>
      <c r="T86">
        <f>SUM(C86:Q86)</f>
        <v/>
      </c>
    </row>
    <row r="87" ht="15" customHeight="1" s="54">
      <c r="A87" s="43">
        <f>A68</f>
        <v/>
      </c>
      <c r="C87">
        <f>SUM(C68:H68)</f>
        <v/>
      </c>
      <c r="I87">
        <f>SUM(I68:K68)</f>
        <v/>
      </c>
      <c r="L87">
        <f>SUM(L68:N68)</f>
        <v/>
      </c>
      <c r="O87">
        <f>SUM(O68:Q68)</f>
        <v/>
      </c>
      <c r="T87">
        <f>SUM(C87:Q87)</f>
        <v/>
      </c>
    </row>
    <row r="88" ht="15" customHeight="1" s="54">
      <c r="A88" s="43">
        <f>A69</f>
        <v/>
      </c>
      <c r="C88">
        <f>SUM(C69:H69)</f>
        <v/>
      </c>
      <c r="I88">
        <f>SUM(I69:K69)</f>
        <v/>
      </c>
      <c r="L88">
        <f>SUM(L69:N69)</f>
        <v/>
      </c>
      <c r="O88">
        <f>SUM(O69:Q69)</f>
        <v/>
      </c>
      <c r="T88">
        <f>SUM(C88:Q88)</f>
        <v/>
      </c>
    </row>
  </sheetData>
  <mergeCells count="2">
    <mergeCell ref="B41:C41"/>
    <mergeCell ref="B42:C42"/>
  </mergeCells>
  <conditionalFormatting sqref="B12:S14 B26:Q30 B32:Q39 C44:Q44 C49:Q49 C54:Q5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511811023622047" footer="0.511811023622047"/>
  <pageSetup orientation="portrait" paperSize="8" fitToWidth="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2"/>
  <sheetViews>
    <sheetView topLeftCell="A32" zoomScale="85" zoomScaleNormal="85" workbookViewId="0">
      <selection activeCell="D64" sqref="D64"/>
    </sheetView>
  </sheetViews>
  <sheetFormatPr baseColWidth="8" defaultColWidth="8.7109375" defaultRowHeight="14.45"/>
  <cols>
    <col width="12.7109375" customWidth="1" style="54" min="1" max="1"/>
    <col width="10.7109375" customWidth="1" style="54" min="2" max="37"/>
  </cols>
  <sheetData>
    <row r="1" ht="14.25" customHeight="1" s="54">
      <c r="A1" s="46" t="inlineStr">
        <is>
          <t>L0</t>
        </is>
      </c>
      <c r="B1" t="inlineStr">
        <is>
          <t>Including hallucinations</t>
        </is>
      </c>
      <c r="E1" t="inlineStr">
        <is>
          <t>Excluding hallucinations</t>
        </is>
      </c>
    </row>
    <row r="2" ht="14.25" customHeight="1" s="54">
      <c r="B2" t="inlineStr">
        <is>
          <t>Intersec.</t>
        </is>
      </c>
      <c r="C2" t="inlineStr">
        <is>
          <t>Union</t>
        </is>
      </c>
      <c r="D2" t="inlineStr">
        <is>
          <t>J-index</t>
        </is>
      </c>
      <c r="E2" t="inlineStr">
        <is>
          <t>Intersec.</t>
        </is>
      </c>
      <c r="F2" t="inlineStr">
        <is>
          <t>Union</t>
        </is>
      </c>
      <c r="G2" t="inlineStr">
        <is>
          <t>J-index</t>
        </is>
      </c>
    </row>
    <row r="3">
      <c r="A3" t="inlineStr">
        <is>
          <t>L0_i vs L0_ii</t>
        </is>
      </c>
      <c r="B3">
        <f>'{V} L0'!H61</f>
        <v/>
      </c>
      <c r="C3">
        <f>'{V} L0'!I61</f>
        <v/>
      </c>
      <c r="D3" s="55">
        <f>B3/C3</f>
        <v/>
      </c>
      <c r="E3">
        <f>'{V} L0'!V61</f>
        <v/>
      </c>
      <c r="F3">
        <f>'{V} L0'!W61</f>
        <v/>
      </c>
      <c r="G3" s="55">
        <f>E3/F3</f>
        <v/>
      </c>
    </row>
    <row r="4">
      <c r="A4" t="inlineStr">
        <is>
          <t>L0_i vs L0_iii</t>
        </is>
      </c>
      <c r="B4">
        <f>'{V} L0'!J61</f>
        <v/>
      </c>
      <c r="C4">
        <f>'{V} L0'!K61</f>
        <v/>
      </c>
      <c r="D4" s="55">
        <f>B4/C4</f>
        <v/>
      </c>
      <c r="E4">
        <f>'{V} L0'!X61</f>
        <v/>
      </c>
      <c r="F4">
        <f>'{V} L0'!Y61</f>
        <v/>
      </c>
      <c r="G4" s="55">
        <f>E4/F4</f>
        <v/>
      </c>
    </row>
    <row r="5">
      <c r="A5" t="inlineStr">
        <is>
          <t>L0_i vs L0_iv</t>
        </is>
      </c>
      <c r="B5">
        <f>'{V} L0'!L61</f>
        <v/>
      </c>
      <c r="C5">
        <f>'{V} L0'!M61</f>
        <v/>
      </c>
      <c r="D5" s="55">
        <f>B5/C5</f>
        <v/>
      </c>
      <c r="E5">
        <f>'{V} L0'!Z61</f>
        <v/>
      </c>
      <c r="F5">
        <f>'{V} L0'!AA61</f>
        <v/>
      </c>
      <c r="G5" s="55">
        <f>E5/F5</f>
        <v/>
      </c>
    </row>
    <row r="6">
      <c r="A6" t="inlineStr">
        <is>
          <t>L0_ii vs L0_iii</t>
        </is>
      </c>
      <c r="B6">
        <f>'{V} L0'!N61</f>
        <v/>
      </c>
      <c r="C6">
        <f>'{V} L0'!O61</f>
        <v/>
      </c>
      <c r="D6" s="55">
        <f>B6/C6</f>
        <v/>
      </c>
      <c r="E6">
        <f>'{V} L0'!AB61</f>
        <v/>
      </c>
      <c r="F6">
        <f>'{V} L0'!AC61</f>
        <v/>
      </c>
      <c r="G6" s="55">
        <f>E6/F6</f>
        <v/>
      </c>
    </row>
    <row r="7">
      <c r="A7" t="inlineStr">
        <is>
          <t>L0_ii vs L0_iv</t>
        </is>
      </c>
      <c r="B7">
        <f>'{V} L0'!P61</f>
        <v/>
      </c>
      <c r="C7">
        <f>'{V} L0'!Q61</f>
        <v/>
      </c>
      <c r="D7" s="55">
        <f>B7/C7</f>
        <v/>
      </c>
      <c r="E7">
        <f>'{V} L0'!AD61</f>
        <v/>
      </c>
      <c r="F7">
        <f>'{V} L0'!AE61</f>
        <v/>
      </c>
      <c r="G7" s="55">
        <f>E7/F7</f>
        <v/>
      </c>
    </row>
    <row r="8">
      <c r="A8" t="inlineStr">
        <is>
          <t>L0_iii vs L0_iv</t>
        </is>
      </c>
      <c r="B8">
        <f>'{V} L0'!R61</f>
        <v/>
      </c>
      <c r="C8">
        <f>'{V} L0'!S61</f>
        <v/>
      </c>
      <c r="D8" s="55">
        <f>B8/C8</f>
        <v/>
      </c>
      <c r="E8">
        <f>'{V} L0'!AF61</f>
        <v/>
      </c>
      <c r="F8">
        <f>'{V} L0'!AG61</f>
        <v/>
      </c>
      <c r="G8" s="55">
        <f>E8/F8</f>
        <v/>
      </c>
    </row>
    <row r="9">
      <c r="A9" s="16" t="inlineStr">
        <is>
          <t>Mean (a)</t>
        </is>
      </c>
      <c r="B9" s="53" t="n"/>
      <c r="C9" s="53" t="n"/>
      <c r="D9" s="56">
        <f>AVERAGE(D3:D8)</f>
        <v/>
      </c>
      <c r="E9" s="53" t="n"/>
      <c r="F9" s="53" t="n"/>
      <c r="G9" s="56">
        <f>AVERAGE(G3:G8)</f>
        <v/>
      </c>
    </row>
    <row r="10">
      <c r="A10" s="16" t="inlineStr">
        <is>
          <t>Mean (g)</t>
        </is>
      </c>
      <c r="B10" s="53" t="n"/>
      <c r="C10" s="53" t="n"/>
      <c r="D10" s="56">
        <f>GEOMEAN(D3:D8)</f>
        <v/>
      </c>
      <c r="E10" s="53" t="n"/>
      <c r="F10" s="53" t="n"/>
      <c r="G10" s="56">
        <f>GEOMEAN(G3:G8)</f>
        <v/>
      </c>
    </row>
    <row r="11" ht="14.25" customHeight="1" s="54"/>
    <row r="12" ht="14.25" customHeight="1" s="54">
      <c r="A12" s="46" t="inlineStr">
        <is>
          <t>G0</t>
        </is>
      </c>
      <c r="B12" t="inlineStr">
        <is>
          <t>Including hallucinations</t>
        </is>
      </c>
      <c r="E12" t="inlineStr">
        <is>
          <t>Excluding hallucinations</t>
        </is>
      </c>
    </row>
    <row r="13">
      <c r="B13" t="inlineStr">
        <is>
          <t>Intersec.</t>
        </is>
      </c>
      <c r="C13" t="inlineStr">
        <is>
          <t>Union</t>
        </is>
      </c>
      <c r="D13" t="inlineStr">
        <is>
          <t>J-index</t>
        </is>
      </c>
      <c r="E13" t="inlineStr">
        <is>
          <t>Intersec.</t>
        </is>
      </c>
      <c r="F13" t="inlineStr">
        <is>
          <t>Union</t>
        </is>
      </c>
      <c r="G13" t="inlineStr">
        <is>
          <t>J-index</t>
        </is>
      </c>
    </row>
    <row r="14">
      <c r="A14" t="inlineStr">
        <is>
          <t>G0_i vs G0_ii</t>
        </is>
      </c>
      <c r="B14">
        <f>'{V} G0'!H43</f>
        <v/>
      </c>
      <c r="C14">
        <f>'{V} G0'!I43</f>
        <v/>
      </c>
      <c r="D14" s="55">
        <f>B14/C14</f>
        <v/>
      </c>
      <c r="E14">
        <f>'{V} G0'!V43</f>
        <v/>
      </c>
      <c r="F14">
        <f>'{V} G0'!W43</f>
        <v/>
      </c>
      <c r="G14" s="55">
        <f>E14/F14</f>
        <v/>
      </c>
    </row>
    <row r="15">
      <c r="A15" t="inlineStr">
        <is>
          <t>G0_i vs G0_iii</t>
        </is>
      </c>
      <c r="B15">
        <f>'{V} G0'!J43</f>
        <v/>
      </c>
      <c r="C15">
        <f>'{V} G0'!K43</f>
        <v/>
      </c>
      <c r="D15" s="55">
        <f>B15/C15</f>
        <v/>
      </c>
      <c r="E15">
        <f>'{V} G0'!X43</f>
        <v/>
      </c>
      <c r="F15">
        <f>'{V} G0'!Y43</f>
        <v/>
      </c>
      <c r="G15" s="55">
        <f>E15/F15</f>
        <v/>
      </c>
    </row>
    <row r="16">
      <c r="A16" t="inlineStr">
        <is>
          <t>G0_i vs G0_iv</t>
        </is>
      </c>
      <c r="B16">
        <f>'{V} G0'!L43</f>
        <v/>
      </c>
      <c r="C16">
        <f>'{V} G0'!M43</f>
        <v/>
      </c>
      <c r="D16" s="55">
        <f>B16/C16</f>
        <v/>
      </c>
      <c r="E16">
        <f>'{V} G0'!Z43</f>
        <v/>
      </c>
      <c r="F16">
        <f>'{V} G0'!AA43</f>
        <v/>
      </c>
      <c r="G16" s="55">
        <f>E16/F16</f>
        <v/>
      </c>
    </row>
    <row r="17">
      <c r="A17" t="inlineStr">
        <is>
          <t>G0_ii vs G0_iii</t>
        </is>
      </c>
      <c r="B17">
        <f>'{V} G0'!N43</f>
        <v/>
      </c>
      <c r="C17">
        <f>'{V} G0'!O43</f>
        <v/>
      </c>
      <c r="D17" s="55">
        <f>B17/C17</f>
        <v/>
      </c>
      <c r="E17">
        <f>'{V} G0'!AB43</f>
        <v/>
      </c>
      <c r="F17">
        <f>'{V} G0'!AC43</f>
        <v/>
      </c>
      <c r="G17" s="55">
        <f>E17/F17</f>
        <v/>
      </c>
    </row>
    <row r="18">
      <c r="A18" t="inlineStr">
        <is>
          <t>G0_ii vs G0_iv</t>
        </is>
      </c>
      <c r="B18">
        <f>'{V} G0'!P43</f>
        <v/>
      </c>
      <c r="C18">
        <f>'{V} G0'!Q43</f>
        <v/>
      </c>
      <c r="D18" s="55">
        <f>B18/C18</f>
        <v/>
      </c>
      <c r="E18">
        <f>'{V} G0'!AD43</f>
        <v/>
      </c>
      <c r="F18">
        <f>'{V} G0'!AE43</f>
        <v/>
      </c>
      <c r="G18" s="55">
        <f>E18/F18</f>
        <v/>
      </c>
    </row>
    <row r="19">
      <c r="A19" t="inlineStr">
        <is>
          <t>G0_iii vs G0_iv</t>
        </is>
      </c>
      <c r="B19">
        <f>'{V} G0'!R43</f>
        <v/>
      </c>
      <c r="C19">
        <f>'{V} G0'!S43</f>
        <v/>
      </c>
      <c r="D19" s="55">
        <f>B19/C19</f>
        <v/>
      </c>
      <c r="E19">
        <f>'{V} G0'!AF43</f>
        <v/>
      </c>
      <c r="F19">
        <f>'{V} G0'!AG43</f>
        <v/>
      </c>
      <c r="G19" s="55">
        <f>E19/F19</f>
        <v/>
      </c>
    </row>
    <row r="20">
      <c r="A20" s="16" t="inlineStr">
        <is>
          <t>Mean (a)</t>
        </is>
      </c>
      <c r="B20" s="53" t="n"/>
      <c r="C20" s="53" t="n"/>
      <c r="D20" s="56">
        <f>AVERAGE(D14:D19)</f>
        <v/>
      </c>
      <c r="E20" s="53" t="n"/>
      <c r="F20" s="53" t="n"/>
      <c r="G20" s="56">
        <f>AVERAGE(G14:G19)</f>
        <v/>
      </c>
    </row>
    <row r="21">
      <c r="A21" s="16" t="inlineStr">
        <is>
          <t>Mean (g)</t>
        </is>
      </c>
      <c r="B21" s="53" t="n"/>
      <c r="C21" s="53" t="n"/>
      <c r="D21" s="56">
        <f>GEOMEAN(D14:D19)</f>
        <v/>
      </c>
      <c r="E21" s="53" t="n"/>
      <c r="F21" s="53" t="n"/>
      <c r="G21" s="56">
        <f>GEOMEAN(G14:G19)</f>
        <v/>
      </c>
    </row>
    <row r="22" ht="14.25" customHeight="1" s="54">
      <c r="I22" s="26" t="n"/>
    </row>
    <row r="23" ht="14.25" customHeight="1" s="54">
      <c r="A23" s="46" t="inlineStr">
        <is>
          <t>M0</t>
        </is>
      </c>
      <c r="B23" t="inlineStr">
        <is>
          <t>Including hallucinations</t>
        </is>
      </c>
      <c r="E23" t="inlineStr">
        <is>
          <t>Excluding hallucinations</t>
        </is>
      </c>
    </row>
    <row r="24">
      <c r="B24" t="inlineStr">
        <is>
          <t>Intersec.</t>
        </is>
      </c>
      <c r="C24" t="inlineStr">
        <is>
          <t>Union</t>
        </is>
      </c>
      <c r="D24" t="inlineStr">
        <is>
          <t>J-index</t>
        </is>
      </c>
      <c r="E24" t="inlineStr">
        <is>
          <t>Intersec.</t>
        </is>
      </c>
      <c r="F24" t="inlineStr">
        <is>
          <t>Union</t>
        </is>
      </c>
      <c r="G24" t="inlineStr">
        <is>
          <t>J-index</t>
        </is>
      </c>
    </row>
    <row r="25">
      <c r="A25" t="inlineStr">
        <is>
          <t>M0_i vs M0_ii</t>
        </is>
      </c>
      <c r="B25">
        <f>'{V} M0'!H57</f>
        <v/>
      </c>
      <c r="C25">
        <f>'{V} M0'!I57</f>
        <v/>
      </c>
      <c r="D25" s="55">
        <f>B25/C25</f>
        <v/>
      </c>
      <c r="E25">
        <f>'{V} M0'!V57</f>
        <v/>
      </c>
      <c r="F25">
        <f>'{V} M0'!W57</f>
        <v/>
      </c>
      <c r="G25" s="55">
        <f>E25/F25</f>
        <v/>
      </c>
    </row>
    <row r="26">
      <c r="A26" t="inlineStr">
        <is>
          <t>M0_i vs M0_iii</t>
        </is>
      </c>
      <c r="B26">
        <f>'{V} M0'!J57</f>
        <v/>
      </c>
      <c r="C26">
        <f>'{V} M0'!K57</f>
        <v/>
      </c>
      <c r="D26" s="55">
        <f>B26/C26</f>
        <v/>
      </c>
      <c r="E26">
        <f>'{V} M0'!X57</f>
        <v/>
      </c>
      <c r="F26">
        <f>'{V} M0'!Y57</f>
        <v/>
      </c>
      <c r="G26" s="55">
        <f>E26/F26</f>
        <v/>
      </c>
    </row>
    <row r="27">
      <c r="A27" t="inlineStr">
        <is>
          <t>M0_i vs M0_iv</t>
        </is>
      </c>
      <c r="B27">
        <f>'{V} M0'!L57</f>
        <v/>
      </c>
      <c r="C27">
        <f>'{V} M0'!M57</f>
        <v/>
      </c>
      <c r="D27" s="55">
        <f>B27/C27</f>
        <v/>
      </c>
      <c r="E27">
        <f>'{V} M0'!Z57</f>
        <v/>
      </c>
      <c r="F27">
        <f>'{V} M0'!AA57</f>
        <v/>
      </c>
      <c r="G27" s="55">
        <f>E27/F27</f>
        <v/>
      </c>
    </row>
    <row r="28">
      <c r="A28" t="inlineStr">
        <is>
          <t>M0_ii vs M0_iii</t>
        </is>
      </c>
      <c r="B28">
        <f>'{V} M0'!N57</f>
        <v/>
      </c>
      <c r="C28">
        <f>'{V} M0'!O57</f>
        <v/>
      </c>
      <c r="D28" s="55">
        <f>B28/C28</f>
        <v/>
      </c>
      <c r="E28">
        <f>'{V} M0'!AB57</f>
        <v/>
      </c>
      <c r="F28">
        <f>'{V} M0'!AC57</f>
        <v/>
      </c>
      <c r="G28" s="55">
        <f>E28/F28</f>
        <v/>
      </c>
    </row>
    <row r="29">
      <c r="A29" t="inlineStr">
        <is>
          <t>M0_ii vs M0_iv</t>
        </is>
      </c>
      <c r="B29">
        <f>'{V} M0'!P57</f>
        <v/>
      </c>
      <c r="C29">
        <f>'{V} M0'!Q57</f>
        <v/>
      </c>
      <c r="D29" s="55">
        <f>B29/C29</f>
        <v/>
      </c>
      <c r="E29">
        <f>'{V} M0'!AD57</f>
        <v/>
      </c>
      <c r="F29">
        <f>'{V} M0'!AE57</f>
        <v/>
      </c>
      <c r="G29" s="55">
        <f>E29/F29</f>
        <v/>
      </c>
    </row>
    <row r="30">
      <c r="A30" t="inlineStr">
        <is>
          <t>M0_iii vs M0_iv</t>
        </is>
      </c>
      <c r="B30">
        <f>'{V} M0'!R57</f>
        <v/>
      </c>
      <c r="C30">
        <f>'{V} M0'!S57</f>
        <v/>
      </c>
      <c r="D30" s="55">
        <f>B30/C30</f>
        <v/>
      </c>
      <c r="E30">
        <f>'{V} M0'!AF57</f>
        <v/>
      </c>
      <c r="F30">
        <f>'{V} M0'!AG57</f>
        <v/>
      </c>
      <c r="G30" s="55">
        <f>E30/F30</f>
        <v/>
      </c>
    </row>
    <row r="31">
      <c r="A31" s="16" t="inlineStr">
        <is>
          <t>Mean (a)</t>
        </is>
      </c>
      <c r="B31" s="53" t="n"/>
      <c r="C31" s="53" t="n"/>
      <c r="D31" s="56">
        <f>AVERAGE(D25:D30)</f>
        <v/>
      </c>
      <c r="E31" s="53" t="n"/>
      <c r="F31" s="53" t="n"/>
      <c r="G31" s="56">
        <f>AVERAGE(G25:G30)</f>
        <v/>
      </c>
    </row>
    <row r="32">
      <c r="A32" s="16" t="inlineStr">
        <is>
          <t>Mean (g)</t>
        </is>
      </c>
      <c r="B32" s="53" t="n"/>
      <c r="C32" s="53" t="n"/>
      <c r="D32" s="56">
        <f>GEOMEAN(D25:D30)</f>
        <v/>
      </c>
      <c r="E32" s="53" t="n"/>
      <c r="F32" s="53" t="n"/>
      <c r="G32" s="56">
        <f>GEOMEAN(G25:G30)</f>
        <v/>
      </c>
    </row>
    <row r="34" ht="14.25" customHeight="1" s="54">
      <c r="A34" s="46" t="inlineStr">
        <is>
          <t>Q0</t>
        </is>
      </c>
      <c r="B34" t="inlineStr">
        <is>
          <t>Including hallucinations</t>
        </is>
      </c>
      <c r="E34" t="inlineStr">
        <is>
          <t>Excluding hallucinations</t>
        </is>
      </c>
    </row>
    <row r="35">
      <c r="B35" t="inlineStr">
        <is>
          <t>Intersec.</t>
        </is>
      </c>
      <c r="C35" t="inlineStr">
        <is>
          <t>Union</t>
        </is>
      </c>
      <c r="D35" t="inlineStr">
        <is>
          <t>J-index</t>
        </is>
      </c>
      <c r="E35" t="inlineStr">
        <is>
          <t>Intersec.</t>
        </is>
      </c>
      <c r="F35" t="inlineStr">
        <is>
          <t>Union</t>
        </is>
      </c>
      <c r="G35" t="inlineStr">
        <is>
          <t>J-index</t>
        </is>
      </c>
    </row>
    <row r="36">
      <c r="A36" t="inlineStr">
        <is>
          <t>Q0_i vs Q0_ii</t>
        </is>
      </c>
      <c r="B36">
        <f>'{V} Q0'!H63</f>
        <v/>
      </c>
      <c r="C36">
        <f>'{V} Q0'!I63</f>
        <v/>
      </c>
      <c r="D36" s="55">
        <f>B36/C36</f>
        <v/>
      </c>
      <c r="E36">
        <f>'{V} Q0'!V63</f>
        <v/>
      </c>
      <c r="F36">
        <f>'{V} Q0'!W63</f>
        <v/>
      </c>
      <c r="G36" s="55">
        <f>E36/F36</f>
        <v/>
      </c>
    </row>
    <row r="37">
      <c r="A37" t="inlineStr">
        <is>
          <t>Q0_i vs Q0_iii</t>
        </is>
      </c>
      <c r="B37">
        <f>'{V} Q0'!J63</f>
        <v/>
      </c>
      <c r="C37">
        <f>'{V} Q0'!K63</f>
        <v/>
      </c>
      <c r="D37" s="55">
        <f>B37/C37</f>
        <v/>
      </c>
      <c r="E37">
        <f>'{V} Q0'!X63</f>
        <v/>
      </c>
      <c r="F37">
        <f>'{V} Q0'!Y63</f>
        <v/>
      </c>
      <c r="G37" s="55">
        <f>E37/F37</f>
        <v/>
      </c>
    </row>
    <row r="38">
      <c r="A38" t="inlineStr">
        <is>
          <t>Q0_i vs Q0_iv</t>
        </is>
      </c>
      <c r="B38">
        <f>'{V} Q0'!L63</f>
        <v/>
      </c>
      <c r="C38">
        <f>'{V} Q0'!M63</f>
        <v/>
      </c>
      <c r="D38" s="55">
        <f>B38/C38</f>
        <v/>
      </c>
      <c r="E38">
        <f>'{V} Q0'!Z63</f>
        <v/>
      </c>
      <c r="F38">
        <f>'{V} Q0'!AA63</f>
        <v/>
      </c>
      <c r="G38" s="55">
        <f>E38/F38</f>
        <v/>
      </c>
    </row>
    <row r="39">
      <c r="A39" t="inlineStr">
        <is>
          <t>Q0_ii vs Q0_iii</t>
        </is>
      </c>
      <c r="B39">
        <f>'{V} Q0'!N63</f>
        <v/>
      </c>
      <c r="C39">
        <f>'{V} Q0'!O63</f>
        <v/>
      </c>
      <c r="D39" s="55">
        <f>B39/C39</f>
        <v/>
      </c>
      <c r="E39">
        <f>'{V} Q0'!AB63</f>
        <v/>
      </c>
      <c r="F39">
        <f>'{V} Q0'!AC63</f>
        <v/>
      </c>
      <c r="G39" s="55">
        <f>E39/F39</f>
        <v/>
      </c>
    </row>
    <row r="40">
      <c r="A40" t="inlineStr">
        <is>
          <t>Q0_ii vs Q0_iv</t>
        </is>
      </c>
      <c r="B40">
        <f>'{V} Q0'!P63</f>
        <v/>
      </c>
      <c r="C40">
        <f>'{V} Q0'!Q63</f>
        <v/>
      </c>
      <c r="D40" s="55">
        <f>B40/C40</f>
        <v/>
      </c>
      <c r="E40">
        <f>'{V} Q0'!AD63</f>
        <v/>
      </c>
      <c r="F40">
        <f>'{V} Q0'!AE63</f>
        <v/>
      </c>
      <c r="G40" s="55">
        <f>E40/F40</f>
        <v/>
      </c>
    </row>
    <row r="41">
      <c r="A41" t="inlineStr">
        <is>
          <t>Q0_iii vs Q0_iv</t>
        </is>
      </c>
      <c r="B41">
        <f>'{V} Q0'!R63</f>
        <v/>
      </c>
      <c r="C41">
        <f>'{V} Q0'!S63</f>
        <v/>
      </c>
      <c r="D41" s="55">
        <f>B41/C41</f>
        <v/>
      </c>
      <c r="E41">
        <f>'{V} Q0'!AF63</f>
        <v/>
      </c>
      <c r="F41">
        <f>'{V} Q0'!AG63</f>
        <v/>
      </c>
      <c r="G41" s="55">
        <f>E41/F41</f>
        <v/>
      </c>
    </row>
    <row r="42">
      <c r="A42" s="16" t="inlineStr">
        <is>
          <t>Mean (a)</t>
        </is>
      </c>
      <c r="B42" s="53" t="n"/>
      <c r="C42" s="53" t="n"/>
      <c r="D42" s="56">
        <f>AVERAGE(D36:D41)</f>
        <v/>
      </c>
      <c r="E42" s="53" t="n"/>
      <c r="F42" s="53" t="n"/>
      <c r="G42" s="56">
        <f>AVERAGE(G36:G41)</f>
        <v/>
      </c>
    </row>
    <row r="43">
      <c r="A43" s="16" t="inlineStr">
        <is>
          <t>Mean (g)</t>
        </is>
      </c>
      <c r="B43" s="53" t="n"/>
      <c r="C43" s="53" t="n"/>
      <c r="D43" s="56">
        <f>GEOMEAN(D36:D41)</f>
        <v/>
      </c>
      <c r="E43" s="53" t="n"/>
      <c r="F43" s="53" t="n"/>
      <c r="G43" s="56">
        <f>GEOMEAN(G36:G41)</f>
        <v/>
      </c>
    </row>
    <row r="45" ht="14.25" customHeight="1" s="54">
      <c r="A45" s="46" t="inlineStr">
        <is>
          <t>L3</t>
        </is>
      </c>
      <c r="B45" t="inlineStr">
        <is>
          <t>Including hallucinations</t>
        </is>
      </c>
      <c r="E45" t="inlineStr">
        <is>
          <t>Excluding hallucinations</t>
        </is>
      </c>
    </row>
    <row r="46" ht="14.25" customHeight="1" s="54">
      <c r="B46" t="inlineStr">
        <is>
          <t>Intersec.</t>
        </is>
      </c>
      <c r="C46" t="inlineStr">
        <is>
          <t>Union</t>
        </is>
      </c>
      <c r="D46" t="inlineStr">
        <is>
          <t>J-index</t>
        </is>
      </c>
      <c r="E46" t="inlineStr">
        <is>
          <t>Intersec.</t>
        </is>
      </c>
      <c r="F46" t="inlineStr">
        <is>
          <t>Union</t>
        </is>
      </c>
      <c r="G46" t="inlineStr">
        <is>
          <t>J-index</t>
        </is>
      </c>
    </row>
    <row r="47" ht="14.25" customHeight="1" s="54">
      <c r="A47" t="inlineStr">
        <is>
          <t>L3_i vs L3_ii</t>
        </is>
      </c>
      <c r="B47">
        <f>'{V} L3'!H69</f>
        <v/>
      </c>
      <c r="C47">
        <f>'{V} L3'!I69</f>
        <v/>
      </c>
      <c r="D47" s="55">
        <f>B47/C47</f>
        <v/>
      </c>
      <c r="E47">
        <f>'{V} L3'!V69</f>
        <v/>
      </c>
      <c r="F47">
        <f>'{V} L3'!W69</f>
        <v/>
      </c>
      <c r="G47" s="55">
        <f>E47/F47</f>
        <v/>
      </c>
    </row>
    <row r="48" ht="14.25" customHeight="1" s="54">
      <c r="A48" t="inlineStr">
        <is>
          <t>L3_i vs L3_iii</t>
        </is>
      </c>
      <c r="B48">
        <f>'{V} L3'!J69</f>
        <v/>
      </c>
      <c r="C48">
        <f>'{V} L3'!K69</f>
        <v/>
      </c>
      <c r="D48" s="55">
        <f>B48/C48</f>
        <v/>
      </c>
      <c r="E48">
        <f>'{V} L3'!X69</f>
        <v/>
      </c>
      <c r="F48">
        <f>'{V} L3'!Y69</f>
        <v/>
      </c>
      <c r="G48" s="55">
        <f>E48/F48</f>
        <v/>
      </c>
    </row>
    <row r="49" ht="14.25" customHeight="1" s="54">
      <c r="A49" t="inlineStr">
        <is>
          <t>L3_i vs L3_iv</t>
        </is>
      </c>
      <c r="B49">
        <f>'{V} L3'!L69</f>
        <v/>
      </c>
      <c r="C49">
        <f>'{V} L3'!M69</f>
        <v/>
      </c>
      <c r="D49" s="55">
        <f>B49/C49</f>
        <v/>
      </c>
      <c r="E49">
        <f>'{V} L3'!Z69</f>
        <v/>
      </c>
      <c r="F49">
        <f>'{V} L3'!AA69</f>
        <v/>
      </c>
      <c r="G49" s="55">
        <f>E49/F49</f>
        <v/>
      </c>
    </row>
    <row r="50" ht="14.25" customHeight="1" s="54">
      <c r="A50" t="inlineStr">
        <is>
          <t>L3_ii vs L3_iii</t>
        </is>
      </c>
      <c r="B50">
        <f>'{V} L3'!N69</f>
        <v/>
      </c>
      <c r="C50">
        <f>'{V} L3'!O69</f>
        <v/>
      </c>
      <c r="D50" s="55">
        <f>B50/C50</f>
        <v/>
      </c>
      <c r="E50">
        <f>'{V} L3'!AB69</f>
        <v/>
      </c>
      <c r="F50">
        <f>'{V} L3'!AC69</f>
        <v/>
      </c>
      <c r="G50" s="55">
        <f>E50/F50</f>
        <v/>
      </c>
    </row>
    <row r="51" ht="14.25" customHeight="1" s="54">
      <c r="A51" t="inlineStr">
        <is>
          <t>L3_ii vs L3_iv</t>
        </is>
      </c>
      <c r="B51">
        <f>'{V} L3'!P69</f>
        <v/>
      </c>
      <c r="C51">
        <f>'{V} L3'!Q69</f>
        <v/>
      </c>
      <c r="D51" s="55">
        <f>B51/C51</f>
        <v/>
      </c>
      <c r="E51">
        <f>'{V} L3'!AD69</f>
        <v/>
      </c>
      <c r="F51">
        <f>'{V} L3'!AE69</f>
        <v/>
      </c>
      <c r="G51" s="55">
        <f>E51/F51</f>
        <v/>
      </c>
    </row>
    <row r="52" ht="14.25" customHeight="1" s="54">
      <c r="A52" t="inlineStr">
        <is>
          <t>L3_iii vs L3_iv</t>
        </is>
      </c>
      <c r="B52">
        <f>'{V} L3'!R69</f>
        <v/>
      </c>
      <c r="C52">
        <f>'{V} L3'!S69</f>
        <v/>
      </c>
      <c r="D52" s="55">
        <f>B52/C52</f>
        <v/>
      </c>
      <c r="E52">
        <f>'{V} L3'!AF69</f>
        <v/>
      </c>
      <c r="F52">
        <f>'{V} L3'!AG69</f>
        <v/>
      </c>
      <c r="G52" s="55">
        <f>E52/F52</f>
        <v/>
      </c>
    </row>
    <row r="53" ht="14.25" customHeight="1" s="54">
      <c r="A53" s="16" t="inlineStr">
        <is>
          <t>Mean (a)</t>
        </is>
      </c>
      <c r="B53" s="53" t="n"/>
      <c r="C53" s="53" t="n"/>
      <c r="D53" s="56">
        <f>AVERAGE(D47:D52)</f>
        <v/>
      </c>
      <c r="E53" s="53" t="n"/>
      <c r="F53" s="53" t="n"/>
      <c r="G53" s="56">
        <f>AVERAGE(G47:G52)</f>
        <v/>
      </c>
    </row>
    <row r="54" ht="14.25" customHeight="1" s="54">
      <c r="A54" s="16" t="inlineStr">
        <is>
          <t>Mean (g)</t>
        </is>
      </c>
      <c r="B54" s="53" t="n"/>
      <c r="C54" s="53" t="n"/>
      <c r="D54" s="56">
        <f>GEOMEAN(D47:D52)</f>
        <v/>
      </c>
      <c r="E54" s="53" t="n"/>
      <c r="F54" s="53" t="n"/>
      <c r="G54" s="56">
        <f>GEOMEAN(G47:G52)</f>
        <v/>
      </c>
    </row>
    <row r="55" ht="14.25" customHeight="1" s="54"/>
    <row r="56" ht="14.25" customHeight="1" s="54">
      <c r="A56" s="46" t="inlineStr">
        <is>
          <t>Inter-model</t>
        </is>
      </c>
      <c r="B56" t="inlineStr">
        <is>
          <t>Including hallucinations</t>
        </is>
      </c>
      <c r="E56" t="inlineStr">
        <is>
          <t>Excluding hallucinations</t>
        </is>
      </c>
    </row>
    <row r="57" ht="14.25" customHeight="1" s="54">
      <c r="B57" t="inlineStr">
        <is>
          <t>Intersec.</t>
        </is>
      </c>
      <c r="C57" t="inlineStr">
        <is>
          <t>Union</t>
        </is>
      </c>
      <c r="D57" t="inlineStr">
        <is>
          <t>J-index</t>
        </is>
      </c>
      <c r="E57" t="inlineStr">
        <is>
          <t>Intersec.</t>
        </is>
      </c>
      <c r="F57" t="inlineStr">
        <is>
          <t>Union</t>
        </is>
      </c>
      <c r="G57" t="inlineStr">
        <is>
          <t>J-index</t>
        </is>
      </c>
    </row>
    <row r="58" ht="14.25" customHeight="1" s="54">
      <c r="A58" t="inlineStr">
        <is>
          <t>L0_* vs Q0_*</t>
        </is>
      </c>
      <c r="B58">
        <f>'{V} InterModel'!Z157</f>
        <v/>
      </c>
      <c r="C58">
        <f>'{V} InterModel'!AA157</f>
        <v/>
      </c>
      <c r="D58" s="55">
        <f>'{V} InterModel'!Z158</f>
        <v/>
      </c>
      <c r="E58">
        <f>'{V} InterModel'!AM157</f>
        <v/>
      </c>
      <c r="F58">
        <f>'{V} InterModel'!AN157</f>
        <v/>
      </c>
      <c r="G58" s="55">
        <f>'{V} InterModel'!AM158</f>
        <v/>
      </c>
    </row>
    <row r="59" ht="14.25" customHeight="1" s="54">
      <c r="A59" t="inlineStr">
        <is>
          <t>L0_* vs M0_*</t>
        </is>
      </c>
      <c r="B59">
        <f>'{V} InterModel'!AB157</f>
        <v/>
      </c>
      <c r="C59">
        <f>'{V} InterModel'!AC157</f>
        <v/>
      </c>
      <c r="D59" s="55">
        <f>'{V} InterModel'!AB158</f>
        <v/>
      </c>
      <c r="E59">
        <f>'{V} InterModel'!AO157</f>
        <v/>
      </c>
      <c r="F59">
        <f>'{V} InterModel'!AP157</f>
        <v/>
      </c>
      <c r="G59" s="55">
        <f>'{V} InterModel'!AO158</f>
        <v/>
      </c>
    </row>
    <row r="60" ht="14.25" customHeight="1" s="54">
      <c r="A60" t="inlineStr">
        <is>
          <t>L0_* vs G0_*</t>
        </is>
      </c>
      <c r="B60">
        <f>'{V} InterModel'!AD157</f>
        <v/>
      </c>
      <c r="C60">
        <f>'{V} InterModel'!AE157</f>
        <v/>
      </c>
      <c r="D60" s="55">
        <f>'{V} InterModel'!AD158</f>
        <v/>
      </c>
      <c r="E60">
        <f>'{V} InterModel'!AQ157</f>
        <v/>
      </c>
      <c r="F60">
        <f>'{V} InterModel'!AR157</f>
        <v/>
      </c>
      <c r="G60" s="55">
        <f>'{V} InterModel'!AQ158</f>
        <v/>
      </c>
    </row>
    <row r="61" ht="14.25" customHeight="1" s="54">
      <c r="A61" t="inlineStr">
        <is>
          <t>Q0_* vs M0_*</t>
        </is>
      </c>
      <c r="B61">
        <f>'{V} InterModel'!AF157</f>
        <v/>
      </c>
      <c r="C61">
        <f>'{V} InterModel'!AG157</f>
        <v/>
      </c>
      <c r="D61" s="55">
        <f>'{V} InterModel'!AF158</f>
        <v/>
      </c>
      <c r="E61">
        <f>'{V} InterModel'!AS157</f>
        <v/>
      </c>
      <c r="F61">
        <f>'{V} InterModel'!AT157</f>
        <v/>
      </c>
      <c r="G61" s="55">
        <f>'{V} InterModel'!AS158</f>
        <v/>
      </c>
    </row>
    <row r="62" ht="14.25" customHeight="1" s="54">
      <c r="A62" t="inlineStr">
        <is>
          <t>Q0_* vs G0_*</t>
        </is>
      </c>
      <c r="B62">
        <f>'{V} InterModel'!AH157</f>
        <v/>
      </c>
      <c r="C62">
        <f>'{V} InterModel'!AI157</f>
        <v/>
      </c>
      <c r="D62" s="55">
        <f>'{V} InterModel'!AJ158</f>
        <v/>
      </c>
      <c r="E62">
        <f>'{V} InterModel'!AU157</f>
        <v/>
      </c>
      <c r="F62">
        <f>'{V} InterModel'!AV157</f>
        <v/>
      </c>
      <c r="G62" s="55">
        <f>'{V} InterModel'!AU158</f>
        <v/>
      </c>
    </row>
    <row r="63" ht="14.25" customHeight="1" s="54">
      <c r="A63" t="inlineStr">
        <is>
          <t>M0_* vs G0_*</t>
        </is>
      </c>
      <c r="B63">
        <f>'{V} InterModel'!AJ157</f>
        <v/>
      </c>
      <c r="C63">
        <f>'{V} InterModel'!AK157</f>
        <v/>
      </c>
      <c r="D63" s="55">
        <f>'{V} InterModel'!AJ158</f>
        <v/>
      </c>
      <c r="E63">
        <f>'{V} InterModel'!AW157</f>
        <v/>
      </c>
      <c r="F63">
        <f>'{V} InterModel'!AX157</f>
        <v/>
      </c>
      <c r="G63" s="55">
        <f>'{V} InterModel'!AW158</f>
        <v/>
      </c>
    </row>
    <row r="64" ht="14.25" customHeight="1" s="54">
      <c r="A64" s="16" t="inlineStr">
        <is>
          <t>Mean (a)</t>
        </is>
      </c>
      <c r="B64" s="53" t="n"/>
      <c r="C64" s="53" t="n"/>
      <c r="D64" s="56">
        <f>AVERAGE(D58:D63)</f>
        <v/>
      </c>
      <c r="E64" s="53" t="n"/>
      <c r="F64" s="53" t="n"/>
      <c r="G64" s="56">
        <f>AVERAGE(G58:G63)</f>
        <v/>
      </c>
    </row>
    <row r="65" ht="14.25" customHeight="1" s="54">
      <c r="A65" s="16" t="inlineStr">
        <is>
          <t>Mean (g)</t>
        </is>
      </c>
      <c r="B65" s="53" t="n"/>
      <c r="C65" s="53" t="n"/>
      <c r="D65" s="56">
        <f>GEOMEAN(D58:D63)</f>
        <v/>
      </c>
      <c r="E65" s="53" t="n"/>
      <c r="F65" s="53" t="n"/>
      <c r="G65" s="56">
        <f>GEOMEAN(G58:G63)</f>
        <v/>
      </c>
    </row>
    <row r="66" ht="14.25" customHeight="1" s="54"/>
    <row r="69">
      <c r="A69" t="inlineStr">
        <is>
          <t>Including hallucinations</t>
        </is>
      </c>
    </row>
    <row r="70" ht="29.1" customHeight="1" s="54">
      <c r="A70" s="44" t="inlineStr">
        <is>
          <t>Model 
configuration</t>
        </is>
      </c>
      <c r="B70" t="inlineStr">
        <is>
          <t>L0</t>
        </is>
      </c>
      <c r="C70" t="inlineStr">
        <is>
          <t>G0</t>
        </is>
      </c>
      <c r="D70" t="inlineStr">
        <is>
          <t>M0</t>
        </is>
      </c>
      <c r="E70" t="inlineStr">
        <is>
          <t>Q0</t>
        </is>
      </c>
      <c r="F70" t="inlineStr">
        <is>
          <t>L3</t>
        </is>
      </c>
    </row>
    <row r="71">
      <c r="A71" t="inlineStr">
        <is>
          <t>L0</t>
        </is>
      </c>
      <c r="B71" s="55">
        <f>D9</f>
        <v/>
      </c>
      <c r="C71" s="55">
        <f>D60</f>
        <v/>
      </c>
      <c r="D71" s="55">
        <f>D59</f>
        <v/>
      </c>
      <c r="E71" s="55">
        <f>D58</f>
        <v/>
      </c>
    </row>
    <row r="72">
      <c r="A72" t="inlineStr">
        <is>
          <t>G0</t>
        </is>
      </c>
      <c r="C72" s="55">
        <f>D20</f>
        <v/>
      </c>
      <c r="D72" s="55">
        <f>D63</f>
        <v/>
      </c>
      <c r="E72" s="55">
        <f>D62</f>
        <v/>
      </c>
    </row>
    <row r="73">
      <c r="A73" t="inlineStr">
        <is>
          <t>M0</t>
        </is>
      </c>
      <c r="D73" s="55">
        <f>D31</f>
        <v/>
      </c>
      <c r="E73" s="55">
        <f>D61</f>
        <v/>
      </c>
    </row>
    <row r="74">
      <c r="A74" t="inlineStr">
        <is>
          <t>Q0</t>
        </is>
      </c>
      <c r="E74" s="55">
        <f>D42</f>
        <v/>
      </c>
    </row>
    <row r="75">
      <c r="A75" t="inlineStr">
        <is>
          <t>L3</t>
        </is>
      </c>
      <c r="F75" s="55">
        <f>D53</f>
        <v/>
      </c>
    </row>
    <row r="76">
      <c r="A76" t="inlineStr">
        <is>
          <t>Excluding hallucinations</t>
        </is>
      </c>
    </row>
    <row r="77" ht="29.1" customHeight="1" s="54">
      <c r="A77" s="44" t="inlineStr">
        <is>
          <t>Model 
configuration</t>
        </is>
      </c>
      <c r="B77" t="inlineStr">
        <is>
          <t>L0</t>
        </is>
      </c>
      <c r="C77" t="inlineStr">
        <is>
          <t>G0</t>
        </is>
      </c>
      <c r="D77" t="inlineStr">
        <is>
          <t>M0</t>
        </is>
      </c>
      <c r="E77" t="inlineStr">
        <is>
          <t>Q0</t>
        </is>
      </c>
      <c r="F77" t="inlineStr">
        <is>
          <t>L3</t>
        </is>
      </c>
    </row>
    <row r="78">
      <c r="A78" t="inlineStr">
        <is>
          <t>L0</t>
        </is>
      </c>
      <c r="B78" s="55">
        <f>G9</f>
        <v/>
      </c>
      <c r="C78" s="55">
        <f>G60</f>
        <v/>
      </c>
      <c r="D78" s="55">
        <f>G59</f>
        <v/>
      </c>
      <c r="E78" s="55">
        <f>G58</f>
        <v/>
      </c>
    </row>
    <row r="79">
      <c r="A79" t="inlineStr">
        <is>
          <t>G0</t>
        </is>
      </c>
      <c r="C79" s="55">
        <f>G20</f>
        <v/>
      </c>
      <c r="D79" s="55">
        <f>G63</f>
        <v/>
      </c>
      <c r="E79" s="55">
        <f>G62</f>
        <v/>
      </c>
    </row>
    <row r="80">
      <c r="A80" t="inlineStr">
        <is>
          <t>M0</t>
        </is>
      </c>
      <c r="D80" s="55">
        <f>G31</f>
        <v/>
      </c>
      <c r="E80" s="55">
        <f>G61</f>
        <v/>
      </c>
    </row>
    <row r="81">
      <c r="A81" t="inlineStr">
        <is>
          <t>Q0</t>
        </is>
      </c>
      <c r="E81" s="55">
        <f>G42</f>
        <v/>
      </c>
    </row>
    <row r="82">
      <c r="A82" t="inlineStr">
        <is>
          <t>L3</t>
        </is>
      </c>
      <c r="F82" s="55">
        <f>G53</f>
        <v/>
      </c>
    </row>
  </sheetData>
  <mergeCells count="18">
    <mergeCell ref="A34:A35"/>
    <mergeCell ref="B45:D45"/>
    <mergeCell ref="B23:D23"/>
    <mergeCell ref="A12:A13"/>
    <mergeCell ref="E23:G23"/>
    <mergeCell ref="B1:D1"/>
    <mergeCell ref="A56:A57"/>
    <mergeCell ref="E45:G45"/>
    <mergeCell ref="B56:D56"/>
    <mergeCell ref="A23:A24"/>
    <mergeCell ref="E12:G12"/>
    <mergeCell ref="E34:G34"/>
    <mergeCell ref="E56:G56"/>
    <mergeCell ref="A45:A46"/>
    <mergeCell ref="E1:G1"/>
    <mergeCell ref="B12:D12"/>
    <mergeCell ref="B34:D34"/>
    <mergeCell ref="A1:A2"/>
  </mergeCell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71"/>
  <sheetViews>
    <sheetView zoomScale="85" zoomScaleNormal="85" workbookViewId="0">
      <selection activeCell="A1" sqref="A1"/>
    </sheetView>
  </sheetViews>
  <sheetFormatPr baseColWidth="8" defaultColWidth="8.7109375" defaultRowHeight="14.45"/>
  <cols>
    <col width="9.140625" customWidth="1" style="27" min="2" max="5"/>
    <col width="9.140625" customWidth="1" style="54" min="6" max="6"/>
    <col width="11.7109375" customWidth="1" style="54" min="7" max="7"/>
    <col width="12.7109375" customWidth="1" style="54" min="8" max="34"/>
  </cols>
  <sheetData>
    <row r="1">
      <c r="A1" t="inlineStr">
        <is>
          <t>#</t>
        </is>
      </c>
      <c r="B1" s="27" t="inlineStr">
        <is>
          <t>L3_i</t>
        </is>
      </c>
      <c r="C1" s="27" t="inlineStr">
        <is>
          <t>L3_ii</t>
        </is>
      </c>
      <c r="D1" s="27" t="inlineStr">
        <is>
          <t>L3_iii</t>
        </is>
      </c>
      <c r="E1" s="27" t="inlineStr">
        <is>
          <t>L3_iv</t>
        </is>
      </c>
      <c r="F1" t="inlineStr">
        <is>
          <t>Hall.</t>
        </is>
      </c>
      <c r="H1" t="inlineStr">
        <is>
          <t>L3_i &amp;&amp; L3_ii</t>
        </is>
      </c>
      <c r="I1" t="inlineStr">
        <is>
          <t>L3_i || L3_ii</t>
        </is>
      </c>
      <c r="J1" t="inlineStr">
        <is>
          <t>L3_i &amp;&amp; L3_iii</t>
        </is>
      </c>
      <c r="K1" t="inlineStr">
        <is>
          <t>L3_i || L3_iii</t>
        </is>
      </c>
      <c r="L1" t="inlineStr">
        <is>
          <t>L3_i &amp;&amp; L3_iv</t>
        </is>
      </c>
      <c r="M1" t="inlineStr">
        <is>
          <t>L3_i || L3_iv</t>
        </is>
      </c>
      <c r="N1" t="inlineStr">
        <is>
          <t>L3_ii &amp;&amp; L3_iii</t>
        </is>
      </c>
      <c r="O1" t="inlineStr">
        <is>
          <t>L3_ii || L3_iii</t>
        </is>
      </c>
      <c r="P1" t="inlineStr">
        <is>
          <t>L3_ii &amp;&amp; L3_iv</t>
        </is>
      </c>
      <c r="Q1" t="inlineStr">
        <is>
          <t>L3_ii || L3_iv</t>
        </is>
      </c>
      <c r="R1" t="inlineStr">
        <is>
          <t>L3_iii &amp;&amp; L3_iv</t>
        </is>
      </c>
      <c r="S1" t="inlineStr">
        <is>
          <t>L3_iii || L3_iv</t>
        </is>
      </c>
      <c r="V1" t="inlineStr">
        <is>
          <t>L3_i &amp;&amp; L3_ii</t>
        </is>
      </c>
      <c r="W1" t="inlineStr">
        <is>
          <t>L3_i || L3_ii</t>
        </is>
      </c>
      <c r="X1" t="inlineStr">
        <is>
          <t>L3_i &amp;&amp; L3_iii</t>
        </is>
      </c>
      <c r="Y1" t="inlineStr">
        <is>
          <t>L3_i || L3_iii</t>
        </is>
      </c>
      <c r="Z1" t="inlineStr">
        <is>
          <t>L3_i &amp;&amp; L3_iv</t>
        </is>
      </c>
      <c r="AA1" t="inlineStr">
        <is>
          <t>L3_i || L3_iv</t>
        </is>
      </c>
      <c r="AB1" t="inlineStr">
        <is>
          <t>L3_ii &amp;&amp; L3_iii</t>
        </is>
      </c>
      <c r="AC1" t="inlineStr">
        <is>
          <t>L3_ii || L3_iii</t>
        </is>
      </c>
      <c r="AD1" t="inlineStr">
        <is>
          <t>L3_ii &amp;&amp; L3_iv</t>
        </is>
      </c>
      <c r="AE1" t="inlineStr">
        <is>
          <t>L3_ii || L3_iv</t>
        </is>
      </c>
      <c r="AF1" t="inlineStr">
        <is>
          <t>L3_iii &amp;&amp; L3_iv</t>
        </is>
      </c>
      <c r="AG1" t="inlineStr">
        <is>
          <t>L3_iii || L3_iv</t>
        </is>
      </c>
    </row>
    <row r="2">
      <c r="A2" t="inlineStr">
        <is>
          <t>H.1.1</t>
        </is>
      </c>
      <c r="B2" s="27" t="inlineStr">
        <is>
          <t>X</t>
        </is>
      </c>
      <c r="C2" s="27" t="inlineStr">
        <is>
          <t>X</t>
        </is>
      </c>
      <c r="D2" s="27" t="inlineStr">
        <is>
          <t>X</t>
        </is>
      </c>
      <c r="E2" s="27" t="inlineStr">
        <is>
          <t>X</t>
        </is>
      </c>
      <c r="F2" s="47" t="inlineStr">
        <is>
          <t>No</t>
        </is>
      </c>
      <c r="H2">
        <f>AND(B2&lt;&gt;"",C2&lt;&gt;"")</f>
        <v/>
      </c>
      <c r="I2">
        <f>OR(B2&lt;&gt;"",C2&lt;&gt;"")</f>
        <v/>
      </c>
      <c r="J2">
        <f>AND(B2&lt;&gt;"",D2&lt;&gt;"")</f>
        <v/>
      </c>
      <c r="K2">
        <f>OR(B2&lt;&gt;"",D2&lt;&gt;"")</f>
        <v/>
      </c>
      <c r="L2">
        <f>AND(B2&lt;&gt;"",E2&lt;&gt;"")</f>
        <v/>
      </c>
      <c r="M2">
        <f>OR(B2&lt;&gt;"",E2&lt;&gt;"")</f>
        <v/>
      </c>
      <c r="N2">
        <f>AND(C2&lt;&gt;"",D2&lt;&gt;"")</f>
        <v/>
      </c>
      <c r="O2">
        <f>OR(C2&lt;&gt;"",D2&lt;&gt;"")</f>
        <v/>
      </c>
      <c r="P2">
        <f>AND(C2&lt;&gt;"",E2&lt;&gt;"")</f>
        <v/>
      </c>
      <c r="Q2">
        <f>OR(C2&lt;&gt;"",E2&lt;&gt;"")</f>
        <v/>
      </c>
      <c r="R2">
        <f>AND(D2&lt;&gt;"",E2&lt;&gt;"")</f>
        <v/>
      </c>
      <c r="S2">
        <f>OR(D2&lt;&gt;"",E2&lt;&gt;"")</f>
        <v/>
      </c>
      <c r="V2">
        <f>AND(B2&lt;&gt;"",C2&lt;&gt;"",F2="No")</f>
        <v/>
      </c>
      <c r="W2">
        <f>AND(OR(B2&lt;&gt;"",C2&lt;&gt;""),F2="No")</f>
        <v/>
      </c>
      <c r="X2">
        <f>AND(B2&lt;&gt;"",D2&lt;&gt;"",F2="No")</f>
        <v/>
      </c>
      <c r="Y2">
        <f>AND(OR(B2&lt;&gt;"",D2&lt;&gt;""),F2="No")</f>
        <v/>
      </c>
      <c r="Z2">
        <f>AND(B2&lt;&gt;"",E2&lt;&gt;"",F2="No")</f>
        <v/>
      </c>
      <c r="AA2">
        <f>AND(OR(B2&lt;&gt;"",E2&lt;&gt;""),F2="No")</f>
        <v/>
      </c>
      <c r="AB2">
        <f>AND(C2&lt;&gt;"",D2&lt;&gt;"",F2="No")</f>
        <v/>
      </c>
      <c r="AC2">
        <f>AND(OR(C2&lt;&gt;"",D2&lt;&gt;""),F2="No")</f>
        <v/>
      </c>
      <c r="AD2">
        <f>AND(C2&lt;&gt;"",E2&lt;&gt;"",F2="No")</f>
        <v/>
      </c>
      <c r="AE2">
        <f>AND(OR(C2&lt;&gt;"",E2&lt;&gt;""),F2="No")</f>
        <v/>
      </c>
      <c r="AF2">
        <f>AND(D2&lt;&gt;"",E2&lt;&gt;"",F2="No")</f>
        <v/>
      </c>
      <c r="AG2">
        <f>AND(OR(D2&lt;&gt;"",E2&lt;&gt;""),F2="No")</f>
        <v/>
      </c>
    </row>
    <row r="3">
      <c r="A3" s="44" t="inlineStr">
        <is>
          <t>GS.1.3</t>
        </is>
      </c>
      <c r="C3" s="27" t="inlineStr">
        <is>
          <t>X</t>
        </is>
      </c>
      <c r="E3" s="27" t="inlineStr">
        <is>
          <t>X</t>
        </is>
      </c>
      <c r="F3" s="47" t="inlineStr">
        <is>
          <t>No</t>
        </is>
      </c>
      <c r="H3">
        <f>AND(B3&lt;&gt;"",C3&lt;&gt;"")</f>
        <v/>
      </c>
      <c r="I3">
        <f>OR(B3&lt;&gt;"",C3&lt;&gt;"")</f>
        <v/>
      </c>
      <c r="J3">
        <f>AND(B3&lt;&gt;"",D3&lt;&gt;"")</f>
        <v/>
      </c>
      <c r="K3">
        <f>OR(B3&lt;&gt;"",D3&lt;&gt;"")</f>
        <v/>
      </c>
      <c r="L3">
        <f>AND(B3&lt;&gt;"",E3&lt;&gt;"")</f>
        <v/>
      </c>
      <c r="M3">
        <f>OR(B3&lt;&gt;"",E3&lt;&gt;"")</f>
        <v/>
      </c>
      <c r="N3">
        <f>AND(C3&lt;&gt;"",D3&lt;&gt;"")</f>
        <v/>
      </c>
      <c r="O3">
        <f>OR(C3&lt;&gt;"",D3&lt;&gt;"")</f>
        <v/>
      </c>
      <c r="P3">
        <f>AND(C3&lt;&gt;"",E3&lt;&gt;"")</f>
        <v/>
      </c>
      <c r="Q3">
        <f>OR(C3&lt;&gt;"",E3&lt;&gt;"")</f>
        <v/>
      </c>
      <c r="R3">
        <f>AND(D3&lt;&gt;"",E3&lt;&gt;"")</f>
        <v/>
      </c>
      <c r="S3">
        <f>OR(D3&lt;&gt;"",E3&lt;&gt;"")</f>
        <v/>
      </c>
      <c r="V3">
        <f>AND(B3&lt;&gt;"",C3&lt;&gt;"",F3="No")</f>
        <v/>
      </c>
      <c r="W3">
        <f>AND(OR(B3&lt;&gt;"",C3&lt;&gt;""),F3="No")</f>
        <v/>
      </c>
      <c r="X3">
        <f>AND(B3&lt;&gt;"",D3&lt;&gt;"",F3="No")</f>
        <v/>
      </c>
      <c r="Y3">
        <f>AND(OR(B3&lt;&gt;"",D3&lt;&gt;""),F3="No")</f>
        <v/>
      </c>
      <c r="Z3">
        <f>AND(B3&lt;&gt;"",E3&lt;&gt;"",F3="No")</f>
        <v/>
      </c>
      <c r="AA3">
        <f>AND(OR(B3&lt;&gt;"",E3&lt;&gt;""),F3="No")</f>
        <v/>
      </c>
      <c r="AB3">
        <f>AND(C3&lt;&gt;"",D3&lt;&gt;"",F3="No")</f>
        <v/>
      </c>
      <c r="AC3">
        <f>AND(OR(C3&lt;&gt;"",D3&lt;&gt;""),F3="No")</f>
        <v/>
      </c>
      <c r="AD3">
        <f>AND(C3&lt;&gt;"",E3&lt;&gt;"",F3="No")</f>
        <v/>
      </c>
      <c r="AE3">
        <f>AND(OR(C3&lt;&gt;"",E3&lt;&gt;""),F3="No")</f>
        <v/>
      </c>
      <c r="AF3">
        <f>AND(D3&lt;&gt;"",E3&lt;&gt;"",F3="No")</f>
        <v/>
      </c>
      <c r="AG3">
        <f>AND(OR(D3&lt;&gt;"",E3&lt;&gt;""),F3="No")</f>
        <v/>
      </c>
    </row>
    <row r="4">
      <c r="A4" t="inlineStr">
        <is>
          <t>L3.1.2</t>
        </is>
      </c>
      <c r="D4" s="27" t="inlineStr">
        <is>
          <t>X</t>
        </is>
      </c>
      <c r="F4" s="47" t="inlineStr">
        <is>
          <t>Yes</t>
        </is>
      </c>
      <c r="H4">
        <f>AND(B4&lt;&gt;"",C4&lt;&gt;"")</f>
        <v/>
      </c>
      <c r="I4">
        <f>OR(B4&lt;&gt;"",C4&lt;&gt;"")</f>
        <v/>
      </c>
      <c r="J4">
        <f>AND(B4&lt;&gt;"",D4&lt;&gt;"")</f>
        <v/>
      </c>
      <c r="K4">
        <f>OR(B4&lt;&gt;"",D4&lt;&gt;"")</f>
        <v/>
      </c>
      <c r="L4">
        <f>AND(B4&lt;&gt;"",E4&lt;&gt;"")</f>
        <v/>
      </c>
      <c r="M4">
        <f>OR(B4&lt;&gt;"",E4&lt;&gt;"")</f>
        <v/>
      </c>
      <c r="N4">
        <f>AND(C4&lt;&gt;"",D4&lt;&gt;"")</f>
        <v/>
      </c>
      <c r="O4">
        <f>OR(C4&lt;&gt;"",D4&lt;&gt;"")</f>
        <v/>
      </c>
      <c r="P4">
        <f>AND(C4&lt;&gt;"",E4&lt;&gt;"")</f>
        <v/>
      </c>
      <c r="Q4">
        <f>OR(C4&lt;&gt;"",E4&lt;&gt;"")</f>
        <v/>
      </c>
      <c r="R4">
        <f>AND(D4&lt;&gt;"",E4&lt;&gt;"")</f>
        <v/>
      </c>
      <c r="S4">
        <f>OR(D4&lt;&gt;"",E4&lt;&gt;"")</f>
        <v/>
      </c>
      <c r="V4">
        <f>AND(B4&lt;&gt;"",C4&lt;&gt;"",F4="No")</f>
        <v/>
      </c>
      <c r="W4">
        <f>AND(OR(B4&lt;&gt;"",C4&lt;&gt;""),F4="No")</f>
        <v/>
      </c>
      <c r="X4">
        <f>AND(B4&lt;&gt;"",D4&lt;&gt;"",F4="No")</f>
        <v/>
      </c>
      <c r="Y4">
        <f>AND(OR(B4&lt;&gt;"",D4&lt;&gt;""),F4="No")</f>
        <v/>
      </c>
      <c r="Z4">
        <f>AND(B4&lt;&gt;"",E4&lt;&gt;"",F4="No")</f>
        <v/>
      </c>
      <c r="AA4">
        <f>AND(OR(B4&lt;&gt;"",E4&lt;&gt;""),F4="No")</f>
        <v/>
      </c>
      <c r="AB4">
        <f>AND(C4&lt;&gt;"",D4&lt;&gt;"",F4="No")</f>
        <v/>
      </c>
      <c r="AC4">
        <f>AND(OR(C4&lt;&gt;"",D4&lt;&gt;""),F4="No")</f>
        <v/>
      </c>
      <c r="AD4">
        <f>AND(C4&lt;&gt;"",E4&lt;&gt;"",F4="No")</f>
        <v/>
      </c>
      <c r="AE4">
        <f>AND(OR(C4&lt;&gt;"",E4&lt;&gt;""),F4="No")</f>
        <v/>
      </c>
      <c r="AF4">
        <f>AND(D4&lt;&gt;"",E4&lt;&gt;"",F4="No")</f>
        <v/>
      </c>
      <c r="AG4">
        <f>AND(OR(D4&lt;&gt;"",E4&lt;&gt;""),F4="No")</f>
        <v/>
      </c>
    </row>
    <row r="5">
      <c r="A5" t="inlineStr">
        <is>
          <t>L3.1.5</t>
        </is>
      </c>
      <c r="C5" s="27" t="inlineStr">
        <is>
          <t>X</t>
        </is>
      </c>
      <c r="F5" s="47" t="inlineStr">
        <is>
          <t>Yes</t>
        </is>
      </c>
      <c r="H5">
        <f>AND(B5&lt;&gt;"",C5&lt;&gt;"")</f>
        <v/>
      </c>
      <c r="I5">
        <f>OR(B5&lt;&gt;"",C5&lt;&gt;"")</f>
        <v/>
      </c>
      <c r="J5">
        <f>AND(B5&lt;&gt;"",D5&lt;&gt;"")</f>
        <v/>
      </c>
      <c r="K5">
        <f>OR(B5&lt;&gt;"",D5&lt;&gt;"")</f>
        <v/>
      </c>
      <c r="L5">
        <f>AND(B5&lt;&gt;"",E5&lt;&gt;"")</f>
        <v/>
      </c>
      <c r="M5">
        <f>OR(B5&lt;&gt;"",E5&lt;&gt;"")</f>
        <v/>
      </c>
      <c r="N5">
        <f>AND(C5&lt;&gt;"",D5&lt;&gt;"")</f>
        <v/>
      </c>
      <c r="O5">
        <f>OR(C5&lt;&gt;"",D5&lt;&gt;"")</f>
        <v/>
      </c>
      <c r="P5">
        <f>AND(C5&lt;&gt;"",E5&lt;&gt;"")</f>
        <v/>
      </c>
      <c r="Q5">
        <f>OR(C5&lt;&gt;"",E5&lt;&gt;"")</f>
        <v/>
      </c>
      <c r="R5">
        <f>AND(D5&lt;&gt;"",E5&lt;&gt;"")</f>
        <v/>
      </c>
      <c r="S5">
        <f>OR(D5&lt;&gt;"",E5&lt;&gt;"")</f>
        <v/>
      </c>
      <c r="V5">
        <f>AND(B5&lt;&gt;"",C5&lt;&gt;"",F5="No")</f>
        <v/>
      </c>
      <c r="W5">
        <f>AND(OR(B5&lt;&gt;"",C5&lt;&gt;""),F5="No")</f>
        <v/>
      </c>
      <c r="X5">
        <f>AND(B5&lt;&gt;"",D5&lt;&gt;"",F5="No")</f>
        <v/>
      </c>
      <c r="Y5">
        <f>AND(OR(B5&lt;&gt;"",D5&lt;&gt;""),F5="No")</f>
        <v/>
      </c>
      <c r="Z5">
        <f>AND(B5&lt;&gt;"",E5&lt;&gt;"",F5="No")</f>
        <v/>
      </c>
      <c r="AA5">
        <f>AND(OR(B5&lt;&gt;"",E5&lt;&gt;""),F5="No")</f>
        <v/>
      </c>
      <c r="AB5">
        <f>AND(C5&lt;&gt;"",D5&lt;&gt;"",F5="No")</f>
        <v/>
      </c>
      <c r="AC5">
        <f>AND(OR(C5&lt;&gt;"",D5&lt;&gt;""),F5="No")</f>
        <v/>
      </c>
      <c r="AD5">
        <f>AND(C5&lt;&gt;"",E5&lt;&gt;"",F5="No")</f>
        <v/>
      </c>
      <c r="AE5">
        <f>AND(OR(C5&lt;&gt;"",E5&lt;&gt;""),F5="No")</f>
        <v/>
      </c>
      <c r="AF5">
        <f>AND(D5&lt;&gt;"",E5&lt;&gt;"",F5="No")</f>
        <v/>
      </c>
      <c r="AG5">
        <f>AND(OR(D5&lt;&gt;"",E5&lt;&gt;""),F5="No")</f>
        <v/>
      </c>
    </row>
    <row r="6">
      <c r="A6" t="inlineStr">
        <is>
          <t>L3.1.6</t>
        </is>
      </c>
      <c r="E6" s="27" t="inlineStr">
        <is>
          <t>X</t>
        </is>
      </c>
      <c r="F6" s="47" t="inlineStr">
        <is>
          <t>Yes</t>
        </is>
      </c>
      <c r="H6">
        <f>AND(B6&lt;&gt;"",C6&lt;&gt;"")</f>
        <v/>
      </c>
      <c r="I6">
        <f>OR(B6&lt;&gt;"",C6&lt;&gt;"")</f>
        <v/>
      </c>
      <c r="J6">
        <f>AND(B6&lt;&gt;"",D6&lt;&gt;"")</f>
        <v/>
      </c>
      <c r="K6">
        <f>OR(B6&lt;&gt;"",D6&lt;&gt;"")</f>
        <v/>
      </c>
      <c r="L6">
        <f>AND(B6&lt;&gt;"",E6&lt;&gt;"")</f>
        <v/>
      </c>
      <c r="M6">
        <f>OR(B6&lt;&gt;"",E6&lt;&gt;"")</f>
        <v/>
      </c>
      <c r="N6">
        <f>AND(C6&lt;&gt;"",D6&lt;&gt;"")</f>
        <v/>
      </c>
      <c r="O6">
        <f>OR(C6&lt;&gt;"",D6&lt;&gt;"")</f>
        <v/>
      </c>
      <c r="P6">
        <f>AND(C6&lt;&gt;"",E6&lt;&gt;"")</f>
        <v/>
      </c>
      <c r="Q6">
        <f>OR(C6&lt;&gt;"",E6&lt;&gt;"")</f>
        <v/>
      </c>
      <c r="R6">
        <f>AND(D6&lt;&gt;"",E6&lt;&gt;"")</f>
        <v/>
      </c>
      <c r="S6">
        <f>OR(D6&lt;&gt;"",E6&lt;&gt;"")</f>
        <v/>
      </c>
      <c r="V6">
        <f>AND(B6&lt;&gt;"",C6&lt;&gt;"",F6="No")</f>
        <v/>
      </c>
      <c r="W6">
        <f>AND(OR(B6&lt;&gt;"",C6&lt;&gt;""),F6="No")</f>
        <v/>
      </c>
      <c r="X6">
        <f>AND(B6&lt;&gt;"",D6&lt;&gt;"",F6="No")</f>
        <v/>
      </c>
      <c r="Y6">
        <f>AND(OR(B6&lt;&gt;"",D6&lt;&gt;""),F6="No")</f>
        <v/>
      </c>
      <c r="Z6">
        <f>AND(B6&lt;&gt;"",E6&lt;&gt;"",F6="No")</f>
        <v/>
      </c>
      <c r="AA6">
        <f>AND(OR(B6&lt;&gt;"",E6&lt;&gt;""),F6="No")</f>
        <v/>
      </c>
      <c r="AB6">
        <f>AND(C6&lt;&gt;"",D6&lt;&gt;"",F6="No")</f>
        <v/>
      </c>
      <c r="AC6">
        <f>AND(OR(C6&lt;&gt;"",D6&lt;&gt;""),F6="No")</f>
        <v/>
      </c>
      <c r="AD6">
        <f>AND(C6&lt;&gt;"",E6&lt;&gt;"",F6="No")</f>
        <v/>
      </c>
      <c r="AE6">
        <f>AND(OR(C6&lt;&gt;"",E6&lt;&gt;""),F6="No")</f>
        <v/>
      </c>
      <c r="AF6">
        <f>AND(D6&lt;&gt;"",E6&lt;&gt;"",F6="No")</f>
        <v/>
      </c>
      <c r="AG6">
        <f>AND(OR(D6&lt;&gt;"",E6&lt;&gt;""),F6="No")</f>
        <v/>
      </c>
    </row>
    <row r="7">
      <c r="A7" t="inlineStr">
        <is>
          <t>H.2.1</t>
        </is>
      </c>
      <c r="B7" s="27" t="inlineStr">
        <is>
          <t>X</t>
        </is>
      </c>
      <c r="C7" s="27" t="inlineStr">
        <is>
          <t>X</t>
        </is>
      </c>
      <c r="D7" s="27" t="inlineStr">
        <is>
          <t>X</t>
        </is>
      </c>
      <c r="E7" s="27" t="inlineStr">
        <is>
          <t>X</t>
        </is>
      </c>
      <c r="F7" s="47" t="inlineStr">
        <is>
          <t>No</t>
        </is>
      </c>
      <c r="H7">
        <f>AND(B7&lt;&gt;"",C7&lt;&gt;"")</f>
        <v/>
      </c>
      <c r="I7">
        <f>OR(B7&lt;&gt;"",C7&lt;&gt;"")</f>
        <v/>
      </c>
      <c r="J7">
        <f>AND(B7&lt;&gt;"",D7&lt;&gt;"")</f>
        <v/>
      </c>
      <c r="K7">
        <f>OR(B7&lt;&gt;"",D7&lt;&gt;"")</f>
        <v/>
      </c>
      <c r="L7">
        <f>AND(B7&lt;&gt;"",E7&lt;&gt;"")</f>
        <v/>
      </c>
      <c r="M7">
        <f>OR(B7&lt;&gt;"",E7&lt;&gt;"")</f>
        <v/>
      </c>
      <c r="N7">
        <f>AND(C7&lt;&gt;"",D7&lt;&gt;"")</f>
        <v/>
      </c>
      <c r="O7">
        <f>OR(C7&lt;&gt;"",D7&lt;&gt;"")</f>
        <v/>
      </c>
      <c r="P7">
        <f>AND(C7&lt;&gt;"",E7&lt;&gt;"")</f>
        <v/>
      </c>
      <c r="Q7">
        <f>OR(C7&lt;&gt;"",E7&lt;&gt;"")</f>
        <v/>
      </c>
      <c r="R7">
        <f>AND(D7&lt;&gt;"",E7&lt;&gt;"")</f>
        <v/>
      </c>
      <c r="S7">
        <f>OR(D7&lt;&gt;"",E7&lt;&gt;"")</f>
        <v/>
      </c>
      <c r="V7">
        <f>AND(B7&lt;&gt;"",C7&lt;&gt;"",F7="No")</f>
        <v/>
      </c>
      <c r="W7">
        <f>AND(OR(B7&lt;&gt;"",C7&lt;&gt;""),F7="No")</f>
        <v/>
      </c>
      <c r="X7">
        <f>AND(B7&lt;&gt;"",D7&lt;&gt;"",F7="No")</f>
        <v/>
      </c>
      <c r="Y7">
        <f>AND(OR(B7&lt;&gt;"",D7&lt;&gt;""),F7="No")</f>
        <v/>
      </c>
      <c r="Z7">
        <f>AND(B7&lt;&gt;"",E7&lt;&gt;"",F7="No")</f>
        <v/>
      </c>
      <c r="AA7">
        <f>AND(OR(B7&lt;&gt;"",E7&lt;&gt;""),F7="No")</f>
        <v/>
      </c>
      <c r="AB7">
        <f>AND(C7&lt;&gt;"",D7&lt;&gt;"",F7="No")</f>
        <v/>
      </c>
      <c r="AC7">
        <f>AND(OR(C7&lt;&gt;"",D7&lt;&gt;""),F7="No")</f>
        <v/>
      </c>
      <c r="AD7">
        <f>AND(C7&lt;&gt;"",E7&lt;&gt;"",F7="No")</f>
        <v/>
      </c>
      <c r="AE7">
        <f>AND(OR(C7&lt;&gt;"",E7&lt;&gt;""),F7="No")</f>
        <v/>
      </c>
      <c r="AF7">
        <f>AND(D7&lt;&gt;"",E7&lt;&gt;"",F7="No")</f>
        <v/>
      </c>
      <c r="AG7">
        <f>AND(OR(D7&lt;&gt;"",E7&lt;&gt;""),F7="No")</f>
        <v/>
      </c>
    </row>
    <row r="8">
      <c r="A8" t="inlineStr">
        <is>
          <t>L3.2.4</t>
        </is>
      </c>
      <c r="B8" s="27" t="inlineStr">
        <is>
          <t>X</t>
        </is>
      </c>
      <c r="F8" s="47" t="inlineStr">
        <is>
          <t>Yes</t>
        </is>
      </c>
      <c r="H8">
        <f>AND(B8&lt;&gt;"",C8&lt;&gt;"")</f>
        <v/>
      </c>
      <c r="I8">
        <f>OR(B8&lt;&gt;"",C8&lt;&gt;"")</f>
        <v/>
      </c>
      <c r="J8">
        <f>AND(B8&lt;&gt;"",D8&lt;&gt;"")</f>
        <v/>
      </c>
      <c r="K8">
        <f>OR(B8&lt;&gt;"",D8&lt;&gt;"")</f>
        <v/>
      </c>
      <c r="L8">
        <f>AND(B8&lt;&gt;"",E8&lt;&gt;"")</f>
        <v/>
      </c>
      <c r="M8">
        <f>OR(B8&lt;&gt;"",E8&lt;&gt;"")</f>
        <v/>
      </c>
      <c r="N8">
        <f>AND(C8&lt;&gt;"",D8&lt;&gt;"")</f>
        <v/>
      </c>
      <c r="O8">
        <f>OR(C8&lt;&gt;"",D8&lt;&gt;"")</f>
        <v/>
      </c>
      <c r="P8">
        <f>AND(C8&lt;&gt;"",E8&lt;&gt;"")</f>
        <v/>
      </c>
      <c r="Q8">
        <f>OR(C8&lt;&gt;"",E8&lt;&gt;"")</f>
        <v/>
      </c>
      <c r="R8">
        <f>AND(D8&lt;&gt;"",E8&lt;&gt;"")</f>
        <v/>
      </c>
      <c r="S8">
        <f>OR(D8&lt;&gt;"",E8&lt;&gt;"")</f>
        <v/>
      </c>
      <c r="V8">
        <f>AND(B8&lt;&gt;"",C8&lt;&gt;"",F8="No")</f>
        <v/>
      </c>
      <c r="W8">
        <f>AND(OR(B8&lt;&gt;"",C8&lt;&gt;""),F8="No")</f>
        <v/>
      </c>
      <c r="X8">
        <f>AND(B8&lt;&gt;"",D8&lt;&gt;"",F8="No")</f>
        <v/>
      </c>
      <c r="Y8">
        <f>AND(OR(B8&lt;&gt;"",D8&lt;&gt;""),F8="No")</f>
        <v/>
      </c>
      <c r="Z8">
        <f>AND(B8&lt;&gt;"",E8&lt;&gt;"",F8="No")</f>
        <v/>
      </c>
      <c r="AA8">
        <f>AND(OR(B8&lt;&gt;"",E8&lt;&gt;""),F8="No")</f>
        <v/>
      </c>
      <c r="AB8">
        <f>AND(C8&lt;&gt;"",D8&lt;&gt;"",F8="No")</f>
        <v/>
      </c>
      <c r="AC8">
        <f>AND(OR(C8&lt;&gt;"",D8&lt;&gt;""),F8="No")</f>
        <v/>
      </c>
      <c r="AD8">
        <f>AND(C8&lt;&gt;"",E8&lt;&gt;"",F8="No")</f>
        <v/>
      </c>
      <c r="AE8">
        <f>AND(OR(C8&lt;&gt;"",E8&lt;&gt;""),F8="No")</f>
        <v/>
      </c>
      <c r="AF8">
        <f>AND(D8&lt;&gt;"",E8&lt;&gt;"",F8="No")</f>
        <v/>
      </c>
      <c r="AG8">
        <f>AND(OR(D8&lt;&gt;"",E8&lt;&gt;""),F8="No")</f>
        <v/>
      </c>
    </row>
    <row r="9">
      <c r="A9" t="inlineStr">
        <is>
          <t>L3.3.1</t>
        </is>
      </c>
      <c r="B9" s="27" t="inlineStr">
        <is>
          <t>X</t>
        </is>
      </c>
      <c r="F9" s="47" t="inlineStr">
        <is>
          <t>Yes</t>
        </is>
      </c>
      <c r="H9">
        <f>AND(B9&lt;&gt;"",C9&lt;&gt;"")</f>
        <v/>
      </c>
      <c r="I9">
        <f>OR(B9&lt;&gt;"",C9&lt;&gt;"")</f>
        <v/>
      </c>
      <c r="J9">
        <f>AND(B9&lt;&gt;"",D9&lt;&gt;"")</f>
        <v/>
      </c>
      <c r="K9">
        <f>OR(B9&lt;&gt;"",D9&lt;&gt;"")</f>
        <v/>
      </c>
      <c r="L9">
        <f>AND(B9&lt;&gt;"",E9&lt;&gt;"")</f>
        <v/>
      </c>
      <c r="M9">
        <f>OR(B9&lt;&gt;"",E9&lt;&gt;"")</f>
        <v/>
      </c>
      <c r="N9">
        <f>AND(C9&lt;&gt;"",D9&lt;&gt;"")</f>
        <v/>
      </c>
      <c r="O9">
        <f>OR(C9&lt;&gt;"",D9&lt;&gt;"")</f>
        <v/>
      </c>
      <c r="P9">
        <f>AND(C9&lt;&gt;"",E9&lt;&gt;"")</f>
        <v/>
      </c>
      <c r="Q9">
        <f>OR(C9&lt;&gt;"",E9&lt;&gt;"")</f>
        <v/>
      </c>
      <c r="R9">
        <f>AND(D9&lt;&gt;"",E9&lt;&gt;"")</f>
        <v/>
      </c>
      <c r="S9">
        <f>OR(D9&lt;&gt;"",E9&lt;&gt;"")</f>
        <v/>
      </c>
      <c r="V9">
        <f>AND(B9&lt;&gt;"",C9&lt;&gt;"",F9="No")</f>
        <v/>
      </c>
      <c r="W9">
        <f>AND(OR(B9&lt;&gt;"",C9&lt;&gt;""),F9="No")</f>
        <v/>
      </c>
      <c r="X9">
        <f>AND(B9&lt;&gt;"",D9&lt;&gt;"",F9="No")</f>
        <v/>
      </c>
      <c r="Y9">
        <f>AND(OR(B9&lt;&gt;"",D9&lt;&gt;""),F9="No")</f>
        <v/>
      </c>
      <c r="Z9">
        <f>AND(B9&lt;&gt;"",E9&lt;&gt;"",F9="No")</f>
        <v/>
      </c>
      <c r="AA9">
        <f>AND(OR(B9&lt;&gt;"",E9&lt;&gt;""),F9="No")</f>
        <v/>
      </c>
      <c r="AB9">
        <f>AND(C9&lt;&gt;"",D9&lt;&gt;"",F9="No")</f>
        <v/>
      </c>
      <c r="AC9">
        <f>AND(OR(C9&lt;&gt;"",D9&lt;&gt;""),F9="No")</f>
        <v/>
      </c>
      <c r="AD9">
        <f>AND(C9&lt;&gt;"",E9&lt;&gt;"",F9="No")</f>
        <v/>
      </c>
      <c r="AE9">
        <f>AND(OR(C9&lt;&gt;"",E9&lt;&gt;""),F9="No")</f>
        <v/>
      </c>
      <c r="AF9">
        <f>AND(D9&lt;&gt;"",E9&lt;&gt;"",F9="No")</f>
        <v/>
      </c>
      <c r="AG9">
        <f>AND(OR(D9&lt;&gt;"",E9&lt;&gt;""),F9="No")</f>
        <v/>
      </c>
    </row>
    <row r="10">
      <c r="A10" t="inlineStr">
        <is>
          <t>H.3.1</t>
        </is>
      </c>
      <c r="B10" s="27" t="inlineStr">
        <is>
          <t>X</t>
        </is>
      </c>
      <c r="C10" s="27" t="inlineStr">
        <is>
          <t>X</t>
        </is>
      </c>
      <c r="D10" s="27" t="inlineStr">
        <is>
          <t>X</t>
        </is>
      </c>
      <c r="E10" s="27" t="inlineStr">
        <is>
          <t>X</t>
        </is>
      </c>
      <c r="F10" s="47" t="inlineStr">
        <is>
          <t>No</t>
        </is>
      </c>
      <c r="H10">
        <f>AND(B10&lt;&gt;"",C10&lt;&gt;"")</f>
        <v/>
      </c>
      <c r="I10">
        <f>OR(B10&lt;&gt;"",C10&lt;&gt;"")</f>
        <v/>
      </c>
      <c r="J10">
        <f>AND(B10&lt;&gt;"",D10&lt;&gt;"")</f>
        <v/>
      </c>
      <c r="K10">
        <f>OR(B10&lt;&gt;"",D10&lt;&gt;"")</f>
        <v/>
      </c>
      <c r="L10">
        <f>AND(B10&lt;&gt;"",E10&lt;&gt;"")</f>
        <v/>
      </c>
      <c r="M10">
        <f>OR(B10&lt;&gt;"",E10&lt;&gt;"")</f>
        <v/>
      </c>
      <c r="N10">
        <f>AND(C10&lt;&gt;"",D10&lt;&gt;"")</f>
        <v/>
      </c>
      <c r="O10">
        <f>OR(C10&lt;&gt;"",D10&lt;&gt;"")</f>
        <v/>
      </c>
      <c r="P10">
        <f>AND(C10&lt;&gt;"",E10&lt;&gt;"")</f>
        <v/>
      </c>
      <c r="Q10">
        <f>OR(C10&lt;&gt;"",E10&lt;&gt;"")</f>
        <v/>
      </c>
      <c r="R10">
        <f>AND(D10&lt;&gt;"",E10&lt;&gt;"")</f>
        <v/>
      </c>
      <c r="S10">
        <f>OR(D10&lt;&gt;"",E10&lt;&gt;"")</f>
        <v/>
      </c>
      <c r="V10">
        <f>AND(B10&lt;&gt;"",C10&lt;&gt;"",F10="No")</f>
        <v/>
      </c>
      <c r="W10">
        <f>AND(OR(B10&lt;&gt;"",C10&lt;&gt;""),F10="No")</f>
        <v/>
      </c>
      <c r="X10">
        <f>AND(B10&lt;&gt;"",D10&lt;&gt;"",F10="No")</f>
        <v/>
      </c>
      <c r="Y10">
        <f>AND(OR(B10&lt;&gt;"",D10&lt;&gt;""),F10="No")</f>
        <v/>
      </c>
      <c r="Z10">
        <f>AND(B10&lt;&gt;"",E10&lt;&gt;"",F10="No")</f>
        <v/>
      </c>
      <c r="AA10">
        <f>AND(OR(B10&lt;&gt;"",E10&lt;&gt;""),F10="No")</f>
        <v/>
      </c>
      <c r="AB10">
        <f>AND(C10&lt;&gt;"",D10&lt;&gt;"",F10="No")</f>
        <v/>
      </c>
      <c r="AC10">
        <f>AND(OR(C10&lt;&gt;"",D10&lt;&gt;""),F10="No")</f>
        <v/>
      </c>
      <c r="AD10">
        <f>AND(C10&lt;&gt;"",E10&lt;&gt;"",F10="No")</f>
        <v/>
      </c>
      <c r="AE10">
        <f>AND(OR(C10&lt;&gt;"",E10&lt;&gt;""),F10="No")</f>
        <v/>
      </c>
      <c r="AF10">
        <f>AND(D10&lt;&gt;"",E10&lt;&gt;"",F10="No")</f>
        <v/>
      </c>
      <c r="AG10">
        <f>AND(OR(D10&lt;&gt;"",E10&lt;&gt;""),F10="No")</f>
        <v/>
      </c>
    </row>
    <row r="11">
      <c r="A11" t="inlineStr">
        <is>
          <t>H.3.2</t>
        </is>
      </c>
      <c r="C11" s="27" t="inlineStr">
        <is>
          <t>X</t>
        </is>
      </c>
      <c r="F11" s="47" t="inlineStr">
        <is>
          <t>No</t>
        </is>
      </c>
      <c r="H11">
        <f>AND(B11&lt;&gt;"",C11&lt;&gt;"")</f>
        <v/>
      </c>
      <c r="I11">
        <f>OR(B11&lt;&gt;"",C11&lt;&gt;"")</f>
        <v/>
      </c>
      <c r="J11">
        <f>AND(B11&lt;&gt;"",D11&lt;&gt;"")</f>
        <v/>
      </c>
      <c r="K11">
        <f>OR(B11&lt;&gt;"",D11&lt;&gt;"")</f>
        <v/>
      </c>
      <c r="L11">
        <f>AND(B11&lt;&gt;"",E11&lt;&gt;"")</f>
        <v/>
      </c>
      <c r="M11">
        <f>OR(B11&lt;&gt;"",E11&lt;&gt;"")</f>
        <v/>
      </c>
      <c r="N11">
        <f>AND(C11&lt;&gt;"",D11&lt;&gt;"")</f>
        <v/>
      </c>
      <c r="O11">
        <f>OR(C11&lt;&gt;"",D11&lt;&gt;"")</f>
        <v/>
      </c>
      <c r="P11">
        <f>AND(C11&lt;&gt;"",E11&lt;&gt;"")</f>
        <v/>
      </c>
      <c r="Q11">
        <f>OR(C11&lt;&gt;"",E11&lt;&gt;"")</f>
        <v/>
      </c>
      <c r="R11">
        <f>AND(D11&lt;&gt;"",E11&lt;&gt;"")</f>
        <v/>
      </c>
      <c r="S11">
        <f>OR(D11&lt;&gt;"",E11&lt;&gt;"")</f>
        <v/>
      </c>
      <c r="V11">
        <f>AND(B11&lt;&gt;"",C11&lt;&gt;"",F11="No")</f>
        <v/>
      </c>
      <c r="W11">
        <f>AND(OR(B11&lt;&gt;"",C11&lt;&gt;""),F11="No")</f>
        <v/>
      </c>
      <c r="X11">
        <f>AND(B11&lt;&gt;"",D11&lt;&gt;"",F11="No")</f>
        <v/>
      </c>
      <c r="Y11">
        <f>AND(OR(B11&lt;&gt;"",D11&lt;&gt;""),F11="No")</f>
        <v/>
      </c>
      <c r="Z11">
        <f>AND(B11&lt;&gt;"",E11&lt;&gt;"",F11="No")</f>
        <v/>
      </c>
      <c r="AA11">
        <f>AND(OR(B11&lt;&gt;"",E11&lt;&gt;""),F11="No")</f>
        <v/>
      </c>
      <c r="AB11">
        <f>AND(C11&lt;&gt;"",D11&lt;&gt;"",F11="No")</f>
        <v/>
      </c>
      <c r="AC11">
        <f>AND(OR(C11&lt;&gt;"",D11&lt;&gt;""),F11="No")</f>
        <v/>
      </c>
      <c r="AD11">
        <f>AND(C11&lt;&gt;"",E11&lt;&gt;"",F11="No")</f>
        <v/>
      </c>
      <c r="AE11">
        <f>AND(OR(C11&lt;&gt;"",E11&lt;&gt;""),F11="No")</f>
        <v/>
      </c>
      <c r="AF11">
        <f>AND(D11&lt;&gt;"",E11&lt;&gt;"",F11="No")</f>
        <v/>
      </c>
      <c r="AG11">
        <f>AND(OR(D11&lt;&gt;"",E11&lt;&gt;""),F11="No")</f>
        <v/>
      </c>
    </row>
    <row r="12">
      <c r="A12" t="inlineStr">
        <is>
          <t>H.3.4</t>
        </is>
      </c>
      <c r="B12" s="27" t="inlineStr">
        <is>
          <t>X</t>
        </is>
      </c>
      <c r="C12" s="27" t="inlineStr">
        <is>
          <t>X</t>
        </is>
      </c>
      <c r="D12" s="27" t="inlineStr">
        <is>
          <t>X</t>
        </is>
      </c>
      <c r="E12" s="27" t="inlineStr">
        <is>
          <t>X</t>
        </is>
      </c>
      <c r="F12" s="47" t="inlineStr">
        <is>
          <t>No</t>
        </is>
      </c>
      <c r="H12">
        <f>AND(B12&lt;&gt;"",C12&lt;&gt;"")</f>
        <v/>
      </c>
      <c r="I12">
        <f>OR(B12&lt;&gt;"",C12&lt;&gt;"")</f>
        <v/>
      </c>
      <c r="J12">
        <f>AND(B12&lt;&gt;"",D12&lt;&gt;"")</f>
        <v/>
      </c>
      <c r="K12">
        <f>OR(B12&lt;&gt;"",D12&lt;&gt;"")</f>
        <v/>
      </c>
      <c r="L12">
        <f>AND(B12&lt;&gt;"",E12&lt;&gt;"")</f>
        <v/>
      </c>
      <c r="M12">
        <f>OR(B12&lt;&gt;"",E12&lt;&gt;"")</f>
        <v/>
      </c>
      <c r="N12">
        <f>AND(C12&lt;&gt;"",D12&lt;&gt;"")</f>
        <v/>
      </c>
      <c r="O12">
        <f>OR(C12&lt;&gt;"",D12&lt;&gt;"")</f>
        <v/>
      </c>
      <c r="P12">
        <f>AND(C12&lt;&gt;"",E12&lt;&gt;"")</f>
        <v/>
      </c>
      <c r="Q12">
        <f>OR(C12&lt;&gt;"",E12&lt;&gt;"")</f>
        <v/>
      </c>
      <c r="R12">
        <f>AND(D12&lt;&gt;"",E12&lt;&gt;"")</f>
        <v/>
      </c>
      <c r="S12">
        <f>OR(D12&lt;&gt;"",E12&lt;&gt;"")</f>
        <v/>
      </c>
      <c r="V12">
        <f>AND(B12&lt;&gt;"",C12&lt;&gt;"",F12="No")</f>
        <v/>
      </c>
      <c r="W12">
        <f>AND(OR(B12&lt;&gt;"",C12&lt;&gt;""),F12="No")</f>
        <v/>
      </c>
      <c r="X12">
        <f>AND(B12&lt;&gt;"",D12&lt;&gt;"",F12="No")</f>
        <v/>
      </c>
      <c r="Y12">
        <f>AND(OR(B12&lt;&gt;"",D12&lt;&gt;""),F12="No")</f>
        <v/>
      </c>
      <c r="Z12">
        <f>AND(B12&lt;&gt;"",E12&lt;&gt;"",F12="No")</f>
        <v/>
      </c>
      <c r="AA12">
        <f>AND(OR(B12&lt;&gt;"",E12&lt;&gt;""),F12="No")</f>
        <v/>
      </c>
      <c r="AB12">
        <f>AND(C12&lt;&gt;"",D12&lt;&gt;"",F12="No")</f>
        <v/>
      </c>
      <c r="AC12">
        <f>AND(OR(C12&lt;&gt;"",D12&lt;&gt;""),F12="No")</f>
        <v/>
      </c>
      <c r="AD12">
        <f>AND(C12&lt;&gt;"",E12&lt;&gt;"",F12="No")</f>
        <v/>
      </c>
      <c r="AE12">
        <f>AND(OR(C12&lt;&gt;"",E12&lt;&gt;""),F12="No")</f>
        <v/>
      </c>
      <c r="AF12">
        <f>AND(D12&lt;&gt;"",E12&lt;&gt;"",F12="No")</f>
        <v/>
      </c>
      <c r="AG12">
        <f>AND(OR(D12&lt;&gt;"",E12&lt;&gt;""),F12="No")</f>
        <v/>
      </c>
    </row>
    <row r="13">
      <c r="A13" t="inlineStr">
        <is>
          <t>H.3.5</t>
        </is>
      </c>
      <c r="C13" s="27" t="inlineStr">
        <is>
          <t>X</t>
        </is>
      </c>
      <c r="F13" s="47" t="inlineStr">
        <is>
          <t>No</t>
        </is>
      </c>
      <c r="H13">
        <f>AND(B13&lt;&gt;"",C13&lt;&gt;"")</f>
        <v/>
      </c>
      <c r="I13">
        <f>OR(B13&lt;&gt;"",C13&lt;&gt;"")</f>
        <v/>
      </c>
      <c r="J13">
        <f>AND(B13&lt;&gt;"",D13&lt;&gt;"")</f>
        <v/>
      </c>
      <c r="K13">
        <f>OR(B13&lt;&gt;"",D13&lt;&gt;"")</f>
        <v/>
      </c>
      <c r="L13">
        <f>AND(B13&lt;&gt;"",E13&lt;&gt;"")</f>
        <v/>
      </c>
      <c r="M13">
        <f>OR(B13&lt;&gt;"",E13&lt;&gt;"")</f>
        <v/>
      </c>
      <c r="N13">
        <f>AND(C13&lt;&gt;"",D13&lt;&gt;"")</f>
        <v/>
      </c>
      <c r="O13">
        <f>OR(C13&lt;&gt;"",D13&lt;&gt;"")</f>
        <v/>
      </c>
      <c r="P13">
        <f>AND(C13&lt;&gt;"",E13&lt;&gt;"")</f>
        <v/>
      </c>
      <c r="Q13">
        <f>OR(C13&lt;&gt;"",E13&lt;&gt;"")</f>
        <v/>
      </c>
      <c r="R13">
        <f>AND(D13&lt;&gt;"",E13&lt;&gt;"")</f>
        <v/>
      </c>
      <c r="S13">
        <f>OR(D13&lt;&gt;"",E13&lt;&gt;"")</f>
        <v/>
      </c>
      <c r="V13">
        <f>AND(B13&lt;&gt;"",C13&lt;&gt;"",F13="No")</f>
        <v/>
      </c>
      <c r="W13">
        <f>AND(OR(B13&lt;&gt;"",C13&lt;&gt;""),F13="No")</f>
        <v/>
      </c>
      <c r="X13">
        <f>AND(B13&lt;&gt;"",D13&lt;&gt;"",F13="No")</f>
        <v/>
      </c>
      <c r="Y13">
        <f>AND(OR(B13&lt;&gt;"",D13&lt;&gt;""),F13="No")</f>
        <v/>
      </c>
      <c r="Z13">
        <f>AND(B13&lt;&gt;"",E13&lt;&gt;"",F13="No")</f>
        <v/>
      </c>
      <c r="AA13">
        <f>AND(OR(B13&lt;&gt;"",E13&lt;&gt;""),F13="No")</f>
        <v/>
      </c>
      <c r="AB13">
        <f>AND(C13&lt;&gt;"",D13&lt;&gt;"",F13="No")</f>
        <v/>
      </c>
      <c r="AC13">
        <f>AND(OR(C13&lt;&gt;"",D13&lt;&gt;""),F13="No")</f>
        <v/>
      </c>
      <c r="AD13">
        <f>AND(C13&lt;&gt;"",E13&lt;&gt;"",F13="No")</f>
        <v/>
      </c>
      <c r="AE13">
        <f>AND(OR(C13&lt;&gt;"",E13&lt;&gt;""),F13="No")</f>
        <v/>
      </c>
      <c r="AF13">
        <f>AND(D13&lt;&gt;"",E13&lt;&gt;"",F13="No")</f>
        <v/>
      </c>
      <c r="AG13">
        <f>AND(OR(D13&lt;&gt;"",E13&lt;&gt;""),F13="No")</f>
        <v/>
      </c>
    </row>
    <row r="14">
      <c r="A14" t="inlineStr">
        <is>
          <t>L3.3.3</t>
        </is>
      </c>
      <c r="C14" s="27" t="inlineStr">
        <is>
          <t>X</t>
        </is>
      </c>
      <c r="E14" s="27" t="inlineStr">
        <is>
          <t>X</t>
        </is>
      </c>
      <c r="F14" s="47" t="inlineStr">
        <is>
          <t>Yes</t>
        </is>
      </c>
      <c r="H14">
        <f>AND(B14&lt;&gt;"",C14&lt;&gt;"")</f>
        <v/>
      </c>
      <c r="I14">
        <f>OR(B14&lt;&gt;"",C14&lt;&gt;"")</f>
        <v/>
      </c>
      <c r="J14">
        <f>AND(B14&lt;&gt;"",D14&lt;&gt;"")</f>
        <v/>
      </c>
      <c r="K14">
        <f>OR(B14&lt;&gt;"",D14&lt;&gt;"")</f>
        <v/>
      </c>
      <c r="L14">
        <f>AND(B14&lt;&gt;"",E14&lt;&gt;"")</f>
        <v/>
      </c>
      <c r="M14">
        <f>OR(B14&lt;&gt;"",E14&lt;&gt;"")</f>
        <v/>
      </c>
      <c r="N14">
        <f>AND(C14&lt;&gt;"",D14&lt;&gt;"")</f>
        <v/>
      </c>
      <c r="O14">
        <f>OR(C14&lt;&gt;"",D14&lt;&gt;"")</f>
        <v/>
      </c>
      <c r="P14">
        <f>AND(C14&lt;&gt;"",E14&lt;&gt;"")</f>
        <v/>
      </c>
      <c r="Q14">
        <f>OR(C14&lt;&gt;"",E14&lt;&gt;"")</f>
        <v/>
      </c>
      <c r="R14">
        <f>AND(D14&lt;&gt;"",E14&lt;&gt;"")</f>
        <v/>
      </c>
      <c r="S14">
        <f>OR(D14&lt;&gt;"",E14&lt;&gt;"")</f>
        <v/>
      </c>
      <c r="V14">
        <f>AND(B14&lt;&gt;"",C14&lt;&gt;"",F14="No")</f>
        <v/>
      </c>
      <c r="W14">
        <f>AND(OR(B14&lt;&gt;"",C14&lt;&gt;""),F14="No")</f>
        <v/>
      </c>
      <c r="X14">
        <f>AND(B14&lt;&gt;"",D14&lt;&gt;"",F14="No")</f>
        <v/>
      </c>
      <c r="Y14">
        <f>AND(OR(B14&lt;&gt;"",D14&lt;&gt;""),F14="No")</f>
        <v/>
      </c>
      <c r="Z14">
        <f>AND(B14&lt;&gt;"",E14&lt;&gt;"",F14="No")</f>
        <v/>
      </c>
      <c r="AA14">
        <f>AND(OR(B14&lt;&gt;"",E14&lt;&gt;""),F14="No")</f>
        <v/>
      </c>
      <c r="AB14">
        <f>AND(C14&lt;&gt;"",D14&lt;&gt;"",F14="No")</f>
        <v/>
      </c>
      <c r="AC14">
        <f>AND(OR(C14&lt;&gt;"",D14&lt;&gt;""),F14="No")</f>
        <v/>
      </c>
      <c r="AD14">
        <f>AND(C14&lt;&gt;"",E14&lt;&gt;"",F14="No")</f>
        <v/>
      </c>
      <c r="AE14">
        <f>AND(OR(C14&lt;&gt;"",E14&lt;&gt;""),F14="No")</f>
        <v/>
      </c>
      <c r="AF14">
        <f>AND(D14&lt;&gt;"",E14&lt;&gt;"",F14="No")</f>
        <v/>
      </c>
      <c r="AG14">
        <f>AND(OR(D14&lt;&gt;"",E14&lt;&gt;""),F14="No")</f>
        <v/>
      </c>
    </row>
    <row r="15">
      <c r="A15" t="inlineStr">
        <is>
          <t>L3.3.4</t>
        </is>
      </c>
      <c r="C15" s="27" t="inlineStr">
        <is>
          <t>X</t>
        </is>
      </c>
      <c r="D15" s="27" t="inlineStr">
        <is>
          <t>X</t>
        </is>
      </c>
      <c r="F15" s="47" t="inlineStr">
        <is>
          <t>Yes</t>
        </is>
      </c>
      <c r="H15">
        <f>AND(B15&lt;&gt;"",C15&lt;&gt;"")</f>
        <v/>
      </c>
      <c r="I15">
        <f>OR(B15&lt;&gt;"",C15&lt;&gt;"")</f>
        <v/>
      </c>
      <c r="J15">
        <f>AND(B15&lt;&gt;"",D15&lt;&gt;"")</f>
        <v/>
      </c>
      <c r="K15">
        <f>OR(B15&lt;&gt;"",D15&lt;&gt;"")</f>
        <v/>
      </c>
      <c r="L15">
        <f>AND(B15&lt;&gt;"",E15&lt;&gt;"")</f>
        <v/>
      </c>
      <c r="M15">
        <f>OR(B15&lt;&gt;"",E15&lt;&gt;"")</f>
        <v/>
      </c>
      <c r="N15">
        <f>AND(C15&lt;&gt;"",D15&lt;&gt;"")</f>
        <v/>
      </c>
      <c r="O15">
        <f>OR(C15&lt;&gt;"",D15&lt;&gt;"")</f>
        <v/>
      </c>
      <c r="P15">
        <f>AND(C15&lt;&gt;"",E15&lt;&gt;"")</f>
        <v/>
      </c>
      <c r="Q15">
        <f>OR(C15&lt;&gt;"",E15&lt;&gt;"")</f>
        <v/>
      </c>
      <c r="R15">
        <f>AND(D15&lt;&gt;"",E15&lt;&gt;"")</f>
        <v/>
      </c>
      <c r="S15">
        <f>OR(D15&lt;&gt;"",E15&lt;&gt;"")</f>
        <v/>
      </c>
      <c r="V15">
        <f>AND(B15&lt;&gt;"",C15&lt;&gt;"",F15="No")</f>
        <v/>
      </c>
      <c r="W15">
        <f>AND(OR(B15&lt;&gt;"",C15&lt;&gt;""),F15="No")</f>
        <v/>
      </c>
      <c r="X15">
        <f>AND(B15&lt;&gt;"",D15&lt;&gt;"",F15="No")</f>
        <v/>
      </c>
      <c r="Y15">
        <f>AND(OR(B15&lt;&gt;"",D15&lt;&gt;""),F15="No")</f>
        <v/>
      </c>
      <c r="Z15">
        <f>AND(B15&lt;&gt;"",E15&lt;&gt;"",F15="No")</f>
        <v/>
      </c>
      <c r="AA15">
        <f>AND(OR(B15&lt;&gt;"",E15&lt;&gt;""),F15="No")</f>
        <v/>
      </c>
      <c r="AB15">
        <f>AND(C15&lt;&gt;"",D15&lt;&gt;"",F15="No")</f>
        <v/>
      </c>
      <c r="AC15">
        <f>AND(OR(C15&lt;&gt;"",D15&lt;&gt;""),F15="No")</f>
        <v/>
      </c>
      <c r="AD15">
        <f>AND(C15&lt;&gt;"",E15&lt;&gt;"",F15="No")</f>
        <v/>
      </c>
      <c r="AE15">
        <f>AND(OR(C15&lt;&gt;"",E15&lt;&gt;""),F15="No")</f>
        <v/>
      </c>
      <c r="AF15">
        <f>AND(D15&lt;&gt;"",E15&lt;&gt;"",F15="No")</f>
        <v/>
      </c>
      <c r="AG15">
        <f>AND(OR(D15&lt;&gt;"",E15&lt;&gt;""),F15="No")</f>
        <v/>
      </c>
    </row>
    <row r="16">
      <c r="A16" t="inlineStr">
        <is>
          <t>L3.3.8</t>
        </is>
      </c>
      <c r="D16" s="27" t="inlineStr">
        <is>
          <t>X</t>
        </is>
      </c>
      <c r="F16" s="47" t="inlineStr">
        <is>
          <t>Yes</t>
        </is>
      </c>
      <c r="H16">
        <f>AND(B16&lt;&gt;"",C16&lt;&gt;"")</f>
        <v/>
      </c>
      <c r="I16">
        <f>OR(B16&lt;&gt;"",C16&lt;&gt;"")</f>
        <v/>
      </c>
      <c r="J16">
        <f>AND(B16&lt;&gt;"",D16&lt;&gt;"")</f>
        <v/>
      </c>
      <c r="K16">
        <f>OR(B16&lt;&gt;"",D16&lt;&gt;"")</f>
        <v/>
      </c>
      <c r="L16">
        <f>AND(B16&lt;&gt;"",E16&lt;&gt;"")</f>
        <v/>
      </c>
      <c r="M16">
        <f>OR(B16&lt;&gt;"",E16&lt;&gt;"")</f>
        <v/>
      </c>
      <c r="N16">
        <f>AND(C16&lt;&gt;"",D16&lt;&gt;"")</f>
        <v/>
      </c>
      <c r="O16">
        <f>OR(C16&lt;&gt;"",D16&lt;&gt;"")</f>
        <v/>
      </c>
      <c r="P16">
        <f>AND(C16&lt;&gt;"",E16&lt;&gt;"")</f>
        <v/>
      </c>
      <c r="Q16">
        <f>OR(C16&lt;&gt;"",E16&lt;&gt;"")</f>
        <v/>
      </c>
      <c r="R16">
        <f>AND(D16&lt;&gt;"",E16&lt;&gt;"")</f>
        <v/>
      </c>
      <c r="S16">
        <f>OR(D16&lt;&gt;"",E16&lt;&gt;"")</f>
        <v/>
      </c>
      <c r="V16">
        <f>AND(B16&lt;&gt;"",C16&lt;&gt;"",F16="No")</f>
        <v/>
      </c>
      <c r="W16">
        <f>AND(OR(B16&lt;&gt;"",C16&lt;&gt;""),F16="No")</f>
        <v/>
      </c>
      <c r="X16">
        <f>AND(B16&lt;&gt;"",D16&lt;&gt;"",F16="No")</f>
        <v/>
      </c>
      <c r="Y16">
        <f>AND(OR(B16&lt;&gt;"",D16&lt;&gt;""),F16="No")</f>
        <v/>
      </c>
      <c r="Z16">
        <f>AND(B16&lt;&gt;"",E16&lt;&gt;"",F16="No")</f>
        <v/>
      </c>
      <c r="AA16">
        <f>AND(OR(B16&lt;&gt;"",E16&lt;&gt;""),F16="No")</f>
        <v/>
      </c>
      <c r="AB16">
        <f>AND(C16&lt;&gt;"",D16&lt;&gt;"",F16="No")</f>
        <v/>
      </c>
      <c r="AC16">
        <f>AND(OR(C16&lt;&gt;"",D16&lt;&gt;""),F16="No")</f>
        <v/>
      </c>
      <c r="AD16">
        <f>AND(C16&lt;&gt;"",E16&lt;&gt;"",F16="No")</f>
        <v/>
      </c>
      <c r="AE16">
        <f>AND(OR(C16&lt;&gt;"",E16&lt;&gt;""),F16="No")</f>
        <v/>
      </c>
      <c r="AF16">
        <f>AND(D16&lt;&gt;"",E16&lt;&gt;"",F16="No")</f>
        <v/>
      </c>
      <c r="AG16">
        <f>AND(OR(D16&lt;&gt;"",E16&lt;&gt;""),F16="No")</f>
        <v/>
      </c>
    </row>
    <row r="17">
      <c r="A17" t="inlineStr">
        <is>
          <t>L3.3.9</t>
        </is>
      </c>
      <c r="B17" s="27" t="inlineStr">
        <is>
          <t>X</t>
        </is>
      </c>
      <c r="F17" s="47" t="inlineStr">
        <is>
          <t>Yes</t>
        </is>
      </c>
      <c r="H17">
        <f>AND(B17&lt;&gt;"",C17&lt;&gt;"")</f>
        <v/>
      </c>
      <c r="I17">
        <f>OR(B17&lt;&gt;"",C17&lt;&gt;"")</f>
        <v/>
      </c>
      <c r="J17">
        <f>AND(B17&lt;&gt;"",D17&lt;&gt;"")</f>
        <v/>
      </c>
      <c r="K17">
        <f>OR(B17&lt;&gt;"",D17&lt;&gt;"")</f>
        <v/>
      </c>
      <c r="L17">
        <f>AND(B17&lt;&gt;"",E17&lt;&gt;"")</f>
        <v/>
      </c>
      <c r="M17">
        <f>OR(B17&lt;&gt;"",E17&lt;&gt;"")</f>
        <v/>
      </c>
      <c r="N17">
        <f>AND(C17&lt;&gt;"",D17&lt;&gt;"")</f>
        <v/>
      </c>
      <c r="O17">
        <f>OR(C17&lt;&gt;"",D17&lt;&gt;"")</f>
        <v/>
      </c>
      <c r="P17">
        <f>AND(C17&lt;&gt;"",E17&lt;&gt;"")</f>
        <v/>
      </c>
      <c r="Q17">
        <f>OR(C17&lt;&gt;"",E17&lt;&gt;"")</f>
        <v/>
      </c>
      <c r="R17">
        <f>AND(D17&lt;&gt;"",E17&lt;&gt;"")</f>
        <v/>
      </c>
      <c r="S17">
        <f>OR(D17&lt;&gt;"",E17&lt;&gt;"")</f>
        <v/>
      </c>
      <c r="V17">
        <f>AND(B17&lt;&gt;"",C17&lt;&gt;"",F17="No")</f>
        <v/>
      </c>
      <c r="W17">
        <f>AND(OR(B17&lt;&gt;"",C17&lt;&gt;""),F17="No")</f>
        <v/>
      </c>
      <c r="X17">
        <f>AND(B17&lt;&gt;"",D17&lt;&gt;"",F17="No")</f>
        <v/>
      </c>
      <c r="Y17">
        <f>AND(OR(B17&lt;&gt;"",D17&lt;&gt;""),F17="No")</f>
        <v/>
      </c>
      <c r="Z17">
        <f>AND(B17&lt;&gt;"",E17&lt;&gt;"",F17="No")</f>
        <v/>
      </c>
      <c r="AA17">
        <f>AND(OR(B17&lt;&gt;"",E17&lt;&gt;""),F17="No")</f>
        <v/>
      </c>
      <c r="AB17">
        <f>AND(C17&lt;&gt;"",D17&lt;&gt;"",F17="No")</f>
        <v/>
      </c>
      <c r="AC17">
        <f>AND(OR(C17&lt;&gt;"",D17&lt;&gt;""),F17="No")</f>
        <v/>
      </c>
      <c r="AD17">
        <f>AND(C17&lt;&gt;"",E17&lt;&gt;"",F17="No")</f>
        <v/>
      </c>
      <c r="AE17">
        <f>AND(OR(C17&lt;&gt;"",E17&lt;&gt;""),F17="No")</f>
        <v/>
      </c>
      <c r="AF17">
        <f>AND(D17&lt;&gt;"",E17&lt;&gt;"",F17="No")</f>
        <v/>
      </c>
      <c r="AG17">
        <f>AND(OR(D17&lt;&gt;"",E17&lt;&gt;""),F17="No")</f>
        <v/>
      </c>
    </row>
    <row r="18">
      <c r="A18" t="inlineStr">
        <is>
          <t>L3.3.10</t>
        </is>
      </c>
      <c r="E18" s="27" t="inlineStr">
        <is>
          <t>X</t>
        </is>
      </c>
      <c r="F18" s="47" t="inlineStr">
        <is>
          <t>Yes</t>
        </is>
      </c>
      <c r="H18">
        <f>AND(B18&lt;&gt;"",C18&lt;&gt;"")</f>
        <v/>
      </c>
      <c r="I18">
        <f>OR(B18&lt;&gt;"",C18&lt;&gt;"")</f>
        <v/>
      </c>
      <c r="J18">
        <f>AND(B18&lt;&gt;"",D18&lt;&gt;"")</f>
        <v/>
      </c>
      <c r="K18">
        <f>OR(B18&lt;&gt;"",D18&lt;&gt;"")</f>
        <v/>
      </c>
      <c r="L18">
        <f>AND(B18&lt;&gt;"",E18&lt;&gt;"")</f>
        <v/>
      </c>
      <c r="M18">
        <f>OR(B18&lt;&gt;"",E18&lt;&gt;"")</f>
        <v/>
      </c>
      <c r="N18">
        <f>AND(C18&lt;&gt;"",D18&lt;&gt;"")</f>
        <v/>
      </c>
      <c r="O18">
        <f>OR(C18&lt;&gt;"",D18&lt;&gt;"")</f>
        <v/>
      </c>
      <c r="P18">
        <f>AND(C18&lt;&gt;"",E18&lt;&gt;"")</f>
        <v/>
      </c>
      <c r="Q18">
        <f>OR(C18&lt;&gt;"",E18&lt;&gt;"")</f>
        <v/>
      </c>
      <c r="R18">
        <f>AND(D18&lt;&gt;"",E18&lt;&gt;"")</f>
        <v/>
      </c>
      <c r="S18">
        <f>OR(D18&lt;&gt;"",E18&lt;&gt;"")</f>
        <v/>
      </c>
      <c r="V18">
        <f>AND(B18&lt;&gt;"",C18&lt;&gt;"",F18="No")</f>
        <v/>
      </c>
      <c r="W18">
        <f>AND(OR(B18&lt;&gt;"",C18&lt;&gt;""),F18="No")</f>
        <v/>
      </c>
      <c r="X18">
        <f>AND(B18&lt;&gt;"",D18&lt;&gt;"",F18="No")</f>
        <v/>
      </c>
      <c r="Y18">
        <f>AND(OR(B18&lt;&gt;"",D18&lt;&gt;""),F18="No")</f>
        <v/>
      </c>
      <c r="Z18">
        <f>AND(B18&lt;&gt;"",E18&lt;&gt;"",F18="No")</f>
        <v/>
      </c>
      <c r="AA18">
        <f>AND(OR(B18&lt;&gt;"",E18&lt;&gt;""),F18="No")</f>
        <v/>
      </c>
      <c r="AB18">
        <f>AND(C18&lt;&gt;"",D18&lt;&gt;"",F18="No")</f>
        <v/>
      </c>
      <c r="AC18">
        <f>AND(OR(C18&lt;&gt;"",D18&lt;&gt;""),F18="No")</f>
        <v/>
      </c>
      <c r="AD18">
        <f>AND(C18&lt;&gt;"",E18&lt;&gt;"",F18="No")</f>
        <v/>
      </c>
      <c r="AE18">
        <f>AND(OR(C18&lt;&gt;"",E18&lt;&gt;""),F18="No")</f>
        <v/>
      </c>
      <c r="AF18">
        <f>AND(D18&lt;&gt;"",E18&lt;&gt;"",F18="No")</f>
        <v/>
      </c>
      <c r="AG18">
        <f>AND(OR(D18&lt;&gt;"",E18&lt;&gt;""),F18="No")</f>
        <v/>
      </c>
    </row>
    <row r="19">
      <c r="A19" t="inlineStr">
        <is>
          <t>L3.3.11</t>
        </is>
      </c>
      <c r="D19" s="27" t="inlineStr">
        <is>
          <t>X</t>
        </is>
      </c>
      <c r="F19" s="47" t="inlineStr">
        <is>
          <t>Yes</t>
        </is>
      </c>
      <c r="H19">
        <f>AND(B19&lt;&gt;"",C19&lt;&gt;"")</f>
        <v/>
      </c>
      <c r="I19">
        <f>OR(B19&lt;&gt;"",C19&lt;&gt;"")</f>
        <v/>
      </c>
      <c r="J19">
        <f>AND(B19&lt;&gt;"",D19&lt;&gt;"")</f>
        <v/>
      </c>
      <c r="K19">
        <f>OR(B19&lt;&gt;"",D19&lt;&gt;"")</f>
        <v/>
      </c>
      <c r="L19">
        <f>AND(B19&lt;&gt;"",E19&lt;&gt;"")</f>
        <v/>
      </c>
      <c r="M19">
        <f>OR(B19&lt;&gt;"",E19&lt;&gt;"")</f>
        <v/>
      </c>
      <c r="N19">
        <f>AND(C19&lt;&gt;"",D19&lt;&gt;"")</f>
        <v/>
      </c>
      <c r="O19">
        <f>OR(C19&lt;&gt;"",D19&lt;&gt;"")</f>
        <v/>
      </c>
      <c r="P19">
        <f>AND(C19&lt;&gt;"",E19&lt;&gt;"")</f>
        <v/>
      </c>
      <c r="Q19">
        <f>OR(C19&lt;&gt;"",E19&lt;&gt;"")</f>
        <v/>
      </c>
      <c r="R19">
        <f>AND(D19&lt;&gt;"",E19&lt;&gt;"")</f>
        <v/>
      </c>
      <c r="S19">
        <f>OR(D19&lt;&gt;"",E19&lt;&gt;"")</f>
        <v/>
      </c>
      <c r="V19">
        <f>AND(B19&lt;&gt;"",C19&lt;&gt;"",F19="No")</f>
        <v/>
      </c>
      <c r="W19">
        <f>AND(OR(B19&lt;&gt;"",C19&lt;&gt;""),F19="No")</f>
        <v/>
      </c>
      <c r="X19">
        <f>AND(B19&lt;&gt;"",D19&lt;&gt;"",F19="No")</f>
        <v/>
      </c>
      <c r="Y19">
        <f>AND(OR(B19&lt;&gt;"",D19&lt;&gt;""),F19="No")</f>
        <v/>
      </c>
      <c r="Z19">
        <f>AND(B19&lt;&gt;"",E19&lt;&gt;"",F19="No")</f>
        <v/>
      </c>
      <c r="AA19">
        <f>AND(OR(B19&lt;&gt;"",E19&lt;&gt;""),F19="No")</f>
        <v/>
      </c>
      <c r="AB19">
        <f>AND(C19&lt;&gt;"",D19&lt;&gt;"",F19="No")</f>
        <v/>
      </c>
      <c r="AC19">
        <f>AND(OR(C19&lt;&gt;"",D19&lt;&gt;""),F19="No")</f>
        <v/>
      </c>
      <c r="AD19">
        <f>AND(C19&lt;&gt;"",E19&lt;&gt;"",F19="No")</f>
        <v/>
      </c>
      <c r="AE19">
        <f>AND(OR(C19&lt;&gt;"",E19&lt;&gt;""),F19="No")</f>
        <v/>
      </c>
      <c r="AF19">
        <f>AND(D19&lt;&gt;"",E19&lt;&gt;"",F19="No")</f>
        <v/>
      </c>
      <c r="AG19">
        <f>AND(OR(D19&lt;&gt;"",E19&lt;&gt;""),F19="No")</f>
        <v/>
      </c>
    </row>
    <row r="20">
      <c r="A20" t="inlineStr">
        <is>
          <t>L3.3.12</t>
        </is>
      </c>
      <c r="E20" s="27" t="inlineStr">
        <is>
          <t>X</t>
        </is>
      </c>
      <c r="F20" s="47" t="inlineStr">
        <is>
          <t>Yes</t>
        </is>
      </c>
      <c r="H20">
        <f>AND(B20&lt;&gt;"",C20&lt;&gt;"")</f>
        <v/>
      </c>
      <c r="I20">
        <f>OR(B20&lt;&gt;"",C20&lt;&gt;"")</f>
        <v/>
      </c>
      <c r="J20">
        <f>AND(B20&lt;&gt;"",D20&lt;&gt;"")</f>
        <v/>
      </c>
      <c r="K20">
        <f>OR(B20&lt;&gt;"",D20&lt;&gt;"")</f>
        <v/>
      </c>
      <c r="L20">
        <f>AND(B20&lt;&gt;"",E20&lt;&gt;"")</f>
        <v/>
      </c>
      <c r="M20">
        <f>OR(B20&lt;&gt;"",E20&lt;&gt;"")</f>
        <v/>
      </c>
      <c r="N20">
        <f>AND(C20&lt;&gt;"",D20&lt;&gt;"")</f>
        <v/>
      </c>
      <c r="O20">
        <f>OR(C20&lt;&gt;"",D20&lt;&gt;"")</f>
        <v/>
      </c>
      <c r="P20">
        <f>AND(C20&lt;&gt;"",E20&lt;&gt;"")</f>
        <v/>
      </c>
      <c r="Q20">
        <f>OR(C20&lt;&gt;"",E20&lt;&gt;"")</f>
        <v/>
      </c>
      <c r="R20">
        <f>AND(D20&lt;&gt;"",E20&lt;&gt;"")</f>
        <v/>
      </c>
      <c r="S20">
        <f>OR(D20&lt;&gt;"",E20&lt;&gt;"")</f>
        <v/>
      </c>
      <c r="V20">
        <f>AND(B20&lt;&gt;"",C20&lt;&gt;"",F20="No")</f>
        <v/>
      </c>
      <c r="W20">
        <f>AND(OR(B20&lt;&gt;"",C20&lt;&gt;""),F20="No")</f>
        <v/>
      </c>
      <c r="X20">
        <f>AND(B20&lt;&gt;"",D20&lt;&gt;"",F20="No")</f>
        <v/>
      </c>
      <c r="Y20">
        <f>AND(OR(B20&lt;&gt;"",D20&lt;&gt;""),F20="No")</f>
        <v/>
      </c>
      <c r="Z20">
        <f>AND(B20&lt;&gt;"",E20&lt;&gt;"",F20="No")</f>
        <v/>
      </c>
      <c r="AA20">
        <f>AND(OR(B20&lt;&gt;"",E20&lt;&gt;""),F20="No")</f>
        <v/>
      </c>
      <c r="AB20">
        <f>AND(C20&lt;&gt;"",D20&lt;&gt;"",F20="No")</f>
        <v/>
      </c>
      <c r="AC20">
        <f>AND(OR(C20&lt;&gt;"",D20&lt;&gt;""),F20="No")</f>
        <v/>
      </c>
      <c r="AD20">
        <f>AND(C20&lt;&gt;"",E20&lt;&gt;"",F20="No")</f>
        <v/>
      </c>
      <c r="AE20">
        <f>AND(OR(C20&lt;&gt;"",E20&lt;&gt;""),F20="No")</f>
        <v/>
      </c>
      <c r="AF20">
        <f>AND(D20&lt;&gt;"",E20&lt;&gt;"",F20="No")</f>
        <v/>
      </c>
      <c r="AG20">
        <f>AND(OR(D20&lt;&gt;"",E20&lt;&gt;""),F20="No")</f>
        <v/>
      </c>
    </row>
    <row r="21">
      <c r="A21" t="inlineStr">
        <is>
          <t>L3.3.13</t>
        </is>
      </c>
      <c r="E21" s="27" t="inlineStr">
        <is>
          <t>X</t>
        </is>
      </c>
      <c r="F21" s="47" t="inlineStr">
        <is>
          <t>Yes</t>
        </is>
      </c>
      <c r="H21">
        <f>AND(B21&lt;&gt;"",C21&lt;&gt;"")</f>
        <v/>
      </c>
      <c r="I21">
        <f>OR(B21&lt;&gt;"",C21&lt;&gt;"")</f>
        <v/>
      </c>
      <c r="J21">
        <f>AND(B21&lt;&gt;"",D21&lt;&gt;"")</f>
        <v/>
      </c>
      <c r="K21">
        <f>OR(B21&lt;&gt;"",D21&lt;&gt;"")</f>
        <v/>
      </c>
      <c r="L21">
        <f>AND(B21&lt;&gt;"",E21&lt;&gt;"")</f>
        <v/>
      </c>
      <c r="M21">
        <f>OR(B21&lt;&gt;"",E21&lt;&gt;"")</f>
        <v/>
      </c>
      <c r="N21">
        <f>AND(C21&lt;&gt;"",D21&lt;&gt;"")</f>
        <v/>
      </c>
      <c r="O21">
        <f>OR(C21&lt;&gt;"",D21&lt;&gt;"")</f>
        <v/>
      </c>
      <c r="P21">
        <f>AND(C21&lt;&gt;"",E21&lt;&gt;"")</f>
        <v/>
      </c>
      <c r="Q21">
        <f>OR(C21&lt;&gt;"",E21&lt;&gt;"")</f>
        <v/>
      </c>
      <c r="R21">
        <f>AND(D21&lt;&gt;"",E21&lt;&gt;"")</f>
        <v/>
      </c>
      <c r="S21">
        <f>OR(D21&lt;&gt;"",E21&lt;&gt;"")</f>
        <v/>
      </c>
      <c r="V21">
        <f>AND(B21&lt;&gt;"",C21&lt;&gt;"",F21="No")</f>
        <v/>
      </c>
      <c r="W21">
        <f>AND(OR(B21&lt;&gt;"",C21&lt;&gt;""),F21="No")</f>
        <v/>
      </c>
      <c r="X21">
        <f>AND(B21&lt;&gt;"",D21&lt;&gt;"",F21="No")</f>
        <v/>
      </c>
      <c r="Y21">
        <f>AND(OR(B21&lt;&gt;"",D21&lt;&gt;""),F21="No")</f>
        <v/>
      </c>
      <c r="Z21">
        <f>AND(B21&lt;&gt;"",E21&lt;&gt;"",F21="No")</f>
        <v/>
      </c>
      <c r="AA21">
        <f>AND(OR(B21&lt;&gt;"",E21&lt;&gt;""),F21="No")</f>
        <v/>
      </c>
      <c r="AB21">
        <f>AND(C21&lt;&gt;"",D21&lt;&gt;"",F21="No")</f>
        <v/>
      </c>
      <c r="AC21">
        <f>AND(OR(C21&lt;&gt;"",D21&lt;&gt;""),F21="No")</f>
        <v/>
      </c>
      <c r="AD21">
        <f>AND(C21&lt;&gt;"",E21&lt;&gt;"",F21="No")</f>
        <v/>
      </c>
      <c r="AE21">
        <f>AND(OR(C21&lt;&gt;"",E21&lt;&gt;""),F21="No")</f>
        <v/>
      </c>
      <c r="AF21">
        <f>AND(D21&lt;&gt;"",E21&lt;&gt;"",F21="No")</f>
        <v/>
      </c>
      <c r="AG21">
        <f>AND(OR(D21&lt;&gt;"",E21&lt;&gt;""),F21="No")</f>
        <v/>
      </c>
    </row>
    <row r="22">
      <c r="A22" t="inlineStr">
        <is>
          <t>H.4.1</t>
        </is>
      </c>
      <c r="B22" s="27" t="inlineStr">
        <is>
          <t>X</t>
        </is>
      </c>
      <c r="C22" s="27" t="inlineStr">
        <is>
          <t>X</t>
        </is>
      </c>
      <c r="D22" s="27" t="inlineStr">
        <is>
          <t>X</t>
        </is>
      </c>
      <c r="E22" s="27" t="inlineStr">
        <is>
          <t>X</t>
        </is>
      </c>
      <c r="F22" s="47" t="inlineStr">
        <is>
          <t>No</t>
        </is>
      </c>
      <c r="H22">
        <f>AND(B22&lt;&gt;"",C22&lt;&gt;"")</f>
        <v/>
      </c>
      <c r="I22">
        <f>OR(B22&lt;&gt;"",C22&lt;&gt;"")</f>
        <v/>
      </c>
      <c r="J22">
        <f>AND(B22&lt;&gt;"",D22&lt;&gt;"")</f>
        <v/>
      </c>
      <c r="K22">
        <f>OR(B22&lt;&gt;"",D22&lt;&gt;"")</f>
        <v/>
      </c>
      <c r="L22">
        <f>AND(B22&lt;&gt;"",E22&lt;&gt;"")</f>
        <v/>
      </c>
      <c r="M22">
        <f>OR(B22&lt;&gt;"",E22&lt;&gt;"")</f>
        <v/>
      </c>
      <c r="N22">
        <f>AND(C22&lt;&gt;"",D22&lt;&gt;"")</f>
        <v/>
      </c>
      <c r="O22">
        <f>OR(C22&lt;&gt;"",D22&lt;&gt;"")</f>
        <v/>
      </c>
      <c r="P22">
        <f>AND(C22&lt;&gt;"",E22&lt;&gt;"")</f>
        <v/>
      </c>
      <c r="Q22">
        <f>OR(C22&lt;&gt;"",E22&lt;&gt;"")</f>
        <v/>
      </c>
      <c r="R22">
        <f>AND(D22&lt;&gt;"",E22&lt;&gt;"")</f>
        <v/>
      </c>
      <c r="S22">
        <f>OR(D22&lt;&gt;"",E22&lt;&gt;"")</f>
        <v/>
      </c>
      <c r="V22">
        <f>AND(B22&lt;&gt;"",C22&lt;&gt;"",F22="No")</f>
        <v/>
      </c>
      <c r="W22">
        <f>AND(OR(B22&lt;&gt;"",C22&lt;&gt;""),F22="No")</f>
        <v/>
      </c>
      <c r="X22">
        <f>AND(B22&lt;&gt;"",D22&lt;&gt;"",F22="No")</f>
        <v/>
      </c>
      <c r="Y22">
        <f>AND(OR(B22&lt;&gt;"",D22&lt;&gt;""),F22="No")</f>
        <v/>
      </c>
      <c r="Z22">
        <f>AND(B22&lt;&gt;"",E22&lt;&gt;"",F22="No")</f>
        <v/>
      </c>
      <c r="AA22">
        <f>AND(OR(B22&lt;&gt;"",E22&lt;&gt;""),F22="No")</f>
        <v/>
      </c>
      <c r="AB22">
        <f>AND(C22&lt;&gt;"",D22&lt;&gt;"",F22="No")</f>
        <v/>
      </c>
      <c r="AC22">
        <f>AND(OR(C22&lt;&gt;"",D22&lt;&gt;""),F22="No")</f>
        <v/>
      </c>
      <c r="AD22">
        <f>AND(C22&lt;&gt;"",E22&lt;&gt;"",F22="No")</f>
        <v/>
      </c>
      <c r="AE22">
        <f>AND(OR(C22&lt;&gt;"",E22&lt;&gt;""),F22="No")</f>
        <v/>
      </c>
      <c r="AF22">
        <f>AND(D22&lt;&gt;"",E22&lt;&gt;"",F22="No")</f>
        <v/>
      </c>
      <c r="AG22">
        <f>AND(OR(D22&lt;&gt;"",E22&lt;&gt;""),F22="No")</f>
        <v/>
      </c>
    </row>
    <row r="23">
      <c r="A23" t="inlineStr">
        <is>
          <t>H.4.2</t>
        </is>
      </c>
      <c r="B23" s="27" t="inlineStr">
        <is>
          <t>X</t>
        </is>
      </c>
      <c r="C23" s="27" t="inlineStr">
        <is>
          <t>X</t>
        </is>
      </c>
      <c r="D23" s="27" t="inlineStr">
        <is>
          <t>X</t>
        </is>
      </c>
      <c r="E23" s="27" t="inlineStr">
        <is>
          <t>X</t>
        </is>
      </c>
      <c r="F23" s="47" t="inlineStr">
        <is>
          <t>No</t>
        </is>
      </c>
      <c r="H23">
        <f>AND(B23&lt;&gt;"",C23&lt;&gt;"")</f>
        <v/>
      </c>
      <c r="I23">
        <f>OR(B23&lt;&gt;"",C23&lt;&gt;"")</f>
        <v/>
      </c>
      <c r="J23">
        <f>AND(B23&lt;&gt;"",D23&lt;&gt;"")</f>
        <v/>
      </c>
      <c r="K23">
        <f>OR(B23&lt;&gt;"",D23&lt;&gt;"")</f>
        <v/>
      </c>
      <c r="L23">
        <f>AND(B23&lt;&gt;"",E23&lt;&gt;"")</f>
        <v/>
      </c>
      <c r="M23">
        <f>OR(B23&lt;&gt;"",E23&lt;&gt;"")</f>
        <v/>
      </c>
      <c r="N23">
        <f>AND(C23&lt;&gt;"",D23&lt;&gt;"")</f>
        <v/>
      </c>
      <c r="O23">
        <f>OR(C23&lt;&gt;"",D23&lt;&gt;"")</f>
        <v/>
      </c>
      <c r="P23">
        <f>AND(C23&lt;&gt;"",E23&lt;&gt;"")</f>
        <v/>
      </c>
      <c r="Q23">
        <f>OR(C23&lt;&gt;"",E23&lt;&gt;"")</f>
        <v/>
      </c>
      <c r="R23">
        <f>AND(D23&lt;&gt;"",E23&lt;&gt;"")</f>
        <v/>
      </c>
      <c r="S23">
        <f>OR(D23&lt;&gt;"",E23&lt;&gt;"")</f>
        <v/>
      </c>
      <c r="V23">
        <f>AND(B23&lt;&gt;"",C23&lt;&gt;"",F23="No")</f>
        <v/>
      </c>
      <c r="W23">
        <f>AND(OR(B23&lt;&gt;"",C23&lt;&gt;""),F23="No")</f>
        <v/>
      </c>
      <c r="X23">
        <f>AND(B23&lt;&gt;"",D23&lt;&gt;"",F23="No")</f>
        <v/>
      </c>
      <c r="Y23">
        <f>AND(OR(B23&lt;&gt;"",D23&lt;&gt;""),F23="No")</f>
        <v/>
      </c>
      <c r="Z23">
        <f>AND(B23&lt;&gt;"",E23&lt;&gt;"",F23="No")</f>
        <v/>
      </c>
      <c r="AA23">
        <f>AND(OR(B23&lt;&gt;"",E23&lt;&gt;""),F23="No")</f>
        <v/>
      </c>
      <c r="AB23">
        <f>AND(C23&lt;&gt;"",D23&lt;&gt;"",F23="No")</f>
        <v/>
      </c>
      <c r="AC23">
        <f>AND(OR(C23&lt;&gt;"",D23&lt;&gt;""),F23="No")</f>
        <v/>
      </c>
      <c r="AD23">
        <f>AND(C23&lt;&gt;"",E23&lt;&gt;"",F23="No")</f>
        <v/>
      </c>
      <c r="AE23">
        <f>AND(OR(C23&lt;&gt;"",E23&lt;&gt;""),F23="No")</f>
        <v/>
      </c>
      <c r="AF23">
        <f>AND(D23&lt;&gt;"",E23&lt;&gt;"",F23="No")</f>
        <v/>
      </c>
      <c r="AG23">
        <f>AND(OR(D23&lt;&gt;"",E23&lt;&gt;""),F23="No")</f>
        <v/>
      </c>
    </row>
    <row r="24">
      <c r="A24" t="inlineStr">
        <is>
          <t>H.4.3</t>
        </is>
      </c>
      <c r="B24" s="27" t="inlineStr">
        <is>
          <t>X</t>
        </is>
      </c>
      <c r="C24" s="27" t="inlineStr">
        <is>
          <t>X</t>
        </is>
      </c>
      <c r="D24" s="27" t="inlineStr">
        <is>
          <t>X</t>
        </is>
      </c>
      <c r="E24" s="27" t="inlineStr">
        <is>
          <t>X</t>
        </is>
      </c>
      <c r="F24" s="47" t="inlineStr">
        <is>
          <t>No</t>
        </is>
      </c>
      <c r="H24">
        <f>AND(B24&lt;&gt;"",C24&lt;&gt;"")</f>
        <v/>
      </c>
      <c r="I24">
        <f>OR(B24&lt;&gt;"",C24&lt;&gt;"")</f>
        <v/>
      </c>
      <c r="J24">
        <f>AND(B24&lt;&gt;"",D24&lt;&gt;"")</f>
        <v/>
      </c>
      <c r="K24">
        <f>OR(B24&lt;&gt;"",D24&lt;&gt;"")</f>
        <v/>
      </c>
      <c r="L24">
        <f>AND(B24&lt;&gt;"",E24&lt;&gt;"")</f>
        <v/>
      </c>
      <c r="M24">
        <f>OR(B24&lt;&gt;"",E24&lt;&gt;"")</f>
        <v/>
      </c>
      <c r="N24">
        <f>AND(C24&lt;&gt;"",D24&lt;&gt;"")</f>
        <v/>
      </c>
      <c r="O24">
        <f>OR(C24&lt;&gt;"",D24&lt;&gt;"")</f>
        <v/>
      </c>
      <c r="P24">
        <f>AND(C24&lt;&gt;"",E24&lt;&gt;"")</f>
        <v/>
      </c>
      <c r="Q24">
        <f>OR(C24&lt;&gt;"",E24&lt;&gt;"")</f>
        <v/>
      </c>
      <c r="R24">
        <f>AND(D24&lt;&gt;"",E24&lt;&gt;"")</f>
        <v/>
      </c>
      <c r="S24">
        <f>OR(D24&lt;&gt;"",E24&lt;&gt;"")</f>
        <v/>
      </c>
      <c r="V24">
        <f>AND(B24&lt;&gt;"",C24&lt;&gt;"",F24="No")</f>
        <v/>
      </c>
      <c r="W24">
        <f>AND(OR(B24&lt;&gt;"",C24&lt;&gt;""),F24="No")</f>
        <v/>
      </c>
      <c r="X24">
        <f>AND(B24&lt;&gt;"",D24&lt;&gt;"",F24="No")</f>
        <v/>
      </c>
      <c r="Y24">
        <f>AND(OR(B24&lt;&gt;"",D24&lt;&gt;""),F24="No")</f>
        <v/>
      </c>
      <c r="Z24">
        <f>AND(B24&lt;&gt;"",E24&lt;&gt;"",F24="No")</f>
        <v/>
      </c>
      <c r="AA24">
        <f>AND(OR(B24&lt;&gt;"",E24&lt;&gt;""),F24="No")</f>
        <v/>
      </c>
      <c r="AB24">
        <f>AND(C24&lt;&gt;"",D24&lt;&gt;"",F24="No")</f>
        <v/>
      </c>
      <c r="AC24">
        <f>AND(OR(C24&lt;&gt;"",D24&lt;&gt;""),F24="No")</f>
        <v/>
      </c>
      <c r="AD24">
        <f>AND(C24&lt;&gt;"",E24&lt;&gt;"",F24="No")</f>
        <v/>
      </c>
      <c r="AE24">
        <f>AND(OR(C24&lt;&gt;"",E24&lt;&gt;""),F24="No")</f>
        <v/>
      </c>
      <c r="AF24">
        <f>AND(D24&lt;&gt;"",E24&lt;&gt;"",F24="No")</f>
        <v/>
      </c>
      <c r="AG24">
        <f>AND(OR(D24&lt;&gt;"",E24&lt;&gt;""),F24="No")</f>
        <v/>
      </c>
    </row>
    <row r="25">
      <c r="A25" t="inlineStr">
        <is>
          <t>H.4.4</t>
        </is>
      </c>
      <c r="E25" s="27" t="inlineStr">
        <is>
          <t>X</t>
        </is>
      </c>
      <c r="F25" s="47" t="inlineStr">
        <is>
          <t>No</t>
        </is>
      </c>
      <c r="H25">
        <f>AND(B25&lt;&gt;"",C25&lt;&gt;"")</f>
        <v/>
      </c>
      <c r="I25">
        <f>OR(B25&lt;&gt;"",C25&lt;&gt;"")</f>
        <v/>
      </c>
      <c r="J25">
        <f>AND(B25&lt;&gt;"",D25&lt;&gt;"")</f>
        <v/>
      </c>
      <c r="K25">
        <f>OR(B25&lt;&gt;"",D25&lt;&gt;"")</f>
        <v/>
      </c>
      <c r="L25">
        <f>AND(B25&lt;&gt;"",E25&lt;&gt;"")</f>
        <v/>
      </c>
      <c r="M25">
        <f>OR(B25&lt;&gt;"",E25&lt;&gt;"")</f>
        <v/>
      </c>
      <c r="N25">
        <f>AND(C25&lt;&gt;"",D25&lt;&gt;"")</f>
        <v/>
      </c>
      <c r="O25">
        <f>OR(C25&lt;&gt;"",D25&lt;&gt;"")</f>
        <v/>
      </c>
      <c r="P25">
        <f>AND(C25&lt;&gt;"",E25&lt;&gt;"")</f>
        <v/>
      </c>
      <c r="Q25">
        <f>OR(C25&lt;&gt;"",E25&lt;&gt;"")</f>
        <v/>
      </c>
      <c r="R25">
        <f>AND(D25&lt;&gt;"",E25&lt;&gt;"")</f>
        <v/>
      </c>
      <c r="S25">
        <f>OR(D25&lt;&gt;"",E25&lt;&gt;"")</f>
        <v/>
      </c>
      <c r="V25">
        <f>AND(B25&lt;&gt;"",C25&lt;&gt;"",F25="No")</f>
        <v/>
      </c>
      <c r="W25">
        <f>AND(OR(B25&lt;&gt;"",C25&lt;&gt;""),F25="No")</f>
        <v/>
      </c>
      <c r="X25">
        <f>AND(B25&lt;&gt;"",D25&lt;&gt;"",F25="No")</f>
        <v/>
      </c>
      <c r="Y25">
        <f>AND(OR(B25&lt;&gt;"",D25&lt;&gt;""),F25="No")</f>
        <v/>
      </c>
      <c r="Z25">
        <f>AND(B25&lt;&gt;"",E25&lt;&gt;"",F25="No")</f>
        <v/>
      </c>
      <c r="AA25">
        <f>AND(OR(B25&lt;&gt;"",E25&lt;&gt;""),F25="No")</f>
        <v/>
      </c>
      <c r="AB25">
        <f>AND(C25&lt;&gt;"",D25&lt;&gt;"",F25="No")</f>
        <v/>
      </c>
      <c r="AC25">
        <f>AND(OR(C25&lt;&gt;"",D25&lt;&gt;""),F25="No")</f>
        <v/>
      </c>
      <c r="AD25">
        <f>AND(C25&lt;&gt;"",E25&lt;&gt;"",F25="No")</f>
        <v/>
      </c>
      <c r="AE25">
        <f>AND(OR(C25&lt;&gt;"",E25&lt;&gt;""),F25="No")</f>
        <v/>
      </c>
      <c r="AF25">
        <f>AND(D25&lt;&gt;"",E25&lt;&gt;"",F25="No")</f>
        <v/>
      </c>
      <c r="AG25">
        <f>AND(OR(D25&lt;&gt;"",E25&lt;&gt;""),F25="No")</f>
        <v/>
      </c>
    </row>
    <row r="26">
      <c r="A26" t="inlineStr">
        <is>
          <t>H.4.5</t>
        </is>
      </c>
      <c r="B26" s="27" t="inlineStr">
        <is>
          <t>X</t>
        </is>
      </c>
      <c r="C26" s="27" t="inlineStr">
        <is>
          <t>X</t>
        </is>
      </c>
      <c r="D26" s="27" t="inlineStr">
        <is>
          <t>X</t>
        </is>
      </c>
      <c r="E26" s="27" t="inlineStr">
        <is>
          <t>X</t>
        </is>
      </c>
      <c r="F26" s="47" t="inlineStr">
        <is>
          <t>No</t>
        </is>
      </c>
      <c r="H26">
        <f>AND(B26&lt;&gt;"",C26&lt;&gt;"")</f>
        <v/>
      </c>
      <c r="I26">
        <f>OR(B26&lt;&gt;"",C26&lt;&gt;"")</f>
        <v/>
      </c>
      <c r="J26">
        <f>AND(B26&lt;&gt;"",D26&lt;&gt;"")</f>
        <v/>
      </c>
      <c r="K26">
        <f>OR(B26&lt;&gt;"",D26&lt;&gt;"")</f>
        <v/>
      </c>
      <c r="L26">
        <f>AND(B26&lt;&gt;"",E26&lt;&gt;"")</f>
        <v/>
      </c>
      <c r="M26">
        <f>OR(B26&lt;&gt;"",E26&lt;&gt;"")</f>
        <v/>
      </c>
      <c r="N26">
        <f>AND(C26&lt;&gt;"",D26&lt;&gt;"")</f>
        <v/>
      </c>
      <c r="O26">
        <f>OR(C26&lt;&gt;"",D26&lt;&gt;"")</f>
        <v/>
      </c>
      <c r="P26">
        <f>AND(C26&lt;&gt;"",E26&lt;&gt;"")</f>
        <v/>
      </c>
      <c r="Q26">
        <f>OR(C26&lt;&gt;"",E26&lt;&gt;"")</f>
        <v/>
      </c>
      <c r="R26">
        <f>AND(D26&lt;&gt;"",E26&lt;&gt;"")</f>
        <v/>
      </c>
      <c r="S26">
        <f>OR(D26&lt;&gt;"",E26&lt;&gt;"")</f>
        <v/>
      </c>
      <c r="V26">
        <f>AND(B26&lt;&gt;"",C26&lt;&gt;"",F26="No")</f>
        <v/>
      </c>
      <c r="W26">
        <f>AND(OR(B26&lt;&gt;"",C26&lt;&gt;""),F26="No")</f>
        <v/>
      </c>
      <c r="X26">
        <f>AND(B26&lt;&gt;"",D26&lt;&gt;"",F26="No")</f>
        <v/>
      </c>
      <c r="Y26">
        <f>AND(OR(B26&lt;&gt;"",D26&lt;&gt;""),F26="No")</f>
        <v/>
      </c>
      <c r="Z26">
        <f>AND(B26&lt;&gt;"",E26&lt;&gt;"",F26="No")</f>
        <v/>
      </c>
      <c r="AA26">
        <f>AND(OR(B26&lt;&gt;"",E26&lt;&gt;""),F26="No")</f>
        <v/>
      </c>
      <c r="AB26">
        <f>AND(C26&lt;&gt;"",D26&lt;&gt;"",F26="No")</f>
        <v/>
      </c>
      <c r="AC26">
        <f>AND(OR(C26&lt;&gt;"",D26&lt;&gt;""),F26="No")</f>
        <v/>
      </c>
      <c r="AD26">
        <f>AND(C26&lt;&gt;"",E26&lt;&gt;"",F26="No")</f>
        <v/>
      </c>
      <c r="AE26">
        <f>AND(OR(C26&lt;&gt;"",E26&lt;&gt;""),F26="No")</f>
        <v/>
      </c>
      <c r="AF26">
        <f>AND(D26&lt;&gt;"",E26&lt;&gt;"",F26="No")</f>
        <v/>
      </c>
      <c r="AG26">
        <f>AND(OR(D26&lt;&gt;"",E26&lt;&gt;""),F26="No")</f>
        <v/>
      </c>
    </row>
    <row r="27">
      <c r="A27" t="inlineStr">
        <is>
          <t>H.4.7</t>
        </is>
      </c>
      <c r="E27" s="27" t="inlineStr">
        <is>
          <t>P</t>
        </is>
      </c>
      <c r="F27" s="47" t="inlineStr">
        <is>
          <t>No</t>
        </is>
      </c>
      <c r="H27">
        <f>AND(B27&lt;&gt;"",C27&lt;&gt;"")</f>
        <v/>
      </c>
      <c r="I27">
        <f>OR(B27&lt;&gt;"",C27&lt;&gt;"")</f>
        <v/>
      </c>
      <c r="J27">
        <f>AND(B27&lt;&gt;"",D27&lt;&gt;"")</f>
        <v/>
      </c>
      <c r="K27">
        <f>OR(B27&lt;&gt;"",D27&lt;&gt;"")</f>
        <v/>
      </c>
      <c r="L27">
        <f>AND(B27&lt;&gt;"",E27&lt;&gt;"")</f>
        <v/>
      </c>
      <c r="M27">
        <f>OR(B27&lt;&gt;"",E27&lt;&gt;"")</f>
        <v/>
      </c>
      <c r="N27">
        <f>AND(C27&lt;&gt;"",D27&lt;&gt;"")</f>
        <v/>
      </c>
      <c r="O27">
        <f>OR(C27&lt;&gt;"",D27&lt;&gt;"")</f>
        <v/>
      </c>
      <c r="P27">
        <f>AND(C27&lt;&gt;"",E27&lt;&gt;"")</f>
        <v/>
      </c>
      <c r="Q27">
        <f>OR(C27&lt;&gt;"",E27&lt;&gt;"")</f>
        <v/>
      </c>
      <c r="R27">
        <f>AND(D27&lt;&gt;"",E27&lt;&gt;"")</f>
        <v/>
      </c>
      <c r="S27">
        <f>OR(D27&lt;&gt;"",E27&lt;&gt;"")</f>
        <v/>
      </c>
      <c r="V27">
        <f>AND(B27&lt;&gt;"",C27&lt;&gt;"",F27="No")</f>
        <v/>
      </c>
      <c r="W27">
        <f>AND(OR(B27&lt;&gt;"",C27&lt;&gt;""),F27="No")</f>
        <v/>
      </c>
      <c r="X27">
        <f>AND(B27&lt;&gt;"",D27&lt;&gt;"",F27="No")</f>
        <v/>
      </c>
      <c r="Y27">
        <f>AND(OR(B27&lt;&gt;"",D27&lt;&gt;""),F27="No")</f>
        <v/>
      </c>
      <c r="Z27">
        <f>AND(B27&lt;&gt;"",E27&lt;&gt;"",F27="No")</f>
        <v/>
      </c>
      <c r="AA27">
        <f>AND(OR(B27&lt;&gt;"",E27&lt;&gt;""),F27="No")</f>
        <v/>
      </c>
      <c r="AB27">
        <f>AND(C27&lt;&gt;"",D27&lt;&gt;"",F27="No")</f>
        <v/>
      </c>
      <c r="AC27">
        <f>AND(OR(C27&lt;&gt;"",D27&lt;&gt;""),F27="No")</f>
        <v/>
      </c>
      <c r="AD27">
        <f>AND(C27&lt;&gt;"",E27&lt;&gt;"",F27="No")</f>
        <v/>
      </c>
      <c r="AE27">
        <f>AND(OR(C27&lt;&gt;"",E27&lt;&gt;""),F27="No")</f>
        <v/>
      </c>
      <c r="AF27">
        <f>AND(D27&lt;&gt;"",E27&lt;&gt;"",F27="No")</f>
        <v/>
      </c>
      <c r="AG27">
        <f>AND(OR(D27&lt;&gt;"",E27&lt;&gt;""),F27="No")</f>
        <v/>
      </c>
    </row>
    <row r="28">
      <c r="A28" t="inlineStr">
        <is>
          <t>H.4.8</t>
        </is>
      </c>
      <c r="C28" s="27" t="inlineStr">
        <is>
          <t>X</t>
        </is>
      </c>
      <c r="D28" s="27" t="inlineStr">
        <is>
          <t>X</t>
        </is>
      </c>
      <c r="E28" s="27" t="inlineStr">
        <is>
          <t>X</t>
        </is>
      </c>
      <c r="F28" s="47" t="inlineStr">
        <is>
          <t>No</t>
        </is>
      </c>
      <c r="H28">
        <f>AND(B28&lt;&gt;"",C28&lt;&gt;"")</f>
        <v/>
      </c>
      <c r="I28">
        <f>OR(B28&lt;&gt;"",C28&lt;&gt;"")</f>
        <v/>
      </c>
      <c r="J28">
        <f>AND(B28&lt;&gt;"",D28&lt;&gt;"")</f>
        <v/>
      </c>
      <c r="K28">
        <f>OR(B28&lt;&gt;"",D28&lt;&gt;"")</f>
        <v/>
      </c>
      <c r="L28">
        <f>AND(B28&lt;&gt;"",E28&lt;&gt;"")</f>
        <v/>
      </c>
      <c r="M28">
        <f>OR(B28&lt;&gt;"",E28&lt;&gt;"")</f>
        <v/>
      </c>
      <c r="N28">
        <f>AND(C28&lt;&gt;"",D28&lt;&gt;"")</f>
        <v/>
      </c>
      <c r="O28">
        <f>OR(C28&lt;&gt;"",D28&lt;&gt;"")</f>
        <v/>
      </c>
      <c r="P28">
        <f>AND(C28&lt;&gt;"",E28&lt;&gt;"")</f>
        <v/>
      </c>
      <c r="Q28">
        <f>OR(C28&lt;&gt;"",E28&lt;&gt;"")</f>
        <v/>
      </c>
      <c r="R28">
        <f>AND(D28&lt;&gt;"",E28&lt;&gt;"")</f>
        <v/>
      </c>
      <c r="S28">
        <f>OR(D28&lt;&gt;"",E28&lt;&gt;"")</f>
        <v/>
      </c>
      <c r="V28">
        <f>AND(B28&lt;&gt;"",C28&lt;&gt;"",F28="No")</f>
        <v/>
      </c>
      <c r="W28">
        <f>AND(OR(B28&lt;&gt;"",C28&lt;&gt;""),F28="No")</f>
        <v/>
      </c>
      <c r="X28">
        <f>AND(B28&lt;&gt;"",D28&lt;&gt;"",F28="No")</f>
        <v/>
      </c>
      <c r="Y28">
        <f>AND(OR(B28&lt;&gt;"",D28&lt;&gt;""),F28="No")</f>
        <v/>
      </c>
      <c r="Z28">
        <f>AND(B28&lt;&gt;"",E28&lt;&gt;"",F28="No")</f>
        <v/>
      </c>
      <c r="AA28">
        <f>AND(OR(B28&lt;&gt;"",E28&lt;&gt;""),F28="No")</f>
        <v/>
      </c>
      <c r="AB28">
        <f>AND(C28&lt;&gt;"",D28&lt;&gt;"",F28="No")</f>
        <v/>
      </c>
      <c r="AC28">
        <f>AND(OR(C28&lt;&gt;"",D28&lt;&gt;""),F28="No")</f>
        <v/>
      </c>
      <c r="AD28">
        <f>AND(C28&lt;&gt;"",E28&lt;&gt;"",F28="No")</f>
        <v/>
      </c>
      <c r="AE28">
        <f>AND(OR(C28&lt;&gt;"",E28&lt;&gt;""),F28="No")</f>
        <v/>
      </c>
      <c r="AF28">
        <f>AND(D28&lt;&gt;"",E28&lt;&gt;"",F28="No")</f>
        <v/>
      </c>
      <c r="AG28">
        <f>AND(OR(D28&lt;&gt;"",E28&lt;&gt;""),F28="No")</f>
        <v/>
      </c>
    </row>
    <row r="29">
      <c r="A29" s="44" t="inlineStr">
        <is>
          <t>GS.4.10</t>
        </is>
      </c>
      <c r="B29" s="27" t="inlineStr">
        <is>
          <t>X</t>
        </is>
      </c>
      <c r="C29" s="27" t="inlineStr">
        <is>
          <t>X</t>
        </is>
      </c>
      <c r="F29" s="47" t="inlineStr">
        <is>
          <t>No</t>
        </is>
      </c>
      <c r="H29">
        <f>AND(B29&lt;&gt;"",C29&lt;&gt;"")</f>
        <v/>
      </c>
      <c r="I29">
        <f>OR(B29&lt;&gt;"",C29&lt;&gt;"")</f>
        <v/>
      </c>
      <c r="J29">
        <f>AND(B29&lt;&gt;"",D29&lt;&gt;"")</f>
        <v/>
      </c>
      <c r="K29">
        <f>OR(B29&lt;&gt;"",D29&lt;&gt;"")</f>
        <v/>
      </c>
      <c r="L29">
        <f>AND(B29&lt;&gt;"",E29&lt;&gt;"")</f>
        <v/>
      </c>
      <c r="M29">
        <f>OR(B29&lt;&gt;"",E29&lt;&gt;"")</f>
        <v/>
      </c>
      <c r="N29">
        <f>AND(C29&lt;&gt;"",D29&lt;&gt;"")</f>
        <v/>
      </c>
      <c r="O29">
        <f>OR(C29&lt;&gt;"",D29&lt;&gt;"")</f>
        <v/>
      </c>
      <c r="P29">
        <f>AND(C29&lt;&gt;"",E29&lt;&gt;"")</f>
        <v/>
      </c>
      <c r="Q29">
        <f>OR(C29&lt;&gt;"",E29&lt;&gt;"")</f>
        <v/>
      </c>
      <c r="R29">
        <f>AND(D29&lt;&gt;"",E29&lt;&gt;"")</f>
        <v/>
      </c>
      <c r="S29">
        <f>OR(D29&lt;&gt;"",E29&lt;&gt;"")</f>
        <v/>
      </c>
      <c r="V29">
        <f>AND(B29&lt;&gt;"",C29&lt;&gt;"",F29="No")</f>
        <v/>
      </c>
      <c r="W29">
        <f>AND(OR(B29&lt;&gt;"",C29&lt;&gt;""),F29="No")</f>
        <v/>
      </c>
      <c r="X29">
        <f>AND(B29&lt;&gt;"",D29&lt;&gt;"",F29="No")</f>
        <v/>
      </c>
      <c r="Y29">
        <f>AND(OR(B29&lt;&gt;"",D29&lt;&gt;""),F29="No")</f>
        <v/>
      </c>
      <c r="Z29">
        <f>AND(B29&lt;&gt;"",E29&lt;&gt;"",F29="No")</f>
        <v/>
      </c>
      <c r="AA29">
        <f>AND(OR(B29&lt;&gt;"",E29&lt;&gt;""),F29="No")</f>
        <v/>
      </c>
      <c r="AB29">
        <f>AND(C29&lt;&gt;"",D29&lt;&gt;"",F29="No")</f>
        <v/>
      </c>
      <c r="AC29">
        <f>AND(OR(C29&lt;&gt;"",D29&lt;&gt;""),F29="No")</f>
        <v/>
      </c>
      <c r="AD29">
        <f>AND(C29&lt;&gt;"",E29&lt;&gt;"",F29="No")</f>
        <v/>
      </c>
      <c r="AE29">
        <f>AND(OR(C29&lt;&gt;"",E29&lt;&gt;""),F29="No")</f>
        <v/>
      </c>
      <c r="AF29">
        <f>AND(D29&lt;&gt;"",E29&lt;&gt;"",F29="No")</f>
        <v/>
      </c>
      <c r="AG29">
        <f>AND(OR(D29&lt;&gt;"",E29&lt;&gt;""),F29="No")</f>
        <v/>
      </c>
    </row>
    <row r="30">
      <c r="A30" s="44" t="inlineStr">
        <is>
          <t>GS.4.14</t>
        </is>
      </c>
      <c r="B30" s="27" t="inlineStr">
        <is>
          <t>X</t>
        </is>
      </c>
      <c r="C30" s="27" t="inlineStr">
        <is>
          <t>X</t>
        </is>
      </c>
      <c r="D30" s="27" t="inlineStr">
        <is>
          <t>X</t>
        </is>
      </c>
      <c r="E30" s="27" t="inlineStr">
        <is>
          <t>X</t>
        </is>
      </c>
      <c r="F30" s="47" t="inlineStr">
        <is>
          <t>No</t>
        </is>
      </c>
      <c r="H30">
        <f>AND(B30&lt;&gt;"",C30&lt;&gt;"")</f>
        <v/>
      </c>
      <c r="I30">
        <f>OR(B30&lt;&gt;"",C30&lt;&gt;"")</f>
        <v/>
      </c>
      <c r="J30">
        <f>AND(B30&lt;&gt;"",D30&lt;&gt;"")</f>
        <v/>
      </c>
      <c r="K30">
        <f>OR(B30&lt;&gt;"",D30&lt;&gt;"")</f>
        <v/>
      </c>
      <c r="L30">
        <f>AND(B30&lt;&gt;"",E30&lt;&gt;"")</f>
        <v/>
      </c>
      <c r="M30">
        <f>OR(B30&lt;&gt;"",E30&lt;&gt;"")</f>
        <v/>
      </c>
      <c r="N30">
        <f>AND(C30&lt;&gt;"",D30&lt;&gt;"")</f>
        <v/>
      </c>
      <c r="O30">
        <f>OR(C30&lt;&gt;"",D30&lt;&gt;"")</f>
        <v/>
      </c>
      <c r="P30">
        <f>AND(C30&lt;&gt;"",E30&lt;&gt;"")</f>
        <v/>
      </c>
      <c r="Q30">
        <f>OR(C30&lt;&gt;"",E30&lt;&gt;"")</f>
        <v/>
      </c>
      <c r="R30">
        <f>AND(D30&lt;&gt;"",E30&lt;&gt;"")</f>
        <v/>
      </c>
      <c r="S30">
        <f>OR(D30&lt;&gt;"",E30&lt;&gt;"")</f>
        <v/>
      </c>
      <c r="V30">
        <f>AND(B30&lt;&gt;"",C30&lt;&gt;"",F30="No")</f>
        <v/>
      </c>
      <c r="W30">
        <f>AND(OR(B30&lt;&gt;"",C30&lt;&gt;""),F30="No")</f>
        <v/>
      </c>
      <c r="X30">
        <f>AND(B30&lt;&gt;"",D30&lt;&gt;"",F30="No")</f>
        <v/>
      </c>
      <c r="Y30">
        <f>AND(OR(B30&lt;&gt;"",D30&lt;&gt;""),F30="No")</f>
        <v/>
      </c>
      <c r="Z30">
        <f>AND(B30&lt;&gt;"",E30&lt;&gt;"",F30="No")</f>
        <v/>
      </c>
      <c r="AA30">
        <f>AND(OR(B30&lt;&gt;"",E30&lt;&gt;""),F30="No")</f>
        <v/>
      </c>
      <c r="AB30">
        <f>AND(C30&lt;&gt;"",D30&lt;&gt;"",F30="No")</f>
        <v/>
      </c>
      <c r="AC30">
        <f>AND(OR(C30&lt;&gt;"",D30&lt;&gt;""),F30="No")</f>
        <v/>
      </c>
      <c r="AD30">
        <f>AND(C30&lt;&gt;"",E30&lt;&gt;"",F30="No")</f>
        <v/>
      </c>
      <c r="AE30">
        <f>AND(OR(C30&lt;&gt;"",E30&lt;&gt;""),F30="No")</f>
        <v/>
      </c>
      <c r="AF30">
        <f>AND(D30&lt;&gt;"",E30&lt;&gt;"",F30="No")</f>
        <v/>
      </c>
      <c r="AG30">
        <f>AND(OR(D30&lt;&gt;"",E30&lt;&gt;""),F30="No")</f>
        <v/>
      </c>
    </row>
    <row r="31">
      <c r="A31" s="44" t="inlineStr">
        <is>
          <t>GS.4.20</t>
        </is>
      </c>
      <c r="B31" s="27" t="inlineStr">
        <is>
          <t>X</t>
        </is>
      </c>
      <c r="C31" s="27" t="inlineStr">
        <is>
          <t>X</t>
        </is>
      </c>
      <c r="D31" s="27" t="inlineStr">
        <is>
          <t>X</t>
        </is>
      </c>
      <c r="E31" s="27" t="inlineStr">
        <is>
          <t>X</t>
        </is>
      </c>
      <c r="F31" s="47" t="inlineStr">
        <is>
          <t>No</t>
        </is>
      </c>
      <c r="H31">
        <f>AND(B31&lt;&gt;"",C31&lt;&gt;"")</f>
        <v/>
      </c>
      <c r="I31">
        <f>OR(B31&lt;&gt;"",C31&lt;&gt;"")</f>
        <v/>
      </c>
      <c r="J31">
        <f>AND(B31&lt;&gt;"",D31&lt;&gt;"")</f>
        <v/>
      </c>
      <c r="K31">
        <f>OR(B31&lt;&gt;"",D31&lt;&gt;"")</f>
        <v/>
      </c>
      <c r="L31">
        <f>AND(B31&lt;&gt;"",E31&lt;&gt;"")</f>
        <v/>
      </c>
      <c r="M31">
        <f>OR(B31&lt;&gt;"",E31&lt;&gt;"")</f>
        <v/>
      </c>
      <c r="N31">
        <f>AND(C31&lt;&gt;"",D31&lt;&gt;"")</f>
        <v/>
      </c>
      <c r="O31">
        <f>OR(C31&lt;&gt;"",D31&lt;&gt;"")</f>
        <v/>
      </c>
      <c r="P31">
        <f>AND(C31&lt;&gt;"",E31&lt;&gt;"")</f>
        <v/>
      </c>
      <c r="Q31">
        <f>OR(C31&lt;&gt;"",E31&lt;&gt;"")</f>
        <v/>
      </c>
      <c r="R31">
        <f>AND(D31&lt;&gt;"",E31&lt;&gt;"")</f>
        <v/>
      </c>
      <c r="S31">
        <f>OR(D31&lt;&gt;"",E31&lt;&gt;"")</f>
        <v/>
      </c>
      <c r="V31">
        <f>AND(B31&lt;&gt;"",C31&lt;&gt;"",F31="No")</f>
        <v/>
      </c>
      <c r="W31">
        <f>AND(OR(B31&lt;&gt;"",C31&lt;&gt;""),F31="No")</f>
        <v/>
      </c>
      <c r="X31">
        <f>AND(B31&lt;&gt;"",D31&lt;&gt;"",F31="No")</f>
        <v/>
      </c>
      <c r="Y31">
        <f>AND(OR(B31&lt;&gt;"",D31&lt;&gt;""),F31="No")</f>
        <v/>
      </c>
      <c r="Z31">
        <f>AND(B31&lt;&gt;"",E31&lt;&gt;"",F31="No")</f>
        <v/>
      </c>
      <c r="AA31">
        <f>AND(OR(B31&lt;&gt;"",E31&lt;&gt;""),F31="No")</f>
        <v/>
      </c>
      <c r="AB31">
        <f>AND(C31&lt;&gt;"",D31&lt;&gt;"",F31="No")</f>
        <v/>
      </c>
      <c r="AC31">
        <f>AND(OR(C31&lt;&gt;"",D31&lt;&gt;""),F31="No")</f>
        <v/>
      </c>
      <c r="AD31">
        <f>AND(C31&lt;&gt;"",E31&lt;&gt;"",F31="No")</f>
        <v/>
      </c>
      <c r="AE31">
        <f>AND(OR(C31&lt;&gt;"",E31&lt;&gt;""),F31="No")</f>
        <v/>
      </c>
      <c r="AF31">
        <f>AND(D31&lt;&gt;"",E31&lt;&gt;"",F31="No")</f>
        <v/>
      </c>
      <c r="AG31">
        <f>AND(OR(D31&lt;&gt;"",E31&lt;&gt;""),F31="No")</f>
        <v/>
      </c>
    </row>
    <row r="32">
      <c r="A32" s="44" t="inlineStr">
        <is>
          <t>GS.4.21</t>
        </is>
      </c>
      <c r="E32" s="27" t="inlineStr">
        <is>
          <t>X</t>
        </is>
      </c>
      <c r="F32" s="47" t="inlineStr">
        <is>
          <t>No</t>
        </is>
      </c>
      <c r="H32">
        <f>AND(B32&lt;&gt;"",C32&lt;&gt;"")</f>
        <v/>
      </c>
      <c r="I32">
        <f>OR(B32&lt;&gt;"",C32&lt;&gt;"")</f>
        <v/>
      </c>
      <c r="J32">
        <f>AND(B32&lt;&gt;"",D32&lt;&gt;"")</f>
        <v/>
      </c>
      <c r="K32">
        <f>OR(B32&lt;&gt;"",D32&lt;&gt;"")</f>
        <v/>
      </c>
      <c r="L32">
        <f>AND(B32&lt;&gt;"",E32&lt;&gt;"")</f>
        <v/>
      </c>
      <c r="M32">
        <f>OR(B32&lt;&gt;"",E32&lt;&gt;"")</f>
        <v/>
      </c>
      <c r="N32">
        <f>AND(C32&lt;&gt;"",D32&lt;&gt;"")</f>
        <v/>
      </c>
      <c r="O32">
        <f>OR(C32&lt;&gt;"",D32&lt;&gt;"")</f>
        <v/>
      </c>
      <c r="P32">
        <f>AND(C32&lt;&gt;"",E32&lt;&gt;"")</f>
        <v/>
      </c>
      <c r="Q32">
        <f>OR(C32&lt;&gt;"",E32&lt;&gt;"")</f>
        <v/>
      </c>
      <c r="R32">
        <f>AND(D32&lt;&gt;"",E32&lt;&gt;"")</f>
        <v/>
      </c>
      <c r="S32">
        <f>OR(D32&lt;&gt;"",E32&lt;&gt;"")</f>
        <v/>
      </c>
      <c r="V32">
        <f>AND(B32&lt;&gt;"",C32&lt;&gt;"",F32="No")</f>
        <v/>
      </c>
      <c r="W32">
        <f>AND(OR(B32&lt;&gt;"",C32&lt;&gt;""),F32="No")</f>
        <v/>
      </c>
      <c r="X32">
        <f>AND(B32&lt;&gt;"",D32&lt;&gt;"",F32="No")</f>
        <v/>
      </c>
      <c r="Y32">
        <f>AND(OR(B32&lt;&gt;"",D32&lt;&gt;""),F32="No")</f>
        <v/>
      </c>
      <c r="Z32">
        <f>AND(B32&lt;&gt;"",E32&lt;&gt;"",F32="No")</f>
        <v/>
      </c>
      <c r="AA32">
        <f>AND(OR(B32&lt;&gt;"",E32&lt;&gt;""),F32="No")</f>
        <v/>
      </c>
      <c r="AB32">
        <f>AND(C32&lt;&gt;"",D32&lt;&gt;"",F32="No")</f>
        <v/>
      </c>
      <c r="AC32">
        <f>AND(OR(C32&lt;&gt;"",D32&lt;&gt;""),F32="No")</f>
        <v/>
      </c>
      <c r="AD32">
        <f>AND(C32&lt;&gt;"",E32&lt;&gt;"",F32="No")</f>
        <v/>
      </c>
      <c r="AE32">
        <f>AND(OR(C32&lt;&gt;"",E32&lt;&gt;""),F32="No")</f>
        <v/>
      </c>
      <c r="AF32">
        <f>AND(D32&lt;&gt;"",E32&lt;&gt;"",F32="No")</f>
        <v/>
      </c>
      <c r="AG32">
        <f>AND(OR(D32&lt;&gt;"",E32&lt;&gt;""),F32="No")</f>
        <v/>
      </c>
    </row>
    <row r="33">
      <c r="A33" t="inlineStr">
        <is>
          <t>H.5.1</t>
        </is>
      </c>
      <c r="B33" s="27" t="inlineStr">
        <is>
          <t>X</t>
        </is>
      </c>
      <c r="C33" s="27" t="inlineStr">
        <is>
          <t>X</t>
        </is>
      </c>
      <c r="D33" s="27" t="inlineStr">
        <is>
          <t>X</t>
        </is>
      </c>
      <c r="E33" s="27" t="inlineStr">
        <is>
          <t>X</t>
        </is>
      </c>
      <c r="F33" s="47" t="inlineStr">
        <is>
          <t>No</t>
        </is>
      </c>
      <c r="H33">
        <f>AND(B33&lt;&gt;"",C33&lt;&gt;"")</f>
        <v/>
      </c>
      <c r="I33">
        <f>OR(B33&lt;&gt;"",C33&lt;&gt;"")</f>
        <v/>
      </c>
      <c r="J33">
        <f>AND(B33&lt;&gt;"",D33&lt;&gt;"")</f>
        <v/>
      </c>
      <c r="K33">
        <f>OR(B33&lt;&gt;"",D33&lt;&gt;"")</f>
        <v/>
      </c>
      <c r="L33">
        <f>AND(B33&lt;&gt;"",E33&lt;&gt;"")</f>
        <v/>
      </c>
      <c r="M33">
        <f>OR(B33&lt;&gt;"",E33&lt;&gt;"")</f>
        <v/>
      </c>
      <c r="N33">
        <f>AND(C33&lt;&gt;"",D33&lt;&gt;"")</f>
        <v/>
      </c>
      <c r="O33">
        <f>OR(C33&lt;&gt;"",D33&lt;&gt;"")</f>
        <v/>
      </c>
      <c r="P33">
        <f>AND(C33&lt;&gt;"",E33&lt;&gt;"")</f>
        <v/>
      </c>
      <c r="Q33">
        <f>OR(C33&lt;&gt;"",E33&lt;&gt;"")</f>
        <v/>
      </c>
      <c r="R33">
        <f>AND(D33&lt;&gt;"",E33&lt;&gt;"")</f>
        <v/>
      </c>
      <c r="S33">
        <f>OR(D33&lt;&gt;"",E33&lt;&gt;"")</f>
        <v/>
      </c>
      <c r="V33">
        <f>AND(B33&lt;&gt;"",C33&lt;&gt;"",F33="No")</f>
        <v/>
      </c>
      <c r="W33">
        <f>AND(OR(B33&lt;&gt;"",C33&lt;&gt;""),F33="No")</f>
        <v/>
      </c>
      <c r="X33">
        <f>AND(B33&lt;&gt;"",D33&lt;&gt;"",F33="No")</f>
        <v/>
      </c>
      <c r="Y33">
        <f>AND(OR(B33&lt;&gt;"",D33&lt;&gt;""),F33="No")</f>
        <v/>
      </c>
      <c r="Z33">
        <f>AND(B33&lt;&gt;"",E33&lt;&gt;"",F33="No")</f>
        <v/>
      </c>
      <c r="AA33">
        <f>AND(OR(B33&lt;&gt;"",E33&lt;&gt;""),F33="No")</f>
        <v/>
      </c>
      <c r="AB33">
        <f>AND(C33&lt;&gt;"",D33&lt;&gt;"",F33="No")</f>
        <v/>
      </c>
      <c r="AC33">
        <f>AND(OR(C33&lt;&gt;"",D33&lt;&gt;""),F33="No")</f>
        <v/>
      </c>
      <c r="AD33">
        <f>AND(C33&lt;&gt;"",E33&lt;&gt;"",F33="No")</f>
        <v/>
      </c>
      <c r="AE33">
        <f>AND(OR(C33&lt;&gt;"",E33&lt;&gt;""),F33="No")</f>
        <v/>
      </c>
      <c r="AF33">
        <f>AND(D33&lt;&gt;"",E33&lt;&gt;"",F33="No")</f>
        <v/>
      </c>
      <c r="AG33">
        <f>AND(OR(D33&lt;&gt;"",E33&lt;&gt;""),F33="No")</f>
        <v/>
      </c>
    </row>
    <row r="34">
      <c r="A34" s="44" t="inlineStr">
        <is>
          <t>GS.5.3</t>
        </is>
      </c>
      <c r="B34" s="27" t="inlineStr">
        <is>
          <t>X</t>
        </is>
      </c>
      <c r="D34" s="27" t="inlineStr">
        <is>
          <t>X</t>
        </is>
      </c>
      <c r="F34" s="47" t="inlineStr">
        <is>
          <t>No</t>
        </is>
      </c>
      <c r="H34">
        <f>AND(B34&lt;&gt;"",C34&lt;&gt;"")</f>
        <v/>
      </c>
      <c r="I34">
        <f>OR(B34&lt;&gt;"",C34&lt;&gt;"")</f>
        <v/>
      </c>
      <c r="J34">
        <f>AND(B34&lt;&gt;"",D34&lt;&gt;"")</f>
        <v/>
      </c>
      <c r="K34">
        <f>OR(B34&lt;&gt;"",D34&lt;&gt;"")</f>
        <v/>
      </c>
      <c r="L34">
        <f>AND(B34&lt;&gt;"",E34&lt;&gt;"")</f>
        <v/>
      </c>
      <c r="M34">
        <f>OR(B34&lt;&gt;"",E34&lt;&gt;"")</f>
        <v/>
      </c>
      <c r="N34">
        <f>AND(C34&lt;&gt;"",D34&lt;&gt;"")</f>
        <v/>
      </c>
      <c r="O34">
        <f>OR(C34&lt;&gt;"",D34&lt;&gt;"")</f>
        <v/>
      </c>
      <c r="P34">
        <f>AND(C34&lt;&gt;"",E34&lt;&gt;"")</f>
        <v/>
      </c>
      <c r="Q34">
        <f>OR(C34&lt;&gt;"",E34&lt;&gt;"")</f>
        <v/>
      </c>
      <c r="R34">
        <f>AND(D34&lt;&gt;"",E34&lt;&gt;"")</f>
        <v/>
      </c>
      <c r="S34">
        <f>OR(D34&lt;&gt;"",E34&lt;&gt;"")</f>
        <v/>
      </c>
      <c r="V34">
        <f>AND(B34&lt;&gt;"",C34&lt;&gt;"",F34="No")</f>
        <v/>
      </c>
      <c r="W34">
        <f>AND(OR(B34&lt;&gt;"",C34&lt;&gt;""),F34="No")</f>
        <v/>
      </c>
      <c r="X34">
        <f>AND(B34&lt;&gt;"",D34&lt;&gt;"",F34="No")</f>
        <v/>
      </c>
      <c r="Y34">
        <f>AND(OR(B34&lt;&gt;"",D34&lt;&gt;""),F34="No")</f>
        <v/>
      </c>
      <c r="Z34">
        <f>AND(B34&lt;&gt;"",E34&lt;&gt;"",F34="No")</f>
        <v/>
      </c>
      <c r="AA34">
        <f>AND(OR(B34&lt;&gt;"",E34&lt;&gt;""),F34="No")</f>
        <v/>
      </c>
      <c r="AB34">
        <f>AND(C34&lt;&gt;"",D34&lt;&gt;"",F34="No")</f>
        <v/>
      </c>
      <c r="AC34">
        <f>AND(OR(C34&lt;&gt;"",D34&lt;&gt;""),F34="No")</f>
        <v/>
      </c>
      <c r="AD34">
        <f>AND(C34&lt;&gt;"",E34&lt;&gt;"",F34="No")</f>
        <v/>
      </c>
      <c r="AE34">
        <f>AND(OR(C34&lt;&gt;"",E34&lt;&gt;""),F34="No")</f>
        <v/>
      </c>
      <c r="AF34">
        <f>AND(D34&lt;&gt;"",E34&lt;&gt;"",F34="No")</f>
        <v/>
      </c>
      <c r="AG34">
        <f>AND(OR(D34&lt;&gt;"",E34&lt;&gt;""),F34="No")</f>
        <v/>
      </c>
    </row>
    <row r="35">
      <c r="A35" s="44" t="inlineStr">
        <is>
          <t>GS.5.5</t>
        </is>
      </c>
      <c r="B35" s="27" t="inlineStr">
        <is>
          <t>X</t>
        </is>
      </c>
      <c r="F35" s="47" t="inlineStr">
        <is>
          <t>No</t>
        </is>
      </c>
      <c r="H35">
        <f>AND(B35&lt;&gt;"",C35&lt;&gt;"")</f>
        <v/>
      </c>
      <c r="I35">
        <f>OR(B35&lt;&gt;"",C35&lt;&gt;"")</f>
        <v/>
      </c>
      <c r="J35">
        <f>AND(B35&lt;&gt;"",D35&lt;&gt;"")</f>
        <v/>
      </c>
      <c r="K35">
        <f>OR(B35&lt;&gt;"",D35&lt;&gt;"")</f>
        <v/>
      </c>
      <c r="L35">
        <f>AND(B35&lt;&gt;"",E35&lt;&gt;"")</f>
        <v/>
      </c>
      <c r="M35">
        <f>OR(B35&lt;&gt;"",E35&lt;&gt;"")</f>
        <v/>
      </c>
      <c r="N35">
        <f>AND(C35&lt;&gt;"",D35&lt;&gt;"")</f>
        <v/>
      </c>
      <c r="O35">
        <f>OR(C35&lt;&gt;"",D35&lt;&gt;"")</f>
        <v/>
      </c>
      <c r="P35">
        <f>AND(C35&lt;&gt;"",E35&lt;&gt;"")</f>
        <v/>
      </c>
      <c r="Q35">
        <f>OR(C35&lt;&gt;"",E35&lt;&gt;"")</f>
        <v/>
      </c>
      <c r="R35">
        <f>AND(D35&lt;&gt;"",E35&lt;&gt;"")</f>
        <v/>
      </c>
      <c r="S35">
        <f>OR(D35&lt;&gt;"",E35&lt;&gt;"")</f>
        <v/>
      </c>
      <c r="V35">
        <f>AND(B35&lt;&gt;"",C35&lt;&gt;"",F35="No")</f>
        <v/>
      </c>
      <c r="W35">
        <f>AND(OR(B35&lt;&gt;"",C35&lt;&gt;""),F35="No")</f>
        <v/>
      </c>
      <c r="X35">
        <f>AND(B35&lt;&gt;"",D35&lt;&gt;"",F35="No")</f>
        <v/>
      </c>
      <c r="Y35">
        <f>AND(OR(B35&lt;&gt;"",D35&lt;&gt;""),F35="No")</f>
        <v/>
      </c>
      <c r="Z35">
        <f>AND(B35&lt;&gt;"",E35&lt;&gt;"",F35="No")</f>
        <v/>
      </c>
      <c r="AA35">
        <f>AND(OR(B35&lt;&gt;"",E35&lt;&gt;""),F35="No")</f>
        <v/>
      </c>
      <c r="AB35">
        <f>AND(C35&lt;&gt;"",D35&lt;&gt;"",F35="No")</f>
        <v/>
      </c>
      <c r="AC35">
        <f>AND(OR(C35&lt;&gt;"",D35&lt;&gt;""),F35="No")</f>
        <v/>
      </c>
      <c r="AD35">
        <f>AND(C35&lt;&gt;"",E35&lt;&gt;"",F35="No")</f>
        <v/>
      </c>
      <c r="AE35">
        <f>AND(OR(C35&lt;&gt;"",E35&lt;&gt;""),F35="No")</f>
        <v/>
      </c>
      <c r="AF35">
        <f>AND(D35&lt;&gt;"",E35&lt;&gt;"",F35="No")</f>
        <v/>
      </c>
      <c r="AG35">
        <f>AND(OR(D35&lt;&gt;"",E35&lt;&gt;""),F35="No")</f>
        <v/>
      </c>
    </row>
    <row r="36">
      <c r="A36" t="inlineStr">
        <is>
          <t>L3.5.6</t>
        </is>
      </c>
      <c r="D36" s="27" t="inlineStr">
        <is>
          <t>X</t>
        </is>
      </c>
      <c r="F36" s="47" t="inlineStr">
        <is>
          <t>Yes</t>
        </is>
      </c>
      <c r="H36">
        <f>AND(B36&lt;&gt;"",C36&lt;&gt;"")</f>
        <v/>
      </c>
      <c r="I36">
        <f>OR(B36&lt;&gt;"",C36&lt;&gt;"")</f>
        <v/>
      </c>
      <c r="J36">
        <f>AND(B36&lt;&gt;"",D36&lt;&gt;"")</f>
        <v/>
      </c>
      <c r="K36">
        <f>OR(B36&lt;&gt;"",D36&lt;&gt;"")</f>
        <v/>
      </c>
      <c r="L36">
        <f>AND(B36&lt;&gt;"",E36&lt;&gt;"")</f>
        <v/>
      </c>
      <c r="M36">
        <f>OR(B36&lt;&gt;"",E36&lt;&gt;"")</f>
        <v/>
      </c>
      <c r="N36">
        <f>AND(C36&lt;&gt;"",D36&lt;&gt;"")</f>
        <v/>
      </c>
      <c r="O36">
        <f>OR(C36&lt;&gt;"",D36&lt;&gt;"")</f>
        <v/>
      </c>
      <c r="P36">
        <f>AND(C36&lt;&gt;"",E36&lt;&gt;"")</f>
        <v/>
      </c>
      <c r="Q36">
        <f>OR(C36&lt;&gt;"",E36&lt;&gt;"")</f>
        <v/>
      </c>
      <c r="R36">
        <f>AND(D36&lt;&gt;"",E36&lt;&gt;"")</f>
        <v/>
      </c>
      <c r="S36">
        <f>OR(D36&lt;&gt;"",E36&lt;&gt;"")</f>
        <v/>
      </c>
      <c r="V36">
        <f>AND(B36&lt;&gt;"",C36&lt;&gt;"",F36="No")</f>
        <v/>
      </c>
      <c r="W36">
        <f>AND(OR(B36&lt;&gt;"",C36&lt;&gt;""),F36="No")</f>
        <v/>
      </c>
      <c r="X36">
        <f>AND(B36&lt;&gt;"",D36&lt;&gt;"",F36="No")</f>
        <v/>
      </c>
      <c r="Y36">
        <f>AND(OR(B36&lt;&gt;"",D36&lt;&gt;""),F36="No")</f>
        <v/>
      </c>
      <c r="Z36">
        <f>AND(B36&lt;&gt;"",E36&lt;&gt;"",F36="No")</f>
        <v/>
      </c>
      <c r="AA36">
        <f>AND(OR(B36&lt;&gt;"",E36&lt;&gt;""),F36="No")</f>
        <v/>
      </c>
      <c r="AB36">
        <f>AND(C36&lt;&gt;"",D36&lt;&gt;"",F36="No")</f>
        <v/>
      </c>
      <c r="AC36">
        <f>AND(OR(C36&lt;&gt;"",D36&lt;&gt;""),F36="No")</f>
        <v/>
      </c>
      <c r="AD36">
        <f>AND(C36&lt;&gt;"",E36&lt;&gt;"",F36="No")</f>
        <v/>
      </c>
      <c r="AE36">
        <f>AND(OR(C36&lt;&gt;"",E36&lt;&gt;""),F36="No")</f>
        <v/>
      </c>
      <c r="AF36">
        <f>AND(D36&lt;&gt;"",E36&lt;&gt;"",F36="No")</f>
        <v/>
      </c>
      <c r="AG36">
        <f>AND(OR(D36&lt;&gt;"",E36&lt;&gt;""),F36="No")</f>
        <v/>
      </c>
    </row>
    <row r="37">
      <c r="A37" t="inlineStr">
        <is>
          <t>L3.5.7</t>
        </is>
      </c>
      <c r="D37" s="27" t="inlineStr">
        <is>
          <t>X</t>
        </is>
      </c>
      <c r="F37" s="47" t="inlineStr">
        <is>
          <t>Yes</t>
        </is>
      </c>
      <c r="H37">
        <f>AND(B37&lt;&gt;"",C37&lt;&gt;"")</f>
        <v/>
      </c>
      <c r="I37">
        <f>OR(B37&lt;&gt;"",C37&lt;&gt;"")</f>
        <v/>
      </c>
      <c r="J37">
        <f>AND(B37&lt;&gt;"",D37&lt;&gt;"")</f>
        <v/>
      </c>
      <c r="K37">
        <f>OR(B37&lt;&gt;"",D37&lt;&gt;"")</f>
        <v/>
      </c>
      <c r="L37">
        <f>AND(B37&lt;&gt;"",E37&lt;&gt;"")</f>
        <v/>
      </c>
      <c r="M37">
        <f>OR(B37&lt;&gt;"",E37&lt;&gt;"")</f>
        <v/>
      </c>
      <c r="N37">
        <f>AND(C37&lt;&gt;"",D37&lt;&gt;"")</f>
        <v/>
      </c>
      <c r="O37">
        <f>OR(C37&lt;&gt;"",D37&lt;&gt;"")</f>
        <v/>
      </c>
      <c r="P37">
        <f>AND(C37&lt;&gt;"",E37&lt;&gt;"")</f>
        <v/>
      </c>
      <c r="Q37">
        <f>OR(C37&lt;&gt;"",E37&lt;&gt;"")</f>
        <v/>
      </c>
      <c r="R37">
        <f>AND(D37&lt;&gt;"",E37&lt;&gt;"")</f>
        <v/>
      </c>
      <c r="S37">
        <f>OR(D37&lt;&gt;"",E37&lt;&gt;"")</f>
        <v/>
      </c>
      <c r="V37">
        <f>AND(B37&lt;&gt;"",C37&lt;&gt;"",F37="No")</f>
        <v/>
      </c>
      <c r="W37">
        <f>AND(OR(B37&lt;&gt;"",C37&lt;&gt;""),F37="No")</f>
        <v/>
      </c>
      <c r="X37">
        <f>AND(B37&lt;&gt;"",D37&lt;&gt;"",F37="No")</f>
        <v/>
      </c>
      <c r="Y37">
        <f>AND(OR(B37&lt;&gt;"",D37&lt;&gt;""),F37="No")</f>
        <v/>
      </c>
      <c r="Z37">
        <f>AND(B37&lt;&gt;"",E37&lt;&gt;"",F37="No")</f>
        <v/>
      </c>
      <c r="AA37">
        <f>AND(OR(B37&lt;&gt;"",E37&lt;&gt;""),F37="No")</f>
        <v/>
      </c>
      <c r="AB37">
        <f>AND(C37&lt;&gt;"",D37&lt;&gt;"",F37="No")</f>
        <v/>
      </c>
      <c r="AC37">
        <f>AND(OR(C37&lt;&gt;"",D37&lt;&gt;""),F37="No")</f>
        <v/>
      </c>
      <c r="AD37">
        <f>AND(C37&lt;&gt;"",E37&lt;&gt;"",F37="No")</f>
        <v/>
      </c>
      <c r="AE37">
        <f>AND(OR(C37&lt;&gt;"",E37&lt;&gt;""),F37="No")</f>
        <v/>
      </c>
      <c r="AF37">
        <f>AND(D37&lt;&gt;"",E37&lt;&gt;"",F37="No")</f>
        <v/>
      </c>
      <c r="AG37">
        <f>AND(OR(D37&lt;&gt;"",E37&lt;&gt;""),F37="No")</f>
        <v/>
      </c>
    </row>
    <row r="38">
      <c r="A38" t="inlineStr">
        <is>
          <t>H.6.1</t>
        </is>
      </c>
      <c r="B38" s="27" t="inlineStr">
        <is>
          <t>X</t>
        </is>
      </c>
      <c r="C38" s="27" t="inlineStr">
        <is>
          <t>X</t>
        </is>
      </c>
      <c r="D38" s="27" t="inlineStr">
        <is>
          <t>X</t>
        </is>
      </c>
      <c r="E38" s="27" t="inlineStr">
        <is>
          <t>X</t>
        </is>
      </c>
      <c r="F38" s="47" t="inlineStr">
        <is>
          <t>No</t>
        </is>
      </c>
      <c r="H38">
        <f>AND(B38&lt;&gt;"",C38&lt;&gt;"")</f>
        <v/>
      </c>
      <c r="I38">
        <f>OR(B38&lt;&gt;"",C38&lt;&gt;"")</f>
        <v/>
      </c>
      <c r="J38">
        <f>AND(B38&lt;&gt;"",D38&lt;&gt;"")</f>
        <v/>
      </c>
      <c r="K38">
        <f>OR(B38&lt;&gt;"",D38&lt;&gt;"")</f>
        <v/>
      </c>
      <c r="L38">
        <f>AND(B38&lt;&gt;"",E38&lt;&gt;"")</f>
        <v/>
      </c>
      <c r="M38">
        <f>OR(B38&lt;&gt;"",E38&lt;&gt;"")</f>
        <v/>
      </c>
      <c r="N38">
        <f>AND(C38&lt;&gt;"",D38&lt;&gt;"")</f>
        <v/>
      </c>
      <c r="O38">
        <f>OR(C38&lt;&gt;"",D38&lt;&gt;"")</f>
        <v/>
      </c>
      <c r="P38">
        <f>AND(C38&lt;&gt;"",E38&lt;&gt;"")</f>
        <v/>
      </c>
      <c r="Q38">
        <f>OR(C38&lt;&gt;"",E38&lt;&gt;"")</f>
        <v/>
      </c>
      <c r="R38">
        <f>AND(D38&lt;&gt;"",E38&lt;&gt;"")</f>
        <v/>
      </c>
      <c r="S38">
        <f>OR(D38&lt;&gt;"",E38&lt;&gt;"")</f>
        <v/>
      </c>
      <c r="V38">
        <f>AND(B38&lt;&gt;"",C38&lt;&gt;"",F38="No")</f>
        <v/>
      </c>
      <c r="W38">
        <f>AND(OR(B38&lt;&gt;"",C38&lt;&gt;""),F38="No")</f>
        <v/>
      </c>
      <c r="X38">
        <f>AND(B38&lt;&gt;"",D38&lt;&gt;"",F38="No")</f>
        <v/>
      </c>
      <c r="Y38">
        <f>AND(OR(B38&lt;&gt;"",D38&lt;&gt;""),F38="No")</f>
        <v/>
      </c>
      <c r="Z38">
        <f>AND(B38&lt;&gt;"",E38&lt;&gt;"",F38="No")</f>
        <v/>
      </c>
      <c r="AA38">
        <f>AND(OR(B38&lt;&gt;"",E38&lt;&gt;""),F38="No")</f>
        <v/>
      </c>
      <c r="AB38">
        <f>AND(C38&lt;&gt;"",D38&lt;&gt;"",F38="No")</f>
        <v/>
      </c>
      <c r="AC38">
        <f>AND(OR(C38&lt;&gt;"",D38&lt;&gt;""),F38="No")</f>
        <v/>
      </c>
      <c r="AD38">
        <f>AND(C38&lt;&gt;"",E38&lt;&gt;"",F38="No")</f>
        <v/>
      </c>
      <c r="AE38">
        <f>AND(OR(C38&lt;&gt;"",E38&lt;&gt;""),F38="No")</f>
        <v/>
      </c>
      <c r="AF38">
        <f>AND(D38&lt;&gt;"",E38&lt;&gt;"",F38="No")</f>
        <v/>
      </c>
      <c r="AG38">
        <f>AND(OR(D38&lt;&gt;"",E38&lt;&gt;""),F38="No")</f>
        <v/>
      </c>
    </row>
    <row r="39">
      <c r="A39" s="44" t="inlineStr">
        <is>
          <t>GS.6.4</t>
        </is>
      </c>
      <c r="E39" s="27" t="inlineStr">
        <is>
          <t>X</t>
        </is>
      </c>
      <c r="F39" s="47" t="inlineStr">
        <is>
          <t>No</t>
        </is>
      </c>
      <c r="H39">
        <f>AND(B39&lt;&gt;"",C39&lt;&gt;"")</f>
        <v/>
      </c>
      <c r="I39">
        <f>OR(B39&lt;&gt;"",C39&lt;&gt;"")</f>
        <v/>
      </c>
      <c r="J39">
        <f>AND(B39&lt;&gt;"",D39&lt;&gt;"")</f>
        <v/>
      </c>
      <c r="K39">
        <f>OR(B39&lt;&gt;"",D39&lt;&gt;"")</f>
        <v/>
      </c>
      <c r="L39">
        <f>AND(B39&lt;&gt;"",E39&lt;&gt;"")</f>
        <v/>
      </c>
      <c r="M39">
        <f>OR(B39&lt;&gt;"",E39&lt;&gt;"")</f>
        <v/>
      </c>
      <c r="N39">
        <f>AND(C39&lt;&gt;"",D39&lt;&gt;"")</f>
        <v/>
      </c>
      <c r="O39">
        <f>OR(C39&lt;&gt;"",D39&lt;&gt;"")</f>
        <v/>
      </c>
      <c r="P39">
        <f>AND(C39&lt;&gt;"",E39&lt;&gt;"")</f>
        <v/>
      </c>
      <c r="Q39">
        <f>OR(C39&lt;&gt;"",E39&lt;&gt;"")</f>
        <v/>
      </c>
      <c r="R39">
        <f>AND(D39&lt;&gt;"",E39&lt;&gt;"")</f>
        <v/>
      </c>
      <c r="S39">
        <f>OR(D39&lt;&gt;"",E39&lt;&gt;"")</f>
        <v/>
      </c>
      <c r="V39">
        <f>AND(B39&lt;&gt;"",C39&lt;&gt;"",F39="No")</f>
        <v/>
      </c>
      <c r="W39">
        <f>AND(OR(B39&lt;&gt;"",C39&lt;&gt;""),F39="No")</f>
        <v/>
      </c>
      <c r="X39">
        <f>AND(B39&lt;&gt;"",D39&lt;&gt;"",F39="No")</f>
        <v/>
      </c>
      <c r="Y39">
        <f>AND(OR(B39&lt;&gt;"",D39&lt;&gt;""),F39="No")</f>
        <v/>
      </c>
      <c r="Z39">
        <f>AND(B39&lt;&gt;"",E39&lt;&gt;"",F39="No")</f>
        <v/>
      </c>
      <c r="AA39">
        <f>AND(OR(B39&lt;&gt;"",E39&lt;&gt;""),F39="No")</f>
        <v/>
      </c>
      <c r="AB39">
        <f>AND(C39&lt;&gt;"",D39&lt;&gt;"",F39="No")</f>
        <v/>
      </c>
      <c r="AC39">
        <f>AND(OR(C39&lt;&gt;"",D39&lt;&gt;""),F39="No")</f>
        <v/>
      </c>
      <c r="AD39">
        <f>AND(C39&lt;&gt;"",E39&lt;&gt;"",F39="No")</f>
        <v/>
      </c>
      <c r="AE39">
        <f>AND(OR(C39&lt;&gt;"",E39&lt;&gt;""),F39="No")</f>
        <v/>
      </c>
      <c r="AF39">
        <f>AND(D39&lt;&gt;"",E39&lt;&gt;"",F39="No")</f>
        <v/>
      </c>
      <c r="AG39">
        <f>AND(OR(D39&lt;&gt;"",E39&lt;&gt;""),F39="No")</f>
        <v/>
      </c>
    </row>
    <row r="40">
      <c r="A40" t="inlineStr">
        <is>
          <t>H.7.1</t>
        </is>
      </c>
      <c r="B40" s="27" t="inlineStr">
        <is>
          <t>X</t>
        </is>
      </c>
      <c r="C40" s="27" t="inlineStr">
        <is>
          <t>X</t>
        </is>
      </c>
      <c r="D40" s="27" t="inlineStr">
        <is>
          <t>X</t>
        </is>
      </c>
      <c r="E40" s="27" t="inlineStr">
        <is>
          <t>X</t>
        </is>
      </c>
      <c r="F40" s="47" t="inlineStr">
        <is>
          <t>No</t>
        </is>
      </c>
      <c r="H40">
        <f>AND(B40&lt;&gt;"",C40&lt;&gt;"")</f>
        <v/>
      </c>
      <c r="I40">
        <f>OR(B40&lt;&gt;"",C40&lt;&gt;"")</f>
        <v/>
      </c>
      <c r="J40">
        <f>AND(B40&lt;&gt;"",D40&lt;&gt;"")</f>
        <v/>
      </c>
      <c r="K40">
        <f>OR(B40&lt;&gt;"",D40&lt;&gt;"")</f>
        <v/>
      </c>
      <c r="L40">
        <f>AND(B40&lt;&gt;"",E40&lt;&gt;"")</f>
        <v/>
      </c>
      <c r="M40">
        <f>OR(B40&lt;&gt;"",E40&lt;&gt;"")</f>
        <v/>
      </c>
      <c r="N40">
        <f>AND(C40&lt;&gt;"",D40&lt;&gt;"")</f>
        <v/>
      </c>
      <c r="O40">
        <f>OR(C40&lt;&gt;"",D40&lt;&gt;"")</f>
        <v/>
      </c>
      <c r="P40">
        <f>AND(C40&lt;&gt;"",E40&lt;&gt;"")</f>
        <v/>
      </c>
      <c r="Q40">
        <f>OR(C40&lt;&gt;"",E40&lt;&gt;"")</f>
        <v/>
      </c>
      <c r="R40">
        <f>AND(D40&lt;&gt;"",E40&lt;&gt;"")</f>
        <v/>
      </c>
      <c r="S40">
        <f>OR(D40&lt;&gt;"",E40&lt;&gt;"")</f>
        <v/>
      </c>
      <c r="V40">
        <f>AND(B40&lt;&gt;"",C40&lt;&gt;"",F40="No")</f>
        <v/>
      </c>
      <c r="W40">
        <f>AND(OR(B40&lt;&gt;"",C40&lt;&gt;""),F40="No")</f>
        <v/>
      </c>
      <c r="X40">
        <f>AND(B40&lt;&gt;"",D40&lt;&gt;"",F40="No")</f>
        <v/>
      </c>
      <c r="Y40">
        <f>AND(OR(B40&lt;&gt;"",D40&lt;&gt;""),F40="No")</f>
        <v/>
      </c>
      <c r="Z40">
        <f>AND(B40&lt;&gt;"",E40&lt;&gt;"",F40="No")</f>
        <v/>
      </c>
      <c r="AA40">
        <f>AND(OR(B40&lt;&gt;"",E40&lt;&gt;""),F40="No")</f>
        <v/>
      </c>
      <c r="AB40">
        <f>AND(C40&lt;&gt;"",D40&lt;&gt;"",F40="No")</f>
        <v/>
      </c>
      <c r="AC40">
        <f>AND(OR(C40&lt;&gt;"",D40&lt;&gt;""),F40="No")</f>
        <v/>
      </c>
      <c r="AD40">
        <f>AND(C40&lt;&gt;"",E40&lt;&gt;"",F40="No")</f>
        <v/>
      </c>
      <c r="AE40">
        <f>AND(OR(C40&lt;&gt;"",E40&lt;&gt;""),F40="No")</f>
        <v/>
      </c>
      <c r="AF40">
        <f>AND(D40&lt;&gt;"",E40&lt;&gt;"",F40="No")</f>
        <v/>
      </c>
      <c r="AG40">
        <f>AND(OR(D40&lt;&gt;"",E40&lt;&gt;""),F40="No")</f>
        <v/>
      </c>
    </row>
    <row r="41">
      <c r="A41" t="inlineStr">
        <is>
          <t>H.7.2</t>
        </is>
      </c>
      <c r="B41" s="27" t="inlineStr">
        <is>
          <t>X</t>
        </is>
      </c>
      <c r="C41" s="27" t="inlineStr">
        <is>
          <t>X</t>
        </is>
      </c>
      <c r="E41" s="27" t="inlineStr">
        <is>
          <t>X</t>
        </is>
      </c>
      <c r="F41" s="47" t="inlineStr">
        <is>
          <t>No</t>
        </is>
      </c>
      <c r="H41">
        <f>AND(B41&lt;&gt;"",C41&lt;&gt;"")</f>
        <v/>
      </c>
      <c r="I41">
        <f>OR(B41&lt;&gt;"",C41&lt;&gt;"")</f>
        <v/>
      </c>
      <c r="J41">
        <f>AND(B41&lt;&gt;"",D41&lt;&gt;"")</f>
        <v/>
      </c>
      <c r="K41">
        <f>OR(B41&lt;&gt;"",D41&lt;&gt;"")</f>
        <v/>
      </c>
      <c r="L41">
        <f>AND(B41&lt;&gt;"",E41&lt;&gt;"")</f>
        <v/>
      </c>
      <c r="M41">
        <f>OR(B41&lt;&gt;"",E41&lt;&gt;"")</f>
        <v/>
      </c>
      <c r="N41">
        <f>AND(C41&lt;&gt;"",D41&lt;&gt;"")</f>
        <v/>
      </c>
      <c r="O41">
        <f>OR(C41&lt;&gt;"",D41&lt;&gt;"")</f>
        <v/>
      </c>
      <c r="P41">
        <f>AND(C41&lt;&gt;"",E41&lt;&gt;"")</f>
        <v/>
      </c>
      <c r="Q41">
        <f>OR(C41&lt;&gt;"",E41&lt;&gt;"")</f>
        <v/>
      </c>
      <c r="R41">
        <f>AND(D41&lt;&gt;"",E41&lt;&gt;"")</f>
        <v/>
      </c>
      <c r="S41">
        <f>OR(D41&lt;&gt;"",E41&lt;&gt;"")</f>
        <v/>
      </c>
      <c r="V41">
        <f>AND(B41&lt;&gt;"",C41&lt;&gt;"",F41="No")</f>
        <v/>
      </c>
      <c r="W41">
        <f>AND(OR(B41&lt;&gt;"",C41&lt;&gt;""),F41="No")</f>
        <v/>
      </c>
      <c r="X41">
        <f>AND(B41&lt;&gt;"",D41&lt;&gt;"",F41="No")</f>
        <v/>
      </c>
      <c r="Y41">
        <f>AND(OR(B41&lt;&gt;"",D41&lt;&gt;""),F41="No")</f>
        <v/>
      </c>
      <c r="Z41">
        <f>AND(B41&lt;&gt;"",E41&lt;&gt;"",F41="No")</f>
        <v/>
      </c>
      <c r="AA41">
        <f>AND(OR(B41&lt;&gt;"",E41&lt;&gt;""),F41="No")</f>
        <v/>
      </c>
      <c r="AB41">
        <f>AND(C41&lt;&gt;"",D41&lt;&gt;"",F41="No")</f>
        <v/>
      </c>
      <c r="AC41">
        <f>AND(OR(C41&lt;&gt;"",D41&lt;&gt;""),F41="No")</f>
        <v/>
      </c>
      <c r="AD41">
        <f>AND(C41&lt;&gt;"",E41&lt;&gt;"",F41="No")</f>
        <v/>
      </c>
      <c r="AE41">
        <f>AND(OR(C41&lt;&gt;"",E41&lt;&gt;""),F41="No")</f>
        <v/>
      </c>
      <c r="AF41">
        <f>AND(D41&lt;&gt;"",E41&lt;&gt;"",F41="No")</f>
        <v/>
      </c>
      <c r="AG41">
        <f>AND(OR(D41&lt;&gt;"",E41&lt;&gt;""),F41="No")</f>
        <v/>
      </c>
    </row>
    <row r="42">
      <c r="A42" t="inlineStr">
        <is>
          <t>H.7.3</t>
        </is>
      </c>
      <c r="B42" s="27" t="inlineStr">
        <is>
          <t>X</t>
        </is>
      </c>
      <c r="C42" s="27" t="inlineStr">
        <is>
          <t>X</t>
        </is>
      </c>
      <c r="D42" s="27" t="inlineStr">
        <is>
          <t>X</t>
        </is>
      </c>
      <c r="E42" s="27" t="inlineStr">
        <is>
          <t>X</t>
        </is>
      </c>
      <c r="F42" s="47" t="inlineStr">
        <is>
          <t>No</t>
        </is>
      </c>
      <c r="H42">
        <f>AND(B42&lt;&gt;"",C42&lt;&gt;"")</f>
        <v/>
      </c>
      <c r="I42">
        <f>OR(B42&lt;&gt;"",C42&lt;&gt;"")</f>
        <v/>
      </c>
      <c r="J42">
        <f>AND(B42&lt;&gt;"",D42&lt;&gt;"")</f>
        <v/>
      </c>
      <c r="K42">
        <f>OR(B42&lt;&gt;"",D42&lt;&gt;"")</f>
        <v/>
      </c>
      <c r="L42">
        <f>AND(B42&lt;&gt;"",E42&lt;&gt;"")</f>
        <v/>
      </c>
      <c r="M42">
        <f>OR(B42&lt;&gt;"",E42&lt;&gt;"")</f>
        <v/>
      </c>
      <c r="N42">
        <f>AND(C42&lt;&gt;"",D42&lt;&gt;"")</f>
        <v/>
      </c>
      <c r="O42">
        <f>OR(C42&lt;&gt;"",D42&lt;&gt;"")</f>
        <v/>
      </c>
      <c r="P42">
        <f>AND(C42&lt;&gt;"",E42&lt;&gt;"")</f>
        <v/>
      </c>
      <c r="Q42">
        <f>OR(C42&lt;&gt;"",E42&lt;&gt;"")</f>
        <v/>
      </c>
      <c r="R42">
        <f>AND(D42&lt;&gt;"",E42&lt;&gt;"")</f>
        <v/>
      </c>
      <c r="S42">
        <f>OR(D42&lt;&gt;"",E42&lt;&gt;"")</f>
        <v/>
      </c>
      <c r="V42">
        <f>AND(B42&lt;&gt;"",C42&lt;&gt;"",F42="No")</f>
        <v/>
      </c>
      <c r="W42">
        <f>AND(OR(B42&lt;&gt;"",C42&lt;&gt;""),F42="No")</f>
        <v/>
      </c>
      <c r="X42">
        <f>AND(B42&lt;&gt;"",D42&lt;&gt;"",F42="No")</f>
        <v/>
      </c>
      <c r="Y42">
        <f>AND(OR(B42&lt;&gt;"",D42&lt;&gt;""),F42="No")</f>
        <v/>
      </c>
      <c r="Z42">
        <f>AND(B42&lt;&gt;"",E42&lt;&gt;"",F42="No")</f>
        <v/>
      </c>
      <c r="AA42">
        <f>AND(OR(B42&lt;&gt;"",E42&lt;&gt;""),F42="No")</f>
        <v/>
      </c>
      <c r="AB42">
        <f>AND(C42&lt;&gt;"",D42&lt;&gt;"",F42="No")</f>
        <v/>
      </c>
      <c r="AC42">
        <f>AND(OR(C42&lt;&gt;"",D42&lt;&gt;""),F42="No")</f>
        <v/>
      </c>
      <c r="AD42">
        <f>AND(C42&lt;&gt;"",E42&lt;&gt;"",F42="No")</f>
        <v/>
      </c>
      <c r="AE42">
        <f>AND(OR(C42&lt;&gt;"",E42&lt;&gt;""),F42="No")</f>
        <v/>
      </c>
      <c r="AF42">
        <f>AND(D42&lt;&gt;"",E42&lt;&gt;"",F42="No")</f>
        <v/>
      </c>
      <c r="AG42">
        <f>AND(OR(D42&lt;&gt;"",E42&lt;&gt;""),F42="No")</f>
        <v/>
      </c>
    </row>
    <row r="43">
      <c r="A43" s="44" t="inlineStr">
        <is>
          <t>GS.7.5</t>
        </is>
      </c>
      <c r="E43" s="27" t="inlineStr">
        <is>
          <t>X</t>
        </is>
      </c>
      <c r="F43" s="47" t="inlineStr">
        <is>
          <t>No</t>
        </is>
      </c>
      <c r="H43">
        <f>AND(B43&lt;&gt;"",C43&lt;&gt;"")</f>
        <v/>
      </c>
      <c r="I43">
        <f>OR(B43&lt;&gt;"",C43&lt;&gt;"")</f>
        <v/>
      </c>
      <c r="J43">
        <f>AND(B43&lt;&gt;"",D43&lt;&gt;"")</f>
        <v/>
      </c>
      <c r="K43">
        <f>OR(B43&lt;&gt;"",D43&lt;&gt;"")</f>
        <v/>
      </c>
      <c r="L43">
        <f>AND(B43&lt;&gt;"",E43&lt;&gt;"")</f>
        <v/>
      </c>
      <c r="M43">
        <f>OR(B43&lt;&gt;"",E43&lt;&gt;"")</f>
        <v/>
      </c>
      <c r="N43">
        <f>AND(C43&lt;&gt;"",D43&lt;&gt;"")</f>
        <v/>
      </c>
      <c r="O43">
        <f>OR(C43&lt;&gt;"",D43&lt;&gt;"")</f>
        <v/>
      </c>
      <c r="P43">
        <f>AND(C43&lt;&gt;"",E43&lt;&gt;"")</f>
        <v/>
      </c>
      <c r="Q43">
        <f>OR(C43&lt;&gt;"",E43&lt;&gt;"")</f>
        <v/>
      </c>
      <c r="R43">
        <f>AND(D43&lt;&gt;"",E43&lt;&gt;"")</f>
        <v/>
      </c>
      <c r="S43">
        <f>OR(D43&lt;&gt;"",E43&lt;&gt;"")</f>
        <v/>
      </c>
      <c r="V43">
        <f>AND(B43&lt;&gt;"",C43&lt;&gt;"",F43="No")</f>
        <v/>
      </c>
      <c r="W43">
        <f>AND(OR(B43&lt;&gt;"",C43&lt;&gt;""),F43="No")</f>
        <v/>
      </c>
      <c r="X43">
        <f>AND(B43&lt;&gt;"",D43&lt;&gt;"",F43="No")</f>
        <v/>
      </c>
      <c r="Y43">
        <f>AND(OR(B43&lt;&gt;"",D43&lt;&gt;""),F43="No")</f>
        <v/>
      </c>
      <c r="Z43">
        <f>AND(B43&lt;&gt;"",E43&lt;&gt;"",F43="No")</f>
        <v/>
      </c>
      <c r="AA43">
        <f>AND(OR(B43&lt;&gt;"",E43&lt;&gt;""),F43="No")</f>
        <v/>
      </c>
      <c r="AB43">
        <f>AND(C43&lt;&gt;"",D43&lt;&gt;"",F43="No")</f>
        <v/>
      </c>
      <c r="AC43">
        <f>AND(OR(C43&lt;&gt;"",D43&lt;&gt;""),F43="No")</f>
        <v/>
      </c>
      <c r="AD43">
        <f>AND(C43&lt;&gt;"",E43&lt;&gt;"",F43="No")</f>
        <v/>
      </c>
      <c r="AE43">
        <f>AND(OR(C43&lt;&gt;"",E43&lt;&gt;""),F43="No")</f>
        <v/>
      </c>
      <c r="AF43">
        <f>AND(D43&lt;&gt;"",E43&lt;&gt;"",F43="No")</f>
        <v/>
      </c>
      <c r="AG43">
        <f>AND(OR(D43&lt;&gt;"",E43&lt;&gt;""),F43="No")</f>
        <v/>
      </c>
    </row>
    <row r="44">
      <c r="A44" s="44" t="inlineStr">
        <is>
          <t>GS.7.6</t>
        </is>
      </c>
      <c r="D44" s="27" t="inlineStr">
        <is>
          <t>X</t>
        </is>
      </c>
      <c r="F44" s="47" t="inlineStr">
        <is>
          <t>No</t>
        </is>
      </c>
      <c r="H44">
        <f>AND(B44&lt;&gt;"",C44&lt;&gt;"")</f>
        <v/>
      </c>
      <c r="I44">
        <f>OR(B44&lt;&gt;"",C44&lt;&gt;"")</f>
        <v/>
      </c>
      <c r="J44">
        <f>AND(B44&lt;&gt;"",D44&lt;&gt;"")</f>
        <v/>
      </c>
      <c r="K44">
        <f>OR(B44&lt;&gt;"",D44&lt;&gt;"")</f>
        <v/>
      </c>
      <c r="L44">
        <f>AND(B44&lt;&gt;"",E44&lt;&gt;"")</f>
        <v/>
      </c>
      <c r="M44">
        <f>OR(B44&lt;&gt;"",E44&lt;&gt;"")</f>
        <v/>
      </c>
      <c r="N44">
        <f>AND(C44&lt;&gt;"",D44&lt;&gt;"")</f>
        <v/>
      </c>
      <c r="O44">
        <f>OR(C44&lt;&gt;"",D44&lt;&gt;"")</f>
        <v/>
      </c>
      <c r="P44">
        <f>AND(C44&lt;&gt;"",E44&lt;&gt;"")</f>
        <v/>
      </c>
      <c r="Q44">
        <f>OR(C44&lt;&gt;"",E44&lt;&gt;"")</f>
        <v/>
      </c>
      <c r="R44">
        <f>AND(D44&lt;&gt;"",E44&lt;&gt;"")</f>
        <v/>
      </c>
      <c r="S44">
        <f>OR(D44&lt;&gt;"",E44&lt;&gt;"")</f>
        <v/>
      </c>
      <c r="V44">
        <f>AND(B44&lt;&gt;"",C44&lt;&gt;"",F44="No")</f>
        <v/>
      </c>
      <c r="W44">
        <f>AND(OR(B44&lt;&gt;"",C44&lt;&gt;""),F44="No")</f>
        <v/>
      </c>
      <c r="X44">
        <f>AND(B44&lt;&gt;"",D44&lt;&gt;"",F44="No")</f>
        <v/>
      </c>
      <c r="Y44">
        <f>AND(OR(B44&lt;&gt;"",D44&lt;&gt;""),F44="No")</f>
        <v/>
      </c>
      <c r="Z44">
        <f>AND(B44&lt;&gt;"",E44&lt;&gt;"",F44="No")</f>
        <v/>
      </c>
      <c r="AA44">
        <f>AND(OR(B44&lt;&gt;"",E44&lt;&gt;""),F44="No")</f>
        <v/>
      </c>
      <c r="AB44">
        <f>AND(C44&lt;&gt;"",D44&lt;&gt;"",F44="No")</f>
        <v/>
      </c>
      <c r="AC44">
        <f>AND(OR(C44&lt;&gt;"",D44&lt;&gt;""),F44="No")</f>
        <v/>
      </c>
      <c r="AD44">
        <f>AND(C44&lt;&gt;"",E44&lt;&gt;"",F44="No")</f>
        <v/>
      </c>
      <c r="AE44">
        <f>AND(OR(C44&lt;&gt;"",E44&lt;&gt;""),F44="No")</f>
        <v/>
      </c>
      <c r="AF44">
        <f>AND(D44&lt;&gt;"",E44&lt;&gt;"",F44="No")</f>
        <v/>
      </c>
      <c r="AG44">
        <f>AND(OR(D44&lt;&gt;"",E44&lt;&gt;""),F44="No")</f>
        <v/>
      </c>
    </row>
    <row r="45">
      <c r="A45" s="44" t="inlineStr">
        <is>
          <t>GS.7.9</t>
        </is>
      </c>
      <c r="B45" s="27" t="inlineStr">
        <is>
          <t>X</t>
        </is>
      </c>
      <c r="F45" s="47" t="inlineStr">
        <is>
          <t>No</t>
        </is>
      </c>
      <c r="H45">
        <f>AND(B45&lt;&gt;"",C45&lt;&gt;"")</f>
        <v/>
      </c>
      <c r="I45">
        <f>OR(B45&lt;&gt;"",C45&lt;&gt;"")</f>
        <v/>
      </c>
      <c r="J45">
        <f>AND(B45&lt;&gt;"",D45&lt;&gt;"")</f>
        <v/>
      </c>
      <c r="K45">
        <f>OR(B45&lt;&gt;"",D45&lt;&gt;"")</f>
        <v/>
      </c>
      <c r="L45">
        <f>AND(B45&lt;&gt;"",E45&lt;&gt;"")</f>
        <v/>
      </c>
      <c r="M45">
        <f>OR(B45&lt;&gt;"",E45&lt;&gt;"")</f>
        <v/>
      </c>
      <c r="N45">
        <f>AND(C45&lt;&gt;"",D45&lt;&gt;"")</f>
        <v/>
      </c>
      <c r="O45">
        <f>OR(C45&lt;&gt;"",D45&lt;&gt;"")</f>
        <v/>
      </c>
      <c r="P45">
        <f>AND(C45&lt;&gt;"",E45&lt;&gt;"")</f>
        <v/>
      </c>
      <c r="Q45">
        <f>OR(C45&lt;&gt;"",E45&lt;&gt;"")</f>
        <v/>
      </c>
      <c r="R45">
        <f>AND(D45&lt;&gt;"",E45&lt;&gt;"")</f>
        <v/>
      </c>
      <c r="S45">
        <f>OR(D45&lt;&gt;"",E45&lt;&gt;"")</f>
        <v/>
      </c>
      <c r="V45">
        <f>AND(B45&lt;&gt;"",C45&lt;&gt;"",F45="No")</f>
        <v/>
      </c>
      <c r="W45">
        <f>AND(OR(B45&lt;&gt;"",C45&lt;&gt;""),F45="No")</f>
        <v/>
      </c>
      <c r="X45">
        <f>AND(B45&lt;&gt;"",D45&lt;&gt;"",F45="No")</f>
        <v/>
      </c>
      <c r="Y45">
        <f>AND(OR(B45&lt;&gt;"",D45&lt;&gt;""),F45="No")</f>
        <v/>
      </c>
      <c r="Z45">
        <f>AND(B45&lt;&gt;"",E45&lt;&gt;"",F45="No")</f>
        <v/>
      </c>
      <c r="AA45">
        <f>AND(OR(B45&lt;&gt;"",E45&lt;&gt;""),F45="No")</f>
        <v/>
      </c>
      <c r="AB45">
        <f>AND(C45&lt;&gt;"",D45&lt;&gt;"",F45="No")</f>
        <v/>
      </c>
      <c r="AC45">
        <f>AND(OR(C45&lt;&gt;"",D45&lt;&gt;""),F45="No")</f>
        <v/>
      </c>
      <c r="AD45">
        <f>AND(C45&lt;&gt;"",E45&lt;&gt;"",F45="No")</f>
        <v/>
      </c>
      <c r="AE45">
        <f>AND(OR(C45&lt;&gt;"",E45&lt;&gt;""),F45="No")</f>
        <v/>
      </c>
      <c r="AF45">
        <f>AND(D45&lt;&gt;"",E45&lt;&gt;"",F45="No")</f>
        <v/>
      </c>
      <c r="AG45">
        <f>AND(OR(D45&lt;&gt;"",E45&lt;&gt;""),F45="No")</f>
        <v/>
      </c>
    </row>
    <row r="46">
      <c r="A46" s="44" t="inlineStr">
        <is>
          <t>GS.7.10</t>
        </is>
      </c>
      <c r="D46" s="27" t="inlineStr">
        <is>
          <t>X</t>
        </is>
      </c>
      <c r="F46" s="47" t="inlineStr">
        <is>
          <t>No</t>
        </is>
      </c>
      <c r="H46">
        <f>AND(B46&lt;&gt;"",C46&lt;&gt;"")</f>
        <v/>
      </c>
      <c r="I46">
        <f>OR(B46&lt;&gt;"",C46&lt;&gt;"")</f>
        <v/>
      </c>
      <c r="J46">
        <f>AND(B46&lt;&gt;"",D46&lt;&gt;"")</f>
        <v/>
      </c>
      <c r="K46">
        <f>OR(B46&lt;&gt;"",D46&lt;&gt;"")</f>
        <v/>
      </c>
      <c r="L46">
        <f>AND(B46&lt;&gt;"",E46&lt;&gt;"")</f>
        <v/>
      </c>
      <c r="M46">
        <f>OR(B46&lt;&gt;"",E46&lt;&gt;"")</f>
        <v/>
      </c>
      <c r="N46">
        <f>AND(C46&lt;&gt;"",D46&lt;&gt;"")</f>
        <v/>
      </c>
      <c r="O46">
        <f>OR(C46&lt;&gt;"",D46&lt;&gt;"")</f>
        <v/>
      </c>
      <c r="P46">
        <f>AND(C46&lt;&gt;"",E46&lt;&gt;"")</f>
        <v/>
      </c>
      <c r="Q46">
        <f>OR(C46&lt;&gt;"",E46&lt;&gt;"")</f>
        <v/>
      </c>
      <c r="R46">
        <f>AND(D46&lt;&gt;"",E46&lt;&gt;"")</f>
        <v/>
      </c>
      <c r="S46">
        <f>OR(D46&lt;&gt;"",E46&lt;&gt;"")</f>
        <v/>
      </c>
      <c r="V46">
        <f>AND(B46&lt;&gt;"",C46&lt;&gt;"",F46="No")</f>
        <v/>
      </c>
      <c r="W46">
        <f>AND(OR(B46&lt;&gt;"",C46&lt;&gt;""),F46="No")</f>
        <v/>
      </c>
      <c r="X46">
        <f>AND(B46&lt;&gt;"",D46&lt;&gt;"",F46="No")</f>
        <v/>
      </c>
      <c r="Y46">
        <f>AND(OR(B46&lt;&gt;"",D46&lt;&gt;""),F46="No")</f>
        <v/>
      </c>
      <c r="Z46">
        <f>AND(B46&lt;&gt;"",E46&lt;&gt;"",F46="No")</f>
        <v/>
      </c>
      <c r="AA46">
        <f>AND(OR(B46&lt;&gt;"",E46&lt;&gt;""),F46="No")</f>
        <v/>
      </c>
      <c r="AB46">
        <f>AND(C46&lt;&gt;"",D46&lt;&gt;"",F46="No")</f>
        <v/>
      </c>
      <c r="AC46">
        <f>AND(OR(C46&lt;&gt;"",D46&lt;&gt;""),F46="No")</f>
        <v/>
      </c>
      <c r="AD46">
        <f>AND(C46&lt;&gt;"",E46&lt;&gt;"",F46="No")</f>
        <v/>
      </c>
      <c r="AE46">
        <f>AND(OR(C46&lt;&gt;"",E46&lt;&gt;""),F46="No")</f>
        <v/>
      </c>
      <c r="AF46">
        <f>AND(D46&lt;&gt;"",E46&lt;&gt;"",F46="No")</f>
        <v/>
      </c>
      <c r="AG46">
        <f>AND(OR(D46&lt;&gt;"",E46&lt;&gt;""),F46="No")</f>
        <v/>
      </c>
    </row>
    <row r="47">
      <c r="A47" t="inlineStr">
        <is>
          <t>H.8.1</t>
        </is>
      </c>
      <c r="B47" s="27" t="inlineStr">
        <is>
          <t>X</t>
        </is>
      </c>
      <c r="C47" s="27" t="inlineStr">
        <is>
          <t>X</t>
        </is>
      </c>
      <c r="D47" s="27" t="inlineStr">
        <is>
          <t>X</t>
        </is>
      </c>
      <c r="E47" s="27" t="inlineStr">
        <is>
          <t>X</t>
        </is>
      </c>
      <c r="F47" s="47" t="inlineStr">
        <is>
          <t>No</t>
        </is>
      </c>
      <c r="H47">
        <f>AND(B47&lt;&gt;"",C47&lt;&gt;"")</f>
        <v/>
      </c>
      <c r="I47">
        <f>OR(B47&lt;&gt;"",C47&lt;&gt;"")</f>
        <v/>
      </c>
      <c r="J47">
        <f>AND(B47&lt;&gt;"",D47&lt;&gt;"")</f>
        <v/>
      </c>
      <c r="K47">
        <f>OR(B47&lt;&gt;"",D47&lt;&gt;"")</f>
        <v/>
      </c>
      <c r="L47">
        <f>AND(B47&lt;&gt;"",E47&lt;&gt;"")</f>
        <v/>
      </c>
      <c r="M47">
        <f>OR(B47&lt;&gt;"",E47&lt;&gt;"")</f>
        <v/>
      </c>
      <c r="N47">
        <f>AND(C47&lt;&gt;"",D47&lt;&gt;"")</f>
        <v/>
      </c>
      <c r="O47">
        <f>OR(C47&lt;&gt;"",D47&lt;&gt;"")</f>
        <v/>
      </c>
      <c r="P47">
        <f>AND(C47&lt;&gt;"",E47&lt;&gt;"")</f>
        <v/>
      </c>
      <c r="Q47">
        <f>OR(C47&lt;&gt;"",E47&lt;&gt;"")</f>
        <v/>
      </c>
      <c r="R47">
        <f>AND(D47&lt;&gt;"",E47&lt;&gt;"")</f>
        <v/>
      </c>
      <c r="S47">
        <f>OR(D47&lt;&gt;"",E47&lt;&gt;"")</f>
        <v/>
      </c>
      <c r="V47">
        <f>AND(B47&lt;&gt;"",C47&lt;&gt;"",F47="No")</f>
        <v/>
      </c>
      <c r="W47">
        <f>AND(OR(B47&lt;&gt;"",C47&lt;&gt;""),F47="No")</f>
        <v/>
      </c>
      <c r="X47">
        <f>AND(B47&lt;&gt;"",D47&lt;&gt;"",F47="No")</f>
        <v/>
      </c>
      <c r="Y47">
        <f>AND(OR(B47&lt;&gt;"",D47&lt;&gt;""),F47="No")</f>
        <v/>
      </c>
      <c r="Z47">
        <f>AND(B47&lt;&gt;"",E47&lt;&gt;"",F47="No")</f>
        <v/>
      </c>
      <c r="AA47">
        <f>AND(OR(B47&lt;&gt;"",E47&lt;&gt;""),F47="No")</f>
        <v/>
      </c>
      <c r="AB47">
        <f>AND(C47&lt;&gt;"",D47&lt;&gt;"",F47="No")</f>
        <v/>
      </c>
      <c r="AC47">
        <f>AND(OR(C47&lt;&gt;"",D47&lt;&gt;""),F47="No")</f>
        <v/>
      </c>
      <c r="AD47">
        <f>AND(C47&lt;&gt;"",E47&lt;&gt;"",F47="No")</f>
        <v/>
      </c>
      <c r="AE47">
        <f>AND(OR(C47&lt;&gt;"",E47&lt;&gt;""),F47="No")</f>
        <v/>
      </c>
      <c r="AF47">
        <f>AND(D47&lt;&gt;"",E47&lt;&gt;"",F47="No")</f>
        <v/>
      </c>
      <c r="AG47">
        <f>AND(OR(D47&lt;&gt;"",E47&lt;&gt;""),F47="No")</f>
        <v/>
      </c>
    </row>
    <row r="48">
      <c r="A48" s="44" t="inlineStr">
        <is>
          <t>GS.8.2</t>
        </is>
      </c>
      <c r="B48" s="27" t="inlineStr">
        <is>
          <t>X</t>
        </is>
      </c>
      <c r="C48" s="27" t="inlineStr">
        <is>
          <t>X</t>
        </is>
      </c>
      <c r="D48" s="27" t="inlineStr">
        <is>
          <t>X</t>
        </is>
      </c>
      <c r="E48" s="27" t="inlineStr">
        <is>
          <t>X</t>
        </is>
      </c>
      <c r="F48" s="47" t="inlineStr">
        <is>
          <t>No</t>
        </is>
      </c>
      <c r="H48">
        <f>AND(B48&lt;&gt;"",C48&lt;&gt;"")</f>
        <v/>
      </c>
      <c r="I48">
        <f>OR(B48&lt;&gt;"",C48&lt;&gt;"")</f>
        <v/>
      </c>
      <c r="J48">
        <f>AND(B48&lt;&gt;"",D48&lt;&gt;"")</f>
        <v/>
      </c>
      <c r="K48">
        <f>OR(B48&lt;&gt;"",D48&lt;&gt;"")</f>
        <v/>
      </c>
      <c r="L48">
        <f>AND(B48&lt;&gt;"",E48&lt;&gt;"")</f>
        <v/>
      </c>
      <c r="M48">
        <f>OR(B48&lt;&gt;"",E48&lt;&gt;"")</f>
        <v/>
      </c>
      <c r="N48">
        <f>AND(C48&lt;&gt;"",D48&lt;&gt;"")</f>
        <v/>
      </c>
      <c r="O48">
        <f>OR(C48&lt;&gt;"",D48&lt;&gt;"")</f>
        <v/>
      </c>
      <c r="P48">
        <f>AND(C48&lt;&gt;"",E48&lt;&gt;"")</f>
        <v/>
      </c>
      <c r="Q48">
        <f>OR(C48&lt;&gt;"",E48&lt;&gt;"")</f>
        <v/>
      </c>
      <c r="R48">
        <f>AND(D48&lt;&gt;"",E48&lt;&gt;"")</f>
        <v/>
      </c>
      <c r="S48">
        <f>OR(D48&lt;&gt;"",E48&lt;&gt;"")</f>
        <v/>
      </c>
      <c r="V48">
        <f>AND(B48&lt;&gt;"",C48&lt;&gt;"",F48="No")</f>
        <v/>
      </c>
      <c r="W48">
        <f>AND(OR(B48&lt;&gt;"",C48&lt;&gt;""),F48="No")</f>
        <v/>
      </c>
      <c r="X48">
        <f>AND(B48&lt;&gt;"",D48&lt;&gt;"",F48="No")</f>
        <v/>
      </c>
      <c r="Y48">
        <f>AND(OR(B48&lt;&gt;"",D48&lt;&gt;""),F48="No")</f>
        <v/>
      </c>
      <c r="Z48">
        <f>AND(B48&lt;&gt;"",E48&lt;&gt;"",F48="No")</f>
        <v/>
      </c>
      <c r="AA48">
        <f>AND(OR(B48&lt;&gt;"",E48&lt;&gt;""),F48="No")</f>
        <v/>
      </c>
      <c r="AB48">
        <f>AND(C48&lt;&gt;"",D48&lt;&gt;"",F48="No")</f>
        <v/>
      </c>
      <c r="AC48">
        <f>AND(OR(C48&lt;&gt;"",D48&lt;&gt;""),F48="No")</f>
        <v/>
      </c>
      <c r="AD48">
        <f>AND(C48&lt;&gt;"",E48&lt;&gt;"",F48="No")</f>
        <v/>
      </c>
      <c r="AE48">
        <f>AND(OR(C48&lt;&gt;"",E48&lt;&gt;""),F48="No")</f>
        <v/>
      </c>
      <c r="AF48">
        <f>AND(D48&lt;&gt;"",E48&lt;&gt;"",F48="No")</f>
        <v/>
      </c>
      <c r="AG48">
        <f>AND(OR(D48&lt;&gt;"",E48&lt;&gt;""),F48="No")</f>
        <v/>
      </c>
    </row>
    <row r="49">
      <c r="A49" s="44" t="inlineStr">
        <is>
          <t>GS.8.3</t>
        </is>
      </c>
      <c r="D49" s="27" t="inlineStr">
        <is>
          <t>X</t>
        </is>
      </c>
      <c r="F49" s="47" t="inlineStr">
        <is>
          <t>No</t>
        </is>
      </c>
      <c r="H49">
        <f>AND(B49&lt;&gt;"",C49&lt;&gt;"")</f>
        <v/>
      </c>
      <c r="I49">
        <f>OR(B49&lt;&gt;"",C49&lt;&gt;"")</f>
        <v/>
      </c>
      <c r="J49">
        <f>AND(B49&lt;&gt;"",D49&lt;&gt;"")</f>
        <v/>
      </c>
      <c r="K49">
        <f>OR(B49&lt;&gt;"",D49&lt;&gt;"")</f>
        <v/>
      </c>
      <c r="L49">
        <f>AND(B49&lt;&gt;"",E49&lt;&gt;"")</f>
        <v/>
      </c>
      <c r="M49">
        <f>OR(B49&lt;&gt;"",E49&lt;&gt;"")</f>
        <v/>
      </c>
      <c r="N49">
        <f>AND(C49&lt;&gt;"",D49&lt;&gt;"")</f>
        <v/>
      </c>
      <c r="O49">
        <f>OR(C49&lt;&gt;"",D49&lt;&gt;"")</f>
        <v/>
      </c>
      <c r="P49">
        <f>AND(C49&lt;&gt;"",E49&lt;&gt;"")</f>
        <v/>
      </c>
      <c r="Q49">
        <f>OR(C49&lt;&gt;"",E49&lt;&gt;"")</f>
        <v/>
      </c>
      <c r="R49">
        <f>AND(D49&lt;&gt;"",E49&lt;&gt;"")</f>
        <v/>
      </c>
      <c r="S49">
        <f>OR(D49&lt;&gt;"",E49&lt;&gt;"")</f>
        <v/>
      </c>
      <c r="V49">
        <f>AND(B49&lt;&gt;"",C49&lt;&gt;"",F49="No")</f>
        <v/>
      </c>
      <c r="W49">
        <f>AND(OR(B49&lt;&gt;"",C49&lt;&gt;""),F49="No")</f>
        <v/>
      </c>
      <c r="X49">
        <f>AND(B49&lt;&gt;"",D49&lt;&gt;"",F49="No")</f>
        <v/>
      </c>
      <c r="Y49">
        <f>AND(OR(B49&lt;&gt;"",D49&lt;&gt;""),F49="No")</f>
        <v/>
      </c>
      <c r="Z49">
        <f>AND(B49&lt;&gt;"",E49&lt;&gt;"",F49="No")</f>
        <v/>
      </c>
      <c r="AA49">
        <f>AND(OR(B49&lt;&gt;"",E49&lt;&gt;""),F49="No")</f>
        <v/>
      </c>
      <c r="AB49">
        <f>AND(C49&lt;&gt;"",D49&lt;&gt;"",F49="No")</f>
        <v/>
      </c>
      <c r="AC49">
        <f>AND(OR(C49&lt;&gt;"",D49&lt;&gt;""),F49="No")</f>
        <v/>
      </c>
      <c r="AD49">
        <f>AND(C49&lt;&gt;"",E49&lt;&gt;"",F49="No")</f>
        <v/>
      </c>
      <c r="AE49">
        <f>AND(OR(C49&lt;&gt;"",E49&lt;&gt;""),F49="No")</f>
        <v/>
      </c>
      <c r="AF49">
        <f>AND(D49&lt;&gt;"",E49&lt;&gt;"",F49="No")</f>
        <v/>
      </c>
      <c r="AG49">
        <f>AND(OR(D49&lt;&gt;"",E49&lt;&gt;""),F49="No")</f>
        <v/>
      </c>
    </row>
    <row r="50">
      <c r="A50" t="inlineStr">
        <is>
          <t>L3.8.3</t>
        </is>
      </c>
      <c r="C50" s="27" t="inlineStr">
        <is>
          <t>X</t>
        </is>
      </c>
      <c r="D50" s="27" t="inlineStr">
        <is>
          <t>X</t>
        </is>
      </c>
      <c r="E50" s="27" t="inlineStr">
        <is>
          <t>X</t>
        </is>
      </c>
      <c r="F50" s="47" t="inlineStr">
        <is>
          <t>Yes</t>
        </is>
      </c>
      <c r="H50">
        <f>AND(B50&lt;&gt;"",C50&lt;&gt;"")</f>
        <v/>
      </c>
      <c r="I50">
        <f>OR(B50&lt;&gt;"",C50&lt;&gt;"")</f>
        <v/>
      </c>
      <c r="J50">
        <f>AND(B50&lt;&gt;"",D50&lt;&gt;"")</f>
        <v/>
      </c>
      <c r="K50">
        <f>OR(B50&lt;&gt;"",D50&lt;&gt;"")</f>
        <v/>
      </c>
      <c r="L50">
        <f>AND(B50&lt;&gt;"",E50&lt;&gt;"")</f>
        <v/>
      </c>
      <c r="M50">
        <f>OR(B50&lt;&gt;"",E50&lt;&gt;"")</f>
        <v/>
      </c>
      <c r="N50">
        <f>AND(C50&lt;&gt;"",D50&lt;&gt;"")</f>
        <v/>
      </c>
      <c r="O50">
        <f>OR(C50&lt;&gt;"",D50&lt;&gt;"")</f>
        <v/>
      </c>
      <c r="P50">
        <f>AND(C50&lt;&gt;"",E50&lt;&gt;"")</f>
        <v/>
      </c>
      <c r="Q50">
        <f>OR(C50&lt;&gt;"",E50&lt;&gt;"")</f>
        <v/>
      </c>
      <c r="R50">
        <f>AND(D50&lt;&gt;"",E50&lt;&gt;"")</f>
        <v/>
      </c>
      <c r="S50">
        <f>OR(D50&lt;&gt;"",E50&lt;&gt;"")</f>
        <v/>
      </c>
      <c r="V50">
        <f>AND(B50&lt;&gt;"",C50&lt;&gt;"",F50="No")</f>
        <v/>
      </c>
      <c r="W50">
        <f>AND(OR(B50&lt;&gt;"",C50&lt;&gt;""),F50="No")</f>
        <v/>
      </c>
      <c r="X50">
        <f>AND(B50&lt;&gt;"",D50&lt;&gt;"",F50="No")</f>
        <v/>
      </c>
      <c r="Y50">
        <f>AND(OR(B50&lt;&gt;"",D50&lt;&gt;""),F50="No")</f>
        <v/>
      </c>
      <c r="Z50">
        <f>AND(B50&lt;&gt;"",E50&lt;&gt;"",F50="No")</f>
        <v/>
      </c>
      <c r="AA50">
        <f>AND(OR(B50&lt;&gt;"",E50&lt;&gt;""),F50="No")</f>
        <v/>
      </c>
      <c r="AB50">
        <f>AND(C50&lt;&gt;"",D50&lt;&gt;"",F50="No")</f>
        <v/>
      </c>
      <c r="AC50">
        <f>AND(OR(C50&lt;&gt;"",D50&lt;&gt;""),F50="No")</f>
        <v/>
      </c>
      <c r="AD50">
        <f>AND(C50&lt;&gt;"",E50&lt;&gt;"",F50="No")</f>
        <v/>
      </c>
      <c r="AE50">
        <f>AND(OR(C50&lt;&gt;"",E50&lt;&gt;""),F50="No")</f>
        <v/>
      </c>
      <c r="AF50">
        <f>AND(D50&lt;&gt;"",E50&lt;&gt;"",F50="No")</f>
        <v/>
      </c>
      <c r="AG50">
        <f>AND(OR(D50&lt;&gt;"",E50&lt;&gt;""),F50="No")</f>
        <v/>
      </c>
    </row>
    <row r="51">
      <c r="A51" t="inlineStr">
        <is>
          <t>L3.8.5</t>
        </is>
      </c>
      <c r="E51" s="27" t="inlineStr">
        <is>
          <t>X</t>
        </is>
      </c>
      <c r="F51" s="47" t="inlineStr">
        <is>
          <t>Yes</t>
        </is>
      </c>
      <c r="H51">
        <f>AND(B51&lt;&gt;"",C51&lt;&gt;"")</f>
        <v/>
      </c>
      <c r="I51">
        <f>OR(B51&lt;&gt;"",C51&lt;&gt;"")</f>
        <v/>
      </c>
      <c r="J51">
        <f>AND(B51&lt;&gt;"",D51&lt;&gt;"")</f>
        <v/>
      </c>
      <c r="K51">
        <f>OR(B51&lt;&gt;"",D51&lt;&gt;"")</f>
        <v/>
      </c>
      <c r="L51">
        <f>AND(B51&lt;&gt;"",E51&lt;&gt;"")</f>
        <v/>
      </c>
      <c r="M51">
        <f>OR(B51&lt;&gt;"",E51&lt;&gt;"")</f>
        <v/>
      </c>
      <c r="N51">
        <f>AND(C51&lt;&gt;"",D51&lt;&gt;"")</f>
        <v/>
      </c>
      <c r="O51">
        <f>OR(C51&lt;&gt;"",D51&lt;&gt;"")</f>
        <v/>
      </c>
      <c r="P51">
        <f>AND(C51&lt;&gt;"",E51&lt;&gt;"")</f>
        <v/>
      </c>
      <c r="Q51">
        <f>OR(C51&lt;&gt;"",E51&lt;&gt;"")</f>
        <v/>
      </c>
      <c r="R51">
        <f>AND(D51&lt;&gt;"",E51&lt;&gt;"")</f>
        <v/>
      </c>
      <c r="S51">
        <f>OR(D51&lt;&gt;"",E51&lt;&gt;"")</f>
        <v/>
      </c>
      <c r="V51">
        <f>AND(B51&lt;&gt;"",C51&lt;&gt;"",F51="No")</f>
        <v/>
      </c>
      <c r="W51">
        <f>AND(OR(B51&lt;&gt;"",C51&lt;&gt;""),F51="No")</f>
        <v/>
      </c>
      <c r="X51">
        <f>AND(B51&lt;&gt;"",D51&lt;&gt;"",F51="No")</f>
        <v/>
      </c>
      <c r="Y51">
        <f>AND(OR(B51&lt;&gt;"",D51&lt;&gt;""),F51="No")</f>
        <v/>
      </c>
      <c r="Z51">
        <f>AND(B51&lt;&gt;"",E51&lt;&gt;"",F51="No")</f>
        <v/>
      </c>
      <c r="AA51">
        <f>AND(OR(B51&lt;&gt;"",E51&lt;&gt;""),F51="No")</f>
        <v/>
      </c>
      <c r="AB51">
        <f>AND(C51&lt;&gt;"",D51&lt;&gt;"",F51="No")</f>
        <v/>
      </c>
      <c r="AC51">
        <f>AND(OR(C51&lt;&gt;"",D51&lt;&gt;""),F51="No")</f>
        <v/>
      </c>
      <c r="AD51">
        <f>AND(C51&lt;&gt;"",E51&lt;&gt;"",F51="No")</f>
        <v/>
      </c>
      <c r="AE51">
        <f>AND(OR(C51&lt;&gt;"",E51&lt;&gt;""),F51="No")</f>
        <v/>
      </c>
      <c r="AF51">
        <f>AND(D51&lt;&gt;"",E51&lt;&gt;"",F51="No")</f>
        <v/>
      </c>
      <c r="AG51">
        <f>AND(OR(D51&lt;&gt;"",E51&lt;&gt;""),F51="No")</f>
        <v/>
      </c>
    </row>
    <row r="52">
      <c r="A52" t="inlineStr">
        <is>
          <t>L3.8.6</t>
        </is>
      </c>
      <c r="E52" s="27" t="inlineStr">
        <is>
          <t>X</t>
        </is>
      </c>
      <c r="F52" s="47" t="inlineStr">
        <is>
          <t>Yes</t>
        </is>
      </c>
      <c r="H52">
        <f>AND(B52&lt;&gt;"",C52&lt;&gt;"")</f>
        <v/>
      </c>
      <c r="I52">
        <f>OR(B52&lt;&gt;"",C52&lt;&gt;"")</f>
        <v/>
      </c>
      <c r="J52">
        <f>AND(B52&lt;&gt;"",D52&lt;&gt;"")</f>
        <v/>
      </c>
      <c r="K52">
        <f>OR(B52&lt;&gt;"",D52&lt;&gt;"")</f>
        <v/>
      </c>
      <c r="L52">
        <f>AND(B52&lt;&gt;"",E52&lt;&gt;"")</f>
        <v/>
      </c>
      <c r="M52">
        <f>OR(B52&lt;&gt;"",E52&lt;&gt;"")</f>
        <v/>
      </c>
      <c r="N52">
        <f>AND(C52&lt;&gt;"",D52&lt;&gt;"")</f>
        <v/>
      </c>
      <c r="O52">
        <f>OR(C52&lt;&gt;"",D52&lt;&gt;"")</f>
        <v/>
      </c>
      <c r="P52">
        <f>AND(C52&lt;&gt;"",E52&lt;&gt;"")</f>
        <v/>
      </c>
      <c r="Q52">
        <f>OR(C52&lt;&gt;"",E52&lt;&gt;"")</f>
        <v/>
      </c>
      <c r="R52">
        <f>AND(D52&lt;&gt;"",E52&lt;&gt;"")</f>
        <v/>
      </c>
      <c r="S52">
        <f>OR(D52&lt;&gt;"",E52&lt;&gt;"")</f>
        <v/>
      </c>
      <c r="V52">
        <f>AND(B52&lt;&gt;"",C52&lt;&gt;"",F52="No")</f>
        <v/>
      </c>
      <c r="W52">
        <f>AND(OR(B52&lt;&gt;"",C52&lt;&gt;""),F52="No")</f>
        <v/>
      </c>
      <c r="X52">
        <f>AND(B52&lt;&gt;"",D52&lt;&gt;"",F52="No")</f>
        <v/>
      </c>
      <c r="Y52">
        <f>AND(OR(B52&lt;&gt;"",D52&lt;&gt;""),F52="No")</f>
        <v/>
      </c>
      <c r="Z52">
        <f>AND(B52&lt;&gt;"",E52&lt;&gt;"",F52="No")</f>
        <v/>
      </c>
      <c r="AA52">
        <f>AND(OR(B52&lt;&gt;"",E52&lt;&gt;""),F52="No")</f>
        <v/>
      </c>
      <c r="AB52">
        <f>AND(C52&lt;&gt;"",D52&lt;&gt;"",F52="No")</f>
        <v/>
      </c>
      <c r="AC52">
        <f>AND(OR(C52&lt;&gt;"",D52&lt;&gt;""),F52="No")</f>
        <v/>
      </c>
      <c r="AD52">
        <f>AND(C52&lt;&gt;"",E52&lt;&gt;"",F52="No")</f>
        <v/>
      </c>
      <c r="AE52">
        <f>AND(OR(C52&lt;&gt;"",E52&lt;&gt;""),F52="No")</f>
        <v/>
      </c>
      <c r="AF52">
        <f>AND(D52&lt;&gt;"",E52&lt;&gt;"",F52="No")</f>
        <v/>
      </c>
      <c r="AG52">
        <f>AND(OR(D52&lt;&gt;"",E52&lt;&gt;""),F52="No")</f>
        <v/>
      </c>
    </row>
    <row r="53">
      <c r="A53" t="inlineStr">
        <is>
          <t>H.9.1</t>
        </is>
      </c>
      <c r="B53" s="27" t="inlineStr">
        <is>
          <t>X</t>
        </is>
      </c>
      <c r="C53" s="27" t="inlineStr">
        <is>
          <t>X</t>
        </is>
      </c>
      <c r="D53" s="27" t="inlineStr">
        <is>
          <t>X</t>
        </is>
      </c>
      <c r="E53" s="27" t="inlineStr">
        <is>
          <t>X</t>
        </is>
      </c>
      <c r="F53" s="47" t="inlineStr">
        <is>
          <t>No</t>
        </is>
      </c>
      <c r="H53">
        <f>AND(B53&lt;&gt;"",C53&lt;&gt;"")</f>
        <v/>
      </c>
      <c r="I53">
        <f>OR(B53&lt;&gt;"",C53&lt;&gt;"")</f>
        <v/>
      </c>
      <c r="J53">
        <f>AND(B53&lt;&gt;"",D53&lt;&gt;"")</f>
        <v/>
      </c>
      <c r="K53">
        <f>OR(B53&lt;&gt;"",D53&lt;&gt;"")</f>
        <v/>
      </c>
      <c r="L53">
        <f>AND(B53&lt;&gt;"",E53&lt;&gt;"")</f>
        <v/>
      </c>
      <c r="M53">
        <f>OR(B53&lt;&gt;"",E53&lt;&gt;"")</f>
        <v/>
      </c>
      <c r="N53">
        <f>AND(C53&lt;&gt;"",D53&lt;&gt;"")</f>
        <v/>
      </c>
      <c r="O53">
        <f>OR(C53&lt;&gt;"",D53&lt;&gt;"")</f>
        <v/>
      </c>
      <c r="P53">
        <f>AND(C53&lt;&gt;"",E53&lt;&gt;"")</f>
        <v/>
      </c>
      <c r="Q53">
        <f>OR(C53&lt;&gt;"",E53&lt;&gt;"")</f>
        <v/>
      </c>
      <c r="R53">
        <f>AND(D53&lt;&gt;"",E53&lt;&gt;"")</f>
        <v/>
      </c>
      <c r="S53">
        <f>OR(D53&lt;&gt;"",E53&lt;&gt;"")</f>
        <v/>
      </c>
      <c r="V53">
        <f>AND(B53&lt;&gt;"",C53&lt;&gt;"",F53="No")</f>
        <v/>
      </c>
      <c r="W53">
        <f>AND(OR(B53&lt;&gt;"",C53&lt;&gt;""),F53="No")</f>
        <v/>
      </c>
      <c r="X53">
        <f>AND(B53&lt;&gt;"",D53&lt;&gt;"",F53="No")</f>
        <v/>
      </c>
      <c r="Y53">
        <f>AND(OR(B53&lt;&gt;"",D53&lt;&gt;""),F53="No")</f>
        <v/>
      </c>
      <c r="Z53">
        <f>AND(B53&lt;&gt;"",E53&lt;&gt;"",F53="No")</f>
        <v/>
      </c>
      <c r="AA53">
        <f>AND(OR(B53&lt;&gt;"",E53&lt;&gt;""),F53="No")</f>
        <v/>
      </c>
      <c r="AB53">
        <f>AND(C53&lt;&gt;"",D53&lt;&gt;"",F53="No")</f>
        <v/>
      </c>
      <c r="AC53">
        <f>AND(OR(C53&lt;&gt;"",D53&lt;&gt;""),F53="No")</f>
        <v/>
      </c>
      <c r="AD53">
        <f>AND(C53&lt;&gt;"",E53&lt;&gt;"",F53="No")</f>
        <v/>
      </c>
      <c r="AE53">
        <f>AND(OR(C53&lt;&gt;"",E53&lt;&gt;""),F53="No")</f>
        <v/>
      </c>
      <c r="AF53">
        <f>AND(D53&lt;&gt;"",E53&lt;&gt;"",F53="No")</f>
        <v/>
      </c>
      <c r="AG53">
        <f>AND(OR(D53&lt;&gt;"",E53&lt;&gt;""),F53="No")</f>
        <v/>
      </c>
    </row>
    <row r="54">
      <c r="A54" t="inlineStr">
        <is>
          <t>H.9.2</t>
        </is>
      </c>
      <c r="B54" s="27" t="inlineStr">
        <is>
          <t>X</t>
        </is>
      </c>
      <c r="C54" s="27" t="inlineStr">
        <is>
          <t>X</t>
        </is>
      </c>
      <c r="D54" s="27" t="inlineStr">
        <is>
          <t>X</t>
        </is>
      </c>
      <c r="E54" s="27" t="inlineStr">
        <is>
          <t>X</t>
        </is>
      </c>
      <c r="F54" s="47" t="inlineStr">
        <is>
          <t>No</t>
        </is>
      </c>
      <c r="H54">
        <f>AND(B54&lt;&gt;"",C54&lt;&gt;"")</f>
        <v/>
      </c>
      <c r="I54">
        <f>OR(B54&lt;&gt;"",C54&lt;&gt;"")</f>
        <v/>
      </c>
      <c r="J54">
        <f>AND(B54&lt;&gt;"",D54&lt;&gt;"")</f>
        <v/>
      </c>
      <c r="K54">
        <f>OR(B54&lt;&gt;"",D54&lt;&gt;"")</f>
        <v/>
      </c>
      <c r="L54">
        <f>AND(B54&lt;&gt;"",E54&lt;&gt;"")</f>
        <v/>
      </c>
      <c r="M54">
        <f>OR(B54&lt;&gt;"",E54&lt;&gt;"")</f>
        <v/>
      </c>
      <c r="N54">
        <f>AND(C54&lt;&gt;"",D54&lt;&gt;"")</f>
        <v/>
      </c>
      <c r="O54">
        <f>OR(C54&lt;&gt;"",D54&lt;&gt;"")</f>
        <v/>
      </c>
      <c r="P54">
        <f>AND(C54&lt;&gt;"",E54&lt;&gt;"")</f>
        <v/>
      </c>
      <c r="Q54">
        <f>OR(C54&lt;&gt;"",E54&lt;&gt;"")</f>
        <v/>
      </c>
      <c r="R54">
        <f>AND(D54&lt;&gt;"",E54&lt;&gt;"")</f>
        <v/>
      </c>
      <c r="S54">
        <f>OR(D54&lt;&gt;"",E54&lt;&gt;"")</f>
        <v/>
      </c>
      <c r="V54">
        <f>AND(B54&lt;&gt;"",C54&lt;&gt;"",F54="No")</f>
        <v/>
      </c>
      <c r="W54">
        <f>AND(OR(B54&lt;&gt;"",C54&lt;&gt;""),F54="No")</f>
        <v/>
      </c>
      <c r="X54">
        <f>AND(B54&lt;&gt;"",D54&lt;&gt;"",F54="No")</f>
        <v/>
      </c>
      <c r="Y54">
        <f>AND(OR(B54&lt;&gt;"",D54&lt;&gt;""),F54="No")</f>
        <v/>
      </c>
      <c r="Z54">
        <f>AND(B54&lt;&gt;"",E54&lt;&gt;"",F54="No")</f>
        <v/>
      </c>
      <c r="AA54">
        <f>AND(OR(B54&lt;&gt;"",E54&lt;&gt;""),F54="No")</f>
        <v/>
      </c>
      <c r="AB54">
        <f>AND(C54&lt;&gt;"",D54&lt;&gt;"",F54="No")</f>
        <v/>
      </c>
      <c r="AC54">
        <f>AND(OR(C54&lt;&gt;"",D54&lt;&gt;""),F54="No")</f>
        <v/>
      </c>
      <c r="AD54">
        <f>AND(C54&lt;&gt;"",E54&lt;&gt;"",F54="No")</f>
        <v/>
      </c>
      <c r="AE54">
        <f>AND(OR(C54&lt;&gt;"",E54&lt;&gt;""),F54="No")</f>
        <v/>
      </c>
      <c r="AF54">
        <f>AND(D54&lt;&gt;"",E54&lt;&gt;"",F54="No")</f>
        <v/>
      </c>
      <c r="AG54">
        <f>AND(OR(D54&lt;&gt;"",E54&lt;&gt;""),F54="No")</f>
        <v/>
      </c>
    </row>
    <row r="55">
      <c r="A55" t="inlineStr">
        <is>
          <t>H.9.3</t>
        </is>
      </c>
      <c r="B55" s="27" t="inlineStr">
        <is>
          <t>X</t>
        </is>
      </c>
      <c r="C55" s="27" t="inlineStr">
        <is>
          <t>X</t>
        </is>
      </c>
      <c r="D55" s="27" t="inlineStr">
        <is>
          <t>X</t>
        </is>
      </c>
      <c r="E55" s="27" t="inlineStr">
        <is>
          <t>X</t>
        </is>
      </c>
      <c r="F55" s="47" t="inlineStr">
        <is>
          <t>No</t>
        </is>
      </c>
      <c r="H55">
        <f>AND(B55&lt;&gt;"",C55&lt;&gt;"")</f>
        <v/>
      </c>
      <c r="I55">
        <f>OR(B55&lt;&gt;"",C55&lt;&gt;"")</f>
        <v/>
      </c>
      <c r="J55">
        <f>AND(B55&lt;&gt;"",D55&lt;&gt;"")</f>
        <v/>
      </c>
      <c r="K55">
        <f>OR(B55&lt;&gt;"",D55&lt;&gt;"")</f>
        <v/>
      </c>
      <c r="L55">
        <f>AND(B55&lt;&gt;"",E55&lt;&gt;"")</f>
        <v/>
      </c>
      <c r="M55">
        <f>OR(B55&lt;&gt;"",E55&lt;&gt;"")</f>
        <v/>
      </c>
      <c r="N55">
        <f>AND(C55&lt;&gt;"",D55&lt;&gt;"")</f>
        <v/>
      </c>
      <c r="O55">
        <f>OR(C55&lt;&gt;"",D55&lt;&gt;"")</f>
        <v/>
      </c>
      <c r="P55">
        <f>AND(C55&lt;&gt;"",E55&lt;&gt;"")</f>
        <v/>
      </c>
      <c r="Q55">
        <f>OR(C55&lt;&gt;"",E55&lt;&gt;"")</f>
        <v/>
      </c>
      <c r="R55">
        <f>AND(D55&lt;&gt;"",E55&lt;&gt;"")</f>
        <v/>
      </c>
      <c r="S55">
        <f>OR(D55&lt;&gt;"",E55&lt;&gt;"")</f>
        <v/>
      </c>
      <c r="V55">
        <f>AND(B55&lt;&gt;"",C55&lt;&gt;"",F55="No")</f>
        <v/>
      </c>
      <c r="W55">
        <f>AND(OR(B55&lt;&gt;"",C55&lt;&gt;""),F55="No")</f>
        <v/>
      </c>
      <c r="X55">
        <f>AND(B55&lt;&gt;"",D55&lt;&gt;"",F55="No")</f>
        <v/>
      </c>
      <c r="Y55">
        <f>AND(OR(B55&lt;&gt;"",D55&lt;&gt;""),F55="No")</f>
        <v/>
      </c>
      <c r="Z55">
        <f>AND(B55&lt;&gt;"",E55&lt;&gt;"",F55="No")</f>
        <v/>
      </c>
      <c r="AA55">
        <f>AND(OR(B55&lt;&gt;"",E55&lt;&gt;""),F55="No")</f>
        <v/>
      </c>
      <c r="AB55">
        <f>AND(C55&lt;&gt;"",D55&lt;&gt;"",F55="No")</f>
        <v/>
      </c>
      <c r="AC55">
        <f>AND(OR(C55&lt;&gt;"",D55&lt;&gt;""),F55="No")</f>
        <v/>
      </c>
      <c r="AD55">
        <f>AND(C55&lt;&gt;"",E55&lt;&gt;"",F55="No")</f>
        <v/>
      </c>
      <c r="AE55">
        <f>AND(OR(C55&lt;&gt;"",E55&lt;&gt;""),F55="No")</f>
        <v/>
      </c>
      <c r="AF55">
        <f>AND(D55&lt;&gt;"",E55&lt;&gt;"",F55="No")</f>
        <v/>
      </c>
      <c r="AG55">
        <f>AND(OR(D55&lt;&gt;"",E55&lt;&gt;""),F55="No")</f>
        <v/>
      </c>
    </row>
    <row r="56">
      <c r="A56" s="44" t="inlineStr">
        <is>
          <t>GS.9.4</t>
        </is>
      </c>
      <c r="E56" s="27" t="inlineStr">
        <is>
          <t>X</t>
        </is>
      </c>
      <c r="F56" s="47" t="inlineStr">
        <is>
          <t>No</t>
        </is>
      </c>
      <c r="H56">
        <f>AND(B56&lt;&gt;"",C56&lt;&gt;"")</f>
        <v/>
      </c>
      <c r="I56">
        <f>OR(B56&lt;&gt;"",C56&lt;&gt;"")</f>
        <v/>
      </c>
      <c r="J56">
        <f>AND(B56&lt;&gt;"",D56&lt;&gt;"")</f>
        <v/>
      </c>
      <c r="K56">
        <f>OR(B56&lt;&gt;"",D56&lt;&gt;"")</f>
        <v/>
      </c>
      <c r="L56">
        <f>AND(B56&lt;&gt;"",E56&lt;&gt;"")</f>
        <v/>
      </c>
      <c r="M56">
        <f>OR(B56&lt;&gt;"",E56&lt;&gt;"")</f>
        <v/>
      </c>
      <c r="N56">
        <f>AND(C56&lt;&gt;"",D56&lt;&gt;"")</f>
        <v/>
      </c>
      <c r="O56">
        <f>OR(C56&lt;&gt;"",D56&lt;&gt;"")</f>
        <v/>
      </c>
      <c r="P56">
        <f>AND(C56&lt;&gt;"",E56&lt;&gt;"")</f>
        <v/>
      </c>
      <c r="Q56">
        <f>OR(C56&lt;&gt;"",E56&lt;&gt;"")</f>
        <v/>
      </c>
      <c r="R56">
        <f>AND(D56&lt;&gt;"",E56&lt;&gt;"")</f>
        <v/>
      </c>
      <c r="S56">
        <f>OR(D56&lt;&gt;"",E56&lt;&gt;"")</f>
        <v/>
      </c>
      <c r="V56">
        <f>AND(B56&lt;&gt;"",C56&lt;&gt;"",F56="No")</f>
        <v/>
      </c>
      <c r="W56">
        <f>AND(OR(B56&lt;&gt;"",C56&lt;&gt;""),F56="No")</f>
        <v/>
      </c>
      <c r="X56">
        <f>AND(B56&lt;&gt;"",D56&lt;&gt;"",F56="No")</f>
        <v/>
      </c>
      <c r="Y56">
        <f>AND(OR(B56&lt;&gt;"",D56&lt;&gt;""),F56="No")</f>
        <v/>
      </c>
      <c r="Z56">
        <f>AND(B56&lt;&gt;"",E56&lt;&gt;"",F56="No")</f>
        <v/>
      </c>
      <c r="AA56">
        <f>AND(OR(B56&lt;&gt;"",E56&lt;&gt;""),F56="No")</f>
        <v/>
      </c>
      <c r="AB56">
        <f>AND(C56&lt;&gt;"",D56&lt;&gt;"",F56="No")</f>
        <v/>
      </c>
      <c r="AC56">
        <f>AND(OR(C56&lt;&gt;"",D56&lt;&gt;""),F56="No")</f>
        <v/>
      </c>
      <c r="AD56">
        <f>AND(C56&lt;&gt;"",E56&lt;&gt;"",F56="No")</f>
        <v/>
      </c>
      <c r="AE56">
        <f>AND(OR(C56&lt;&gt;"",E56&lt;&gt;""),F56="No")</f>
        <v/>
      </c>
      <c r="AF56">
        <f>AND(D56&lt;&gt;"",E56&lt;&gt;"",F56="No")</f>
        <v/>
      </c>
      <c r="AG56">
        <f>AND(OR(D56&lt;&gt;"",E56&lt;&gt;""),F56="No")</f>
        <v/>
      </c>
    </row>
    <row r="57">
      <c r="A57" s="44" t="inlineStr">
        <is>
          <t>GS.9.6</t>
        </is>
      </c>
      <c r="B57" s="27" t="inlineStr">
        <is>
          <t>X</t>
        </is>
      </c>
      <c r="C57" s="27" t="inlineStr">
        <is>
          <t>X</t>
        </is>
      </c>
      <c r="D57" s="27" t="inlineStr">
        <is>
          <t>X</t>
        </is>
      </c>
      <c r="E57" s="27" t="inlineStr">
        <is>
          <t>X</t>
        </is>
      </c>
      <c r="F57" s="47" t="inlineStr">
        <is>
          <t>No</t>
        </is>
      </c>
      <c r="H57">
        <f>AND(B57&lt;&gt;"",C57&lt;&gt;"")</f>
        <v/>
      </c>
      <c r="I57">
        <f>OR(B57&lt;&gt;"",C57&lt;&gt;"")</f>
        <v/>
      </c>
      <c r="J57">
        <f>AND(B57&lt;&gt;"",D57&lt;&gt;"")</f>
        <v/>
      </c>
      <c r="K57">
        <f>OR(B57&lt;&gt;"",D57&lt;&gt;"")</f>
        <v/>
      </c>
      <c r="L57">
        <f>AND(B57&lt;&gt;"",E57&lt;&gt;"")</f>
        <v/>
      </c>
      <c r="M57">
        <f>OR(B57&lt;&gt;"",E57&lt;&gt;"")</f>
        <v/>
      </c>
      <c r="N57">
        <f>AND(C57&lt;&gt;"",D57&lt;&gt;"")</f>
        <v/>
      </c>
      <c r="O57">
        <f>OR(C57&lt;&gt;"",D57&lt;&gt;"")</f>
        <v/>
      </c>
      <c r="P57">
        <f>AND(C57&lt;&gt;"",E57&lt;&gt;"")</f>
        <v/>
      </c>
      <c r="Q57">
        <f>OR(C57&lt;&gt;"",E57&lt;&gt;"")</f>
        <v/>
      </c>
      <c r="R57">
        <f>AND(D57&lt;&gt;"",E57&lt;&gt;"")</f>
        <v/>
      </c>
      <c r="S57">
        <f>OR(D57&lt;&gt;"",E57&lt;&gt;"")</f>
        <v/>
      </c>
      <c r="V57">
        <f>AND(B57&lt;&gt;"",C57&lt;&gt;"",F57="No")</f>
        <v/>
      </c>
      <c r="W57">
        <f>AND(OR(B57&lt;&gt;"",C57&lt;&gt;""),F57="No")</f>
        <v/>
      </c>
      <c r="X57">
        <f>AND(B57&lt;&gt;"",D57&lt;&gt;"",F57="No")</f>
        <v/>
      </c>
      <c r="Y57">
        <f>AND(OR(B57&lt;&gt;"",D57&lt;&gt;""),F57="No")</f>
        <v/>
      </c>
      <c r="Z57">
        <f>AND(B57&lt;&gt;"",E57&lt;&gt;"",F57="No")</f>
        <v/>
      </c>
      <c r="AA57">
        <f>AND(OR(B57&lt;&gt;"",E57&lt;&gt;""),F57="No")</f>
        <v/>
      </c>
      <c r="AB57">
        <f>AND(C57&lt;&gt;"",D57&lt;&gt;"",F57="No")</f>
        <v/>
      </c>
      <c r="AC57">
        <f>AND(OR(C57&lt;&gt;"",D57&lt;&gt;""),F57="No")</f>
        <v/>
      </c>
      <c r="AD57">
        <f>AND(C57&lt;&gt;"",E57&lt;&gt;"",F57="No")</f>
        <v/>
      </c>
      <c r="AE57">
        <f>AND(OR(C57&lt;&gt;"",E57&lt;&gt;""),F57="No")</f>
        <v/>
      </c>
      <c r="AF57">
        <f>AND(D57&lt;&gt;"",E57&lt;&gt;"",F57="No")</f>
        <v/>
      </c>
      <c r="AG57">
        <f>AND(OR(D57&lt;&gt;"",E57&lt;&gt;""),F57="No")</f>
        <v/>
      </c>
    </row>
    <row r="58">
      <c r="A58" s="44" t="inlineStr">
        <is>
          <t>GS.9.7</t>
        </is>
      </c>
      <c r="B58" s="27" t="inlineStr">
        <is>
          <t>X</t>
        </is>
      </c>
      <c r="C58" s="27" t="inlineStr">
        <is>
          <t>X</t>
        </is>
      </c>
      <c r="D58" s="27" t="inlineStr">
        <is>
          <t>X</t>
        </is>
      </c>
      <c r="E58" s="27" t="inlineStr">
        <is>
          <t>X</t>
        </is>
      </c>
      <c r="F58" s="47" t="inlineStr">
        <is>
          <t>No</t>
        </is>
      </c>
      <c r="H58">
        <f>AND(B58&lt;&gt;"",C58&lt;&gt;"")</f>
        <v/>
      </c>
      <c r="I58">
        <f>OR(B58&lt;&gt;"",C58&lt;&gt;"")</f>
        <v/>
      </c>
      <c r="J58">
        <f>AND(B58&lt;&gt;"",D58&lt;&gt;"")</f>
        <v/>
      </c>
      <c r="K58">
        <f>OR(B58&lt;&gt;"",D58&lt;&gt;"")</f>
        <v/>
      </c>
      <c r="L58">
        <f>AND(B58&lt;&gt;"",E58&lt;&gt;"")</f>
        <v/>
      </c>
      <c r="M58">
        <f>OR(B58&lt;&gt;"",E58&lt;&gt;"")</f>
        <v/>
      </c>
      <c r="N58">
        <f>AND(C58&lt;&gt;"",D58&lt;&gt;"")</f>
        <v/>
      </c>
      <c r="O58">
        <f>OR(C58&lt;&gt;"",D58&lt;&gt;"")</f>
        <v/>
      </c>
      <c r="P58">
        <f>AND(C58&lt;&gt;"",E58&lt;&gt;"")</f>
        <v/>
      </c>
      <c r="Q58">
        <f>OR(C58&lt;&gt;"",E58&lt;&gt;"")</f>
        <v/>
      </c>
      <c r="R58">
        <f>AND(D58&lt;&gt;"",E58&lt;&gt;"")</f>
        <v/>
      </c>
      <c r="S58">
        <f>OR(D58&lt;&gt;"",E58&lt;&gt;"")</f>
        <v/>
      </c>
      <c r="V58">
        <f>AND(B58&lt;&gt;"",C58&lt;&gt;"",F58="No")</f>
        <v/>
      </c>
      <c r="W58">
        <f>AND(OR(B58&lt;&gt;"",C58&lt;&gt;""),F58="No")</f>
        <v/>
      </c>
      <c r="X58">
        <f>AND(B58&lt;&gt;"",D58&lt;&gt;"",F58="No")</f>
        <v/>
      </c>
      <c r="Y58">
        <f>AND(OR(B58&lt;&gt;"",D58&lt;&gt;""),F58="No")</f>
        <v/>
      </c>
      <c r="Z58">
        <f>AND(B58&lt;&gt;"",E58&lt;&gt;"",F58="No")</f>
        <v/>
      </c>
      <c r="AA58">
        <f>AND(OR(B58&lt;&gt;"",E58&lt;&gt;""),F58="No")</f>
        <v/>
      </c>
      <c r="AB58">
        <f>AND(C58&lt;&gt;"",D58&lt;&gt;"",F58="No")</f>
        <v/>
      </c>
      <c r="AC58">
        <f>AND(OR(C58&lt;&gt;"",D58&lt;&gt;""),F58="No")</f>
        <v/>
      </c>
      <c r="AD58">
        <f>AND(C58&lt;&gt;"",E58&lt;&gt;"",F58="No")</f>
        <v/>
      </c>
      <c r="AE58">
        <f>AND(OR(C58&lt;&gt;"",E58&lt;&gt;""),F58="No")</f>
        <v/>
      </c>
      <c r="AF58">
        <f>AND(D58&lt;&gt;"",E58&lt;&gt;"",F58="No")</f>
        <v/>
      </c>
      <c r="AG58">
        <f>AND(OR(D58&lt;&gt;"",E58&lt;&gt;""),F58="No")</f>
        <v/>
      </c>
    </row>
    <row r="59">
      <c r="A59" t="inlineStr">
        <is>
          <t>L3.9.3</t>
        </is>
      </c>
      <c r="B59" s="27" t="inlineStr">
        <is>
          <t>X</t>
        </is>
      </c>
      <c r="D59" s="27" t="inlineStr">
        <is>
          <t>X</t>
        </is>
      </c>
      <c r="F59" s="47" t="inlineStr">
        <is>
          <t>Yes</t>
        </is>
      </c>
      <c r="H59">
        <f>AND(B59&lt;&gt;"",C59&lt;&gt;"")</f>
        <v/>
      </c>
      <c r="I59">
        <f>OR(B59&lt;&gt;"",C59&lt;&gt;"")</f>
        <v/>
      </c>
      <c r="J59">
        <f>AND(B59&lt;&gt;"",D59&lt;&gt;"")</f>
        <v/>
      </c>
      <c r="K59">
        <f>OR(B59&lt;&gt;"",D59&lt;&gt;"")</f>
        <v/>
      </c>
      <c r="L59">
        <f>AND(B59&lt;&gt;"",E59&lt;&gt;"")</f>
        <v/>
      </c>
      <c r="M59">
        <f>OR(B59&lt;&gt;"",E59&lt;&gt;"")</f>
        <v/>
      </c>
      <c r="N59">
        <f>AND(C59&lt;&gt;"",D59&lt;&gt;"")</f>
        <v/>
      </c>
      <c r="O59">
        <f>OR(C59&lt;&gt;"",D59&lt;&gt;"")</f>
        <v/>
      </c>
      <c r="P59">
        <f>AND(C59&lt;&gt;"",E59&lt;&gt;"")</f>
        <v/>
      </c>
      <c r="Q59">
        <f>OR(C59&lt;&gt;"",E59&lt;&gt;"")</f>
        <v/>
      </c>
      <c r="R59">
        <f>AND(D59&lt;&gt;"",E59&lt;&gt;"")</f>
        <v/>
      </c>
      <c r="S59">
        <f>OR(D59&lt;&gt;"",E59&lt;&gt;"")</f>
        <v/>
      </c>
      <c r="V59">
        <f>AND(B59&lt;&gt;"",C59&lt;&gt;"",F59="No")</f>
        <v/>
      </c>
      <c r="W59">
        <f>AND(OR(B59&lt;&gt;"",C59&lt;&gt;""),F59="No")</f>
        <v/>
      </c>
      <c r="X59">
        <f>AND(B59&lt;&gt;"",D59&lt;&gt;"",F59="No")</f>
        <v/>
      </c>
      <c r="Y59">
        <f>AND(OR(B59&lt;&gt;"",D59&lt;&gt;""),F59="No")</f>
        <v/>
      </c>
      <c r="Z59">
        <f>AND(B59&lt;&gt;"",E59&lt;&gt;"",F59="No")</f>
        <v/>
      </c>
      <c r="AA59">
        <f>AND(OR(B59&lt;&gt;"",E59&lt;&gt;""),F59="No")</f>
        <v/>
      </c>
      <c r="AB59">
        <f>AND(C59&lt;&gt;"",D59&lt;&gt;"",F59="No")</f>
        <v/>
      </c>
      <c r="AC59">
        <f>AND(OR(C59&lt;&gt;"",D59&lt;&gt;""),F59="No")</f>
        <v/>
      </c>
      <c r="AD59">
        <f>AND(C59&lt;&gt;"",E59&lt;&gt;"",F59="No")</f>
        <v/>
      </c>
      <c r="AE59">
        <f>AND(OR(C59&lt;&gt;"",E59&lt;&gt;""),F59="No")</f>
        <v/>
      </c>
      <c r="AF59">
        <f>AND(D59&lt;&gt;"",E59&lt;&gt;"",F59="No")</f>
        <v/>
      </c>
      <c r="AG59">
        <f>AND(OR(D59&lt;&gt;"",E59&lt;&gt;""),F59="No")</f>
        <v/>
      </c>
    </row>
    <row r="60">
      <c r="A60" t="inlineStr">
        <is>
          <t>H.10.2</t>
        </is>
      </c>
      <c r="B60" s="27" t="inlineStr">
        <is>
          <t>X</t>
        </is>
      </c>
      <c r="C60" s="27" t="inlineStr">
        <is>
          <t>X</t>
        </is>
      </c>
      <c r="D60" s="27" t="inlineStr">
        <is>
          <t>X</t>
        </is>
      </c>
      <c r="E60" s="27" t="inlineStr">
        <is>
          <t>X</t>
        </is>
      </c>
      <c r="F60" s="47" t="inlineStr">
        <is>
          <t>No</t>
        </is>
      </c>
      <c r="H60">
        <f>AND(B60&lt;&gt;"",C60&lt;&gt;"")</f>
        <v/>
      </c>
      <c r="I60">
        <f>OR(B60&lt;&gt;"",C60&lt;&gt;"")</f>
        <v/>
      </c>
      <c r="J60">
        <f>AND(B60&lt;&gt;"",D60&lt;&gt;"")</f>
        <v/>
      </c>
      <c r="K60">
        <f>OR(B60&lt;&gt;"",D60&lt;&gt;"")</f>
        <v/>
      </c>
      <c r="L60">
        <f>AND(B60&lt;&gt;"",E60&lt;&gt;"")</f>
        <v/>
      </c>
      <c r="M60">
        <f>OR(B60&lt;&gt;"",E60&lt;&gt;"")</f>
        <v/>
      </c>
      <c r="N60">
        <f>AND(C60&lt;&gt;"",D60&lt;&gt;"")</f>
        <v/>
      </c>
      <c r="O60">
        <f>OR(C60&lt;&gt;"",D60&lt;&gt;"")</f>
        <v/>
      </c>
      <c r="P60">
        <f>AND(C60&lt;&gt;"",E60&lt;&gt;"")</f>
        <v/>
      </c>
      <c r="Q60">
        <f>OR(C60&lt;&gt;"",E60&lt;&gt;"")</f>
        <v/>
      </c>
      <c r="R60">
        <f>AND(D60&lt;&gt;"",E60&lt;&gt;"")</f>
        <v/>
      </c>
      <c r="S60">
        <f>OR(D60&lt;&gt;"",E60&lt;&gt;"")</f>
        <v/>
      </c>
      <c r="V60">
        <f>AND(B60&lt;&gt;"",C60&lt;&gt;"",F60="No")</f>
        <v/>
      </c>
      <c r="W60">
        <f>AND(OR(B60&lt;&gt;"",C60&lt;&gt;""),F60="No")</f>
        <v/>
      </c>
      <c r="X60">
        <f>AND(B60&lt;&gt;"",D60&lt;&gt;"",F60="No")</f>
        <v/>
      </c>
      <c r="Y60">
        <f>AND(OR(B60&lt;&gt;"",D60&lt;&gt;""),F60="No")</f>
        <v/>
      </c>
      <c r="Z60">
        <f>AND(B60&lt;&gt;"",E60&lt;&gt;"",F60="No")</f>
        <v/>
      </c>
      <c r="AA60">
        <f>AND(OR(B60&lt;&gt;"",E60&lt;&gt;""),F60="No")</f>
        <v/>
      </c>
      <c r="AB60">
        <f>AND(C60&lt;&gt;"",D60&lt;&gt;"",F60="No")</f>
        <v/>
      </c>
      <c r="AC60">
        <f>AND(OR(C60&lt;&gt;"",D60&lt;&gt;""),F60="No")</f>
        <v/>
      </c>
      <c r="AD60">
        <f>AND(C60&lt;&gt;"",E60&lt;&gt;"",F60="No")</f>
        <v/>
      </c>
      <c r="AE60">
        <f>AND(OR(C60&lt;&gt;"",E60&lt;&gt;""),F60="No")</f>
        <v/>
      </c>
      <c r="AF60">
        <f>AND(D60&lt;&gt;"",E60&lt;&gt;"",F60="No")</f>
        <v/>
      </c>
      <c r="AG60">
        <f>AND(OR(D60&lt;&gt;"",E60&lt;&gt;""),F60="No")</f>
        <v/>
      </c>
    </row>
    <row r="61">
      <c r="A61" t="inlineStr">
        <is>
          <t>H.10.3</t>
        </is>
      </c>
      <c r="B61" s="27" t="inlineStr">
        <is>
          <t>X</t>
        </is>
      </c>
      <c r="C61" s="27" t="inlineStr">
        <is>
          <t>X</t>
        </is>
      </c>
      <c r="D61" s="27" t="inlineStr">
        <is>
          <t>X</t>
        </is>
      </c>
      <c r="E61" s="27" t="inlineStr">
        <is>
          <t>X</t>
        </is>
      </c>
      <c r="F61" s="47" t="inlineStr">
        <is>
          <t>No</t>
        </is>
      </c>
      <c r="H61">
        <f>AND(B61&lt;&gt;"",C61&lt;&gt;"")</f>
        <v/>
      </c>
      <c r="I61">
        <f>OR(B61&lt;&gt;"",C61&lt;&gt;"")</f>
        <v/>
      </c>
      <c r="J61">
        <f>AND(B61&lt;&gt;"",D61&lt;&gt;"")</f>
        <v/>
      </c>
      <c r="K61">
        <f>OR(B61&lt;&gt;"",D61&lt;&gt;"")</f>
        <v/>
      </c>
      <c r="L61">
        <f>AND(B61&lt;&gt;"",E61&lt;&gt;"")</f>
        <v/>
      </c>
      <c r="M61">
        <f>OR(B61&lt;&gt;"",E61&lt;&gt;"")</f>
        <v/>
      </c>
      <c r="N61">
        <f>AND(C61&lt;&gt;"",D61&lt;&gt;"")</f>
        <v/>
      </c>
      <c r="O61">
        <f>OR(C61&lt;&gt;"",D61&lt;&gt;"")</f>
        <v/>
      </c>
      <c r="P61">
        <f>AND(C61&lt;&gt;"",E61&lt;&gt;"")</f>
        <v/>
      </c>
      <c r="Q61">
        <f>OR(C61&lt;&gt;"",E61&lt;&gt;"")</f>
        <v/>
      </c>
      <c r="R61">
        <f>AND(D61&lt;&gt;"",E61&lt;&gt;"")</f>
        <v/>
      </c>
      <c r="S61">
        <f>OR(D61&lt;&gt;"",E61&lt;&gt;"")</f>
        <v/>
      </c>
      <c r="V61">
        <f>AND(B61&lt;&gt;"",C61&lt;&gt;"",F61="No")</f>
        <v/>
      </c>
      <c r="W61">
        <f>AND(OR(B61&lt;&gt;"",C61&lt;&gt;""),F61="No")</f>
        <v/>
      </c>
      <c r="X61">
        <f>AND(B61&lt;&gt;"",D61&lt;&gt;"",F61="No")</f>
        <v/>
      </c>
      <c r="Y61">
        <f>AND(OR(B61&lt;&gt;"",D61&lt;&gt;""),F61="No")</f>
        <v/>
      </c>
      <c r="Z61">
        <f>AND(B61&lt;&gt;"",E61&lt;&gt;"",F61="No")</f>
        <v/>
      </c>
      <c r="AA61">
        <f>AND(OR(B61&lt;&gt;"",E61&lt;&gt;""),F61="No")</f>
        <v/>
      </c>
      <c r="AB61">
        <f>AND(C61&lt;&gt;"",D61&lt;&gt;"",F61="No")</f>
        <v/>
      </c>
      <c r="AC61">
        <f>AND(OR(C61&lt;&gt;"",D61&lt;&gt;""),F61="No")</f>
        <v/>
      </c>
      <c r="AD61">
        <f>AND(C61&lt;&gt;"",E61&lt;&gt;"",F61="No")</f>
        <v/>
      </c>
      <c r="AE61">
        <f>AND(OR(C61&lt;&gt;"",E61&lt;&gt;""),F61="No")</f>
        <v/>
      </c>
      <c r="AF61">
        <f>AND(D61&lt;&gt;"",E61&lt;&gt;"",F61="No")</f>
        <v/>
      </c>
      <c r="AG61">
        <f>AND(OR(D61&lt;&gt;"",E61&lt;&gt;""),F61="No")</f>
        <v/>
      </c>
    </row>
    <row r="62">
      <c r="A62" s="44" t="inlineStr">
        <is>
          <t>GS.10.5</t>
        </is>
      </c>
      <c r="B62" s="27" t="inlineStr">
        <is>
          <t>X</t>
        </is>
      </c>
      <c r="C62" s="27" t="inlineStr">
        <is>
          <t>X</t>
        </is>
      </c>
      <c r="D62" s="27" t="inlineStr">
        <is>
          <t>X</t>
        </is>
      </c>
      <c r="E62" s="27" t="inlineStr">
        <is>
          <t>X</t>
        </is>
      </c>
      <c r="F62" s="47" t="inlineStr">
        <is>
          <t>No</t>
        </is>
      </c>
      <c r="H62">
        <f>AND(B62&lt;&gt;"",C62&lt;&gt;"")</f>
        <v/>
      </c>
      <c r="I62">
        <f>OR(B62&lt;&gt;"",C62&lt;&gt;"")</f>
        <v/>
      </c>
      <c r="J62">
        <f>AND(B62&lt;&gt;"",D62&lt;&gt;"")</f>
        <v/>
      </c>
      <c r="K62">
        <f>OR(B62&lt;&gt;"",D62&lt;&gt;"")</f>
        <v/>
      </c>
      <c r="L62">
        <f>AND(B62&lt;&gt;"",E62&lt;&gt;"")</f>
        <v/>
      </c>
      <c r="M62">
        <f>OR(B62&lt;&gt;"",E62&lt;&gt;"")</f>
        <v/>
      </c>
      <c r="N62">
        <f>AND(C62&lt;&gt;"",D62&lt;&gt;"")</f>
        <v/>
      </c>
      <c r="O62">
        <f>OR(C62&lt;&gt;"",D62&lt;&gt;"")</f>
        <v/>
      </c>
      <c r="P62">
        <f>AND(C62&lt;&gt;"",E62&lt;&gt;"")</f>
        <v/>
      </c>
      <c r="Q62">
        <f>OR(C62&lt;&gt;"",E62&lt;&gt;"")</f>
        <v/>
      </c>
      <c r="R62">
        <f>AND(D62&lt;&gt;"",E62&lt;&gt;"")</f>
        <v/>
      </c>
      <c r="S62">
        <f>OR(D62&lt;&gt;"",E62&lt;&gt;"")</f>
        <v/>
      </c>
      <c r="V62">
        <f>AND(B62&lt;&gt;"",C62&lt;&gt;"",F62="No")</f>
        <v/>
      </c>
      <c r="W62">
        <f>AND(OR(B62&lt;&gt;"",C62&lt;&gt;""),F62="No")</f>
        <v/>
      </c>
      <c r="X62">
        <f>AND(B62&lt;&gt;"",D62&lt;&gt;"",F62="No")</f>
        <v/>
      </c>
      <c r="Y62">
        <f>AND(OR(B62&lt;&gt;"",D62&lt;&gt;""),F62="No")</f>
        <v/>
      </c>
      <c r="Z62">
        <f>AND(B62&lt;&gt;"",E62&lt;&gt;"",F62="No")</f>
        <v/>
      </c>
      <c r="AA62">
        <f>AND(OR(B62&lt;&gt;"",E62&lt;&gt;""),F62="No")</f>
        <v/>
      </c>
      <c r="AB62">
        <f>AND(C62&lt;&gt;"",D62&lt;&gt;"",F62="No")</f>
        <v/>
      </c>
      <c r="AC62">
        <f>AND(OR(C62&lt;&gt;"",D62&lt;&gt;""),F62="No")</f>
        <v/>
      </c>
      <c r="AD62">
        <f>AND(C62&lt;&gt;"",E62&lt;&gt;"",F62="No")</f>
        <v/>
      </c>
      <c r="AE62">
        <f>AND(OR(C62&lt;&gt;"",E62&lt;&gt;""),F62="No")</f>
        <v/>
      </c>
      <c r="AF62">
        <f>AND(D62&lt;&gt;"",E62&lt;&gt;"",F62="No")</f>
        <v/>
      </c>
      <c r="AG62">
        <f>AND(OR(D62&lt;&gt;"",E62&lt;&gt;""),F62="No")</f>
        <v/>
      </c>
    </row>
    <row r="63">
      <c r="A63" t="inlineStr">
        <is>
          <t>L3.10.5</t>
        </is>
      </c>
      <c r="D63" s="27" t="inlineStr">
        <is>
          <t>X</t>
        </is>
      </c>
      <c r="F63" s="47" t="inlineStr">
        <is>
          <t>Yes</t>
        </is>
      </c>
      <c r="H63">
        <f>AND(B63&lt;&gt;"",C63&lt;&gt;"")</f>
        <v/>
      </c>
      <c r="I63">
        <f>OR(B63&lt;&gt;"",C63&lt;&gt;"")</f>
        <v/>
      </c>
      <c r="J63">
        <f>AND(B63&lt;&gt;"",D63&lt;&gt;"")</f>
        <v/>
      </c>
      <c r="K63">
        <f>OR(B63&lt;&gt;"",D63&lt;&gt;"")</f>
        <v/>
      </c>
      <c r="L63">
        <f>AND(B63&lt;&gt;"",E63&lt;&gt;"")</f>
        <v/>
      </c>
      <c r="M63">
        <f>OR(B63&lt;&gt;"",E63&lt;&gt;"")</f>
        <v/>
      </c>
      <c r="N63">
        <f>AND(C63&lt;&gt;"",D63&lt;&gt;"")</f>
        <v/>
      </c>
      <c r="O63">
        <f>OR(C63&lt;&gt;"",D63&lt;&gt;"")</f>
        <v/>
      </c>
      <c r="P63">
        <f>AND(C63&lt;&gt;"",E63&lt;&gt;"")</f>
        <v/>
      </c>
      <c r="Q63">
        <f>OR(C63&lt;&gt;"",E63&lt;&gt;"")</f>
        <v/>
      </c>
      <c r="R63">
        <f>AND(D63&lt;&gt;"",E63&lt;&gt;"")</f>
        <v/>
      </c>
      <c r="S63">
        <f>OR(D63&lt;&gt;"",E63&lt;&gt;"")</f>
        <v/>
      </c>
      <c r="V63">
        <f>AND(B63&lt;&gt;"",C63&lt;&gt;"",F63="No")</f>
        <v/>
      </c>
      <c r="W63">
        <f>AND(OR(B63&lt;&gt;"",C63&lt;&gt;""),F63="No")</f>
        <v/>
      </c>
      <c r="X63">
        <f>AND(B63&lt;&gt;"",D63&lt;&gt;"",F63="No")</f>
        <v/>
      </c>
      <c r="Y63">
        <f>AND(OR(B63&lt;&gt;"",D63&lt;&gt;""),F63="No")</f>
        <v/>
      </c>
      <c r="Z63">
        <f>AND(B63&lt;&gt;"",E63&lt;&gt;"",F63="No")</f>
        <v/>
      </c>
      <c r="AA63">
        <f>AND(OR(B63&lt;&gt;"",E63&lt;&gt;""),F63="No")</f>
        <v/>
      </c>
      <c r="AB63">
        <f>AND(C63&lt;&gt;"",D63&lt;&gt;"",F63="No")</f>
        <v/>
      </c>
      <c r="AC63">
        <f>AND(OR(C63&lt;&gt;"",D63&lt;&gt;""),F63="No")</f>
        <v/>
      </c>
      <c r="AD63">
        <f>AND(C63&lt;&gt;"",E63&lt;&gt;"",F63="No")</f>
        <v/>
      </c>
      <c r="AE63">
        <f>AND(OR(C63&lt;&gt;"",E63&lt;&gt;""),F63="No")</f>
        <v/>
      </c>
      <c r="AF63">
        <f>AND(D63&lt;&gt;"",E63&lt;&gt;"",F63="No")</f>
        <v/>
      </c>
      <c r="AG63">
        <f>AND(OR(D63&lt;&gt;"",E63&lt;&gt;""),F63="No")</f>
        <v/>
      </c>
    </row>
    <row r="64">
      <c r="A64" t="inlineStr">
        <is>
          <t>L3.10.6</t>
        </is>
      </c>
      <c r="D64" s="27" t="inlineStr">
        <is>
          <t>X</t>
        </is>
      </c>
      <c r="E64" s="27" t="inlineStr">
        <is>
          <t>X</t>
        </is>
      </c>
      <c r="F64" s="47" t="inlineStr">
        <is>
          <t>Yes</t>
        </is>
      </c>
      <c r="H64">
        <f>AND(B64&lt;&gt;"",C64&lt;&gt;"")</f>
        <v/>
      </c>
      <c r="I64">
        <f>OR(B64&lt;&gt;"",C64&lt;&gt;"")</f>
        <v/>
      </c>
      <c r="J64">
        <f>AND(B64&lt;&gt;"",D64&lt;&gt;"")</f>
        <v/>
      </c>
      <c r="K64">
        <f>OR(B64&lt;&gt;"",D64&lt;&gt;"")</f>
        <v/>
      </c>
      <c r="L64">
        <f>AND(B64&lt;&gt;"",E64&lt;&gt;"")</f>
        <v/>
      </c>
      <c r="M64">
        <f>OR(B64&lt;&gt;"",E64&lt;&gt;"")</f>
        <v/>
      </c>
      <c r="N64">
        <f>AND(C64&lt;&gt;"",D64&lt;&gt;"")</f>
        <v/>
      </c>
      <c r="O64">
        <f>OR(C64&lt;&gt;"",D64&lt;&gt;"")</f>
        <v/>
      </c>
      <c r="P64">
        <f>AND(C64&lt;&gt;"",E64&lt;&gt;"")</f>
        <v/>
      </c>
      <c r="Q64">
        <f>OR(C64&lt;&gt;"",E64&lt;&gt;"")</f>
        <v/>
      </c>
      <c r="R64">
        <f>AND(D64&lt;&gt;"",E64&lt;&gt;"")</f>
        <v/>
      </c>
      <c r="S64">
        <f>OR(D64&lt;&gt;"",E64&lt;&gt;"")</f>
        <v/>
      </c>
      <c r="V64">
        <f>AND(B64&lt;&gt;"",C64&lt;&gt;"",F64="No")</f>
        <v/>
      </c>
      <c r="W64">
        <f>AND(OR(B64&lt;&gt;"",C64&lt;&gt;""),F64="No")</f>
        <v/>
      </c>
      <c r="X64">
        <f>AND(B64&lt;&gt;"",D64&lt;&gt;"",F64="No")</f>
        <v/>
      </c>
      <c r="Y64">
        <f>AND(OR(B64&lt;&gt;"",D64&lt;&gt;""),F64="No")</f>
        <v/>
      </c>
      <c r="Z64">
        <f>AND(B64&lt;&gt;"",E64&lt;&gt;"",F64="No")</f>
        <v/>
      </c>
      <c r="AA64">
        <f>AND(OR(B64&lt;&gt;"",E64&lt;&gt;""),F64="No")</f>
        <v/>
      </c>
      <c r="AB64">
        <f>AND(C64&lt;&gt;"",D64&lt;&gt;"",F64="No")</f>
        <v/>
      </c>
      <c r="AC64">
        <f>AND(OR(C64&lt;&gt;"",D64&lt;&gt;""),F64="No")</f>
        <v/>
      </c>
      <c r="AD64">
        <f>AND(C64&lt;&gt;"",E64&lt;&gt;"",F64="No")</f>
        <v/>
      </c>
      <c r="AE64">
        <f>AND(OR(C64&lt;&gt;"",E64&lt;&gt;""),F64="No")</f>
        <v/>
      </c>
      <c r="AF64">
        <f>AND(D64&lt;&gt;"",E64&lt;&gt;"",F64="No")</f>
        <v/>
      </c>
      <c r="AG64">
        <f>AND(OR(D64&lt;&gt;"",E64&lt;&gt;""),F64="No")</f>
        <v/>
      </c>
    </row>
    <row r="65">
      <c r="A65" t="inlineStr">
        <is>
          <t>L3.10.7</t>
        </is>
      </c>
      <c r="D65" s="27" t="inlineStr">
        <is>
          <t>X</t>
        </is>
      </c>
      <c r="F65" s="47" t="inlineStr">
        <is>
          <t>Yes</t>
        </is>
      </c>
      <c r="H65">
        <f>AND(B65&lt;&gt;"",C65&lt;&gt;"")</f>
        <v/>
      </c>
      <c r="I65">
        <f>OR(B65&lt;&gt;"",C65&lt;&gt;"")</f>
        <v/>
      </c>
      <c r="J65">
        <f>AND(B65&lt;&gt;"",D65&lt;&gt;"")</f>
        <v/>
      </c>
      <c r="K65">
        <f>OR(B65&lt;&gt;"",D65&lt;&gt;"")</f>
        <v/>
      </c>
      <c r="L65">
        <f>AND(B65&lt;&gt;"",E65&lt;&gt;"")</f>
        <v/>
      </c>
      <c r="M65">
        <f>OR(B65&lt;&gt;"",E65&lt;&gt;"")</f>
        <v/>
      </c>
      <c r="N65">
        <f>AND(C65&lt;&gt;"",D65&lt;&gt;"")</f>
        <v/>
      </c>
      <c r="O65">
        <f>OR(C65&lt;&gt;"",D65&lt;&gt;"")</f>
        <v/>
      </c>
      <c r="P65">
        <f>AND(C65&lt;&gt;"",E65&lt;&gt;"")</f>
        <v/>
      </c>
      <c r="Q65">
        <f>OR(C65&lt;&gt;"",E65&lt;&gt;"")</f>
        <v/>
      </c>
      <c r="R65">
        <f>AND(D65&lt;&gt;"",E65&lt;&gt;"")</f>
        <v/>
      </c>
      <c r="S65">
        <f>OR(D65&lt;&gt;"",E65&lt;&gt;"")</f>
        <v/>
      </c>
      <c r="V65">
        <f>AND(B65&lt;&gt;"",C65&lt;&gt;"",F65="No")</f>
        <v/>
      </c>
      <c r="W65">
        <f>AND(OR(B65&lt;&gt;"",C65&lt;&gt;""),F65="No")</f>
        <v/>
      </c>
      <c r="X65">
        <f>AND(B65&lt;&gt;"",D65&lt;&gt;"",F65="No")</f>
        <v/>
      </c>
      <c r="Y65">
        <f>AND(OR(B65&lt;&gt;"",D65&lt;&gt;""),F65="No")</f>
        <v/>
      </c>
      <c r="Z65">
        <f>AND(B65&lt;&gt;"",E65&lt;&gt;"",F65="No")</f>
        <v/>
      </c>
      <c r="AA65">
        <f>AND(OR(B65&lt;&gt;"",E65&lt;&gt;""),F65="No")</f>
        <v/>
      </c>
      <c r="AB65">
        <f>AND(C65&lt;&gt;"",D65&lt;&gt;"",F65="No")</f>
        <v/>
      </c>
      <c r="AC65">
        <f>AND(OR(C65&lt;&gt;"",D65&lt;&gt;""),F65="No")</f>
        <v/>
      </c>
      <c r="AD65">
        <f>AND(C65&lt;&gt;"",E65&lt;&gt;"",F65="No")</f>
        <v/>
      </c>
      <c r="AE65">
        <f>AND(OR(C65&lt;&gt;"",E65&lt;&gt;""),F65="No")</f>
        <v/>
      </c>
      <c r="AF65">
        <f>AND(D65&lt;&gt;"",E65&lt;&gt;"",F65="No")</f>
        <v/>
      </c>
      <c r="AG65">
        <f>AND(OR(D65&lt;&gt;"",E65&lt;&gt;""),F65="No")</f>
        <v/>
      </c>
    </row>
    <row r="66">
      <c r="A66" t="inlineStr">
        <is>
          <t>L3.10.8</t>
        </is>
      </c>
      <c r="B66" s="27" t="inlineStr">
        <is>
          <t>X</t>
        </is>
      </c>
      <c r="E66" s="27" t="inlineStr">
        <is>
          <t>X</t>
        </is>
      </c>
      <c r="F66" s="47" t="inlineStr">
        <is>
          <t>Yes</t>
        </is>
      </c>
      <c r="H66">
        <f>AND(B66&lt;&gt;"",C66&lt;&gt;"")</f>
        <v/>
      </c>
      <c r="I66">
        <f>OR(B66&lt;&gt;"",C66&lt;&gt;"")</f>
        <v/>
      </c>
      <c r="J66">
        <f>AND(B66&lt;&gt;"",D66&lt;&gt;"")</f>
        <v/>
      </c>
      <c r="K66">
        <f>OR(B66&lt;&gt;"",D66&lt;&gt;"")</f>
        <v/>
      </c>
      <c r="L66">
        <f>AND(B66&lt;&gt;"",E66&lt;&gt;"")</f>
        <v/>
      </c>
      <c r="M66">
        <f>OR(B66&lt;&gt;"",E66&lt;&gt;"")</f>
        <v/>
      </c>
      <c r="N66">
        <f>AND(C66&lt;&gt;"",D66&lt;&gt;"")</f>
        <v/>
      </c>
      <c r="O66">
        <f>OR(C66&lt;&gt;"",D66&lt;&gt;"")</f>
        <v/>
      </c>
      <c r="P66">
        <f>AND(C66&lt;&gt;"",E66&lt;&gt;"")</f>
        <v/>
      </c>
      <c r="Q66">
        <f>OR(C66&lt;&gt;"",E66&lt;&gt;"")</f>
        <v/>
      </c>
      <c r="R66">
        <f>AND(D66&lt;&gt;"",E66&lt;&gt;"")</f>
        <v/>
      </c>
      <c r="S66">
        <f>OR(D66&lt;&gt;"",E66&lt;&gt;"")</f>
        <v/>
      </c>
      <c r="V66">
        <f>AND(B66&lt;&gt;"",C66&lt;&gt;"",F66="No")</f>
        <v/>
      </c>
      <c r="W66">
        <f>AND(OR(B66&lt;&gt;"",C66&lt;&gt;""),F66="No")</f>
        <v/>
      </c>
      <c r="X66">
        <f>AND(B66&lt;&gt;"",D66&lt;&gt;"",F66="No")</f>
        <v/>
      </c>
      <c r="Y66">
        <f>AND(OR(B66&lt;&gt;"",D66&lt;&gt;""),F66="No")</f>
        <v/>
      </c>
      <c r="Z66">
        <f>AND(B66&lt;&gt;"",E66&lt;&gt;"",F66="No")</f>
        <v/>
      </c>
      <c r="AA66">
        <f>AND(OR(B66&lt;&gt;"",E66&lt;&gt;""),F66="No")</f>
        <v/>
      </c>
      <c r="AB66">
        <f>AND(C66&lt;&gt;"",D66&lt;&gt;"",F66="No")</f>
        <v/>
      </c>
      <c r="AC66">
        <f>AND(OR(C66&lt;&gt;"",D66&lt;&gt;""),F66="No")</f>
        <v/>
      </c>
      <c r="AD66">
        <f>AND(C66&lt;&gt;"",E66&lt;&gt;"",F66="No")</f>
        <v/>
      </c>
      <c r="AE66">
        <f>AND(OR(C66&lt;&gt;"",E66&lt;&gt;""),F66="No")</f>
        <v/>
      </c>
      <c r="AF66">
        <f>AND(D66&lt;&gt;"",E66&lt;&gt;"",F66="No")</f>
        <v/>
      </c>
      <c r="AG66">
        <f>AND(OR(D66&lt;&gt;"",E66&lt;&gt;""),F66="No")</f>
        <v/>
      </c>
    </row>
    <row r="67">
      <c r="A67" t="inlineStr">
        <is>
          <t>L3.10.11</t>
        </is>
      </c>
      <c r="B67" s="27" t="inlineStr">
        <is>
          <t>X</t>
        </is>
      </c>
      <c r="C67" s="27" t="inlineStr">
        <is>
          <t>X</t>
        </is>
      </c>
      <c r="D67" s="27" t="inlineStr">
        <is>
          <t>X</t>
        </is>
      </c>
      <c r="E67" s="27" t="inlineStr">
        <is>
          <t>X</t>
        </is>
      </c>
      <c r="F67" s="47" t="inlineStr">
        <is>
          <t>Yes</t>
        </is>
      </c>
      <c r="H67">
        <f>AND(B67&lt;&gt;"",C67&lt;&gt;"")</f>
        <v/>
      </c>
      <c r="I67">
        <f>OR(B67&lt;&gt;"",C67&lt;&gt;"")</f>
        <v/>
      </c>
      <c r="J67">
        <f>AND(B67&lt;&gt;"",D67&lt;&gt;"")</f>
        <v/>
      </c>
      <c r="K67">
        <f>OR(B67&lt;&gt;"",D67&lt;&gt;"")</f>
        <v/>
      </c>
      <c r="L67">
        <f>AND(B67&lt;&gt;"",E67&lt;&gt;"")</f>
        <v/>
      </c>
      <c r="M67">
        <f>OR(B67&lt;&gt;"",E67&lt;&gt;"")</f>
        <v/>
      </c>
      <c r="N67">
        <f>AND(C67&lt;&gt;"",D67&lt;&gt;"")</f>
        <v/>
      </c>
      <c r="O67">
        <f>OR(C67&lt;&gt;"",D67&lt;&gt;"")</f>
        <v/>
      </c>
      <c r="P67">
        <f>AND(C67&lt;&gt;"",E67&lt;&gt;"")</f>
        <v/>
      </c>
      <c r="Q67">
        <f>OR(C67&lt;&gt;"",E67&lt;&gt;"")</f>
        <v/>
      </c>
      <c r="R67">
        <f>AND(D67&lt;&gt;"",E67&lt;&gt;"")</f>
        <v/>
      </c>
      <c r="S67">
        <f>OR(D67&lt;&gt;"",E67&lt;&gt;"")</f>
        <v/>
      </c>
      <c r="V67">
        <f>AND(B67&lt;&gt;"",C67&lt;&gt;"",F67="No")</f>
        <v/>
      </c>
      <c r="W67">
        <f>AND(OR(B67&lt;&gt;"",C67&lt;&gt;""),F67="No")</f>
        <v/>
      </c>
      <c r="X67">
        <f>AND(B67&lt;&gt;"",D67&lt;&gt;"",F67="No")</f>
        <v/>
      </c>
      <c r="Y67">
        <f>AND(OR(B67&lt;&gt;"",D67&lt;&gt;""),F67="No")</f>
        <v/>
      </c>
      <c r="Z67">
        <f>AND(B67&lt;&gt;"",E67&lt;&gt;"",F67="No")</f>
        <v/>
      </c>
      <c r="AA67">
        <f>AND(OR(B67&lt;&gt;"",E67&lt;&gt;""),F67="No")</f>
        <v/>
      </c>
      <c r="AB67">
        <f>AND(C67&lt;&gt;"",D67&lt;&gt;"",F67="No")</f>
        <v/>
      </c>
      <c r="AC67">
        <f>AND(OR(C67&lt;&gt;"",D67&lt;&gt;""),F67="No")</f>
        <v/>
      </c>
      <c r="AD67">
        <f>AND(C67&lt;&gt;"",E67&lt;&gt;"",F67="No")</f>
        <v/>
      </c>
      <c r="AE67">
        <f>AND(OR(C67&lt;&gt;"",E67&lt;&gt;""),F67="No")</f>
        <v/>
      </c>
      <c r="AF67">
        <f>AND(D67&lt;&gt;"",E67&lt;&gt;"",F67="No")</f>
        <v/>
      </c>
      <c r="AG67">
        <f>AND(OR(D67&lt;&gt;"",E67&lt;&gt;""),F67="No")</f>
        <v/>
      </c>
    </row>
    <row r="68">
      <c r="F68" s="47" t="n"/>
    </row>
    <row r="69">
      <c r="A69" s="47" t="inlineStr">
        <is>
          <t>Count</t>
        </is>
      </c>
      <c r="H69">
        <f>COUNTIF(H2:H67,TRUE())</f>
        <v/>
      </c>
      <c r="I69">
        <f>COUNTIF(I2:I67,TRUE())</f>
        <v/>
      </c>
      <c r="J69">
        <f>COUNTIF(J2:J67,TRUE())</f>
        <v/>
      </c>
      <c r="K69">
        <f>COUNTIF(K2:K67,TRUE())</f>
        <v/>
      </c>
      <c r="L69">
        <f>COUNTIF(L2:L67,TRUE())</f>
        <v/>
      </c>
      <c r="M69">
        <f>COUNTIF(M2:M67,TRUE())</f>
        <v/>
      </c>
      <c r="N69">
        <f>COUNTIF(N2:N67,TRUE())</f>
        <v/>
      </c>
      <c r="O69">
        <f>COUNTIF(O2:O67,TRUE())</f>
        <v/>
      </c>
      <c r="P69">
        <f>COUNTIF(P2:P67,TRUE())</f>
        <v/>
      </c>
      <c r="Q69">
        <f>COUNTIF(Q2:Q67,TRUE())</f>
        <v/>
      </c>
      <c r="R69">
        <f>COUNTIF(R2:R67,TRUE())</f>
        <v/>
      </c>
      <c r="S69">
        <f>COUNTIF(S2:S67,TRUE())</f>
        <v/>
      </c>
      <c r="T69" s="16" t="inlineStr">
        <is>
          <t>Avg.</t>
        </is>
      </c>
      <c r="V69">
        <f>COUNTIF(V2:V67,TRUE())</f>
        <v/>
      </c>
      <c r="W69">
        <f>COUNTIF(W2:W67,TRUE())</f>
        <v/>
      </c>
      <c r="X69">
        <f>COUNTIF(X2:X67,TRUE())</f>
        <v/>
      </c>
      <c r="Y69">
        <f>COUNTIF(Y2:Y67,TRUE())</f>
        <v/>
      </c>
      <c r="Z69">
        <f>COUNTIF(Z2:Z67,TRUE())</f>
        <v/>
      </c>
      <c r="AA69">
        <f>COUNTIF(AA2:AA67,TRUE())</f>
        <v/>
      </c>
      <c r="AB69">
        <f>COUNTIF(AB2:AB67,TRUE())</f>
        <v/>
      </c>
      <c r="AC69">
        <f>COUNTIF(AC2:AC67,TRUE())</f>
        <v/>
      </c>
      <c r="AD69">
        <f>COUNTIF(AD2:AD67,TRUE())</f>
        <v/>
      </c>
      <c r="AE69">
        <f>COUNTIF(AE2:AE67,TRUE())</f>
        <v/>
      </c>
      <c r="AF69">
        <f>COUNTIF(AF2:AF67,TRUE())</f>
        <v/>
      </c>
      <c r="AG69">
        <f>COUNTIF(AG2:AG67,TRUE())</f>
        <v/>
      </c>
      <c r="AH69" s="16" t="inlineStr">
        <is>
          <t>Avg.</t>
        </is>
      </c>
    </row>
    <row r="70">
      <c r="G70" s="47" t="inlineStr">
        <is>
          <t>J-index</t>
        </is>
      </c>
      <c r="H70" s="55">
        <f>H69/I69</f>
        <v/>
      </c>
      <c r="J70" s="55">
        <f>J69/K69</f>
        <v/>
      </c>
      <c r="L70" s="55">
        <f>L69/M69</f>
        <v/>
      </c>
      <c r="N70" s="55">
        <f>N69/O69</f>
        <v/>
      </c>
      <c r="P70" s="55">
        <f>P69/Q69</f>
        <v/>
      </c>
      <c r="R70" s="55">
        <f>R69/S69</f>
        <v/>
      </c>
      <c r="T70" s="55">
        <f>AVERAGE(H70:S70)</f>
        <v/>
      </c>
      <c r="U70" s="47" t="inlineStr">
        <is>
          <t>J-index</t>
        </is>
      </c>
      <c r="V70" s="55">
        <f>V69/W69</f>
        <v/>
      </c>
      <c r="X70" s="55">
        <f>X69/Y69</f>
        <v/>
      </c>
      <c r="Z70" s="55">
        <f>Z69/AA69</f>
        <v/>
      </c>
      <c r="AB70" s="55">
        <f>AB69/AC69</f>
        <v/>
      </c>
      <c r="AD70" s="55">
        <f>AD69/AE69</f>
        <v/>
      </c>
      <c r="AF70" s="55">
        <f>AF69/AG69</f>
        <v/>
      </c>
      <c r="AH70" s="55">
        <f>AVERAGE(V70:AG70)</f>
        <v/>
      </c>
    </row>
    <row r="71">
      <c r="T71" s="55">
        <f>GEOMEAN(H70:S70)</f>
        <v/>
      </c>
      <c r="AH71" s="55">
        <f>GEOMEAN(V70:AG70)</f>
        <v/>
      </c>
    </row>
  </sheetData>
  <autoFilter ref="A1:F67"/>
  <mergeCells count="13">
    <mergeCell ref="P70:Q70"/>
    <mergeCell ref="N70:O70"/>
    <mergeCell ref="AB70:AC70"/>
    <mergeCell ref="R70:S70"/>
    <mergeCell ref="AF70:AG70"/>
    <mergeCell ref="AD70:AE70"/>
    <mergeCell ref="X70:Y70"/>
    <mergeCell ref="H70:I70"/>
    <mergeCell ref="A69:G69"/>
    <mergeCell ref="V70:W70"/>
    <mergeCell ref="Z70:AA70"/>
    <mergeCell ref="L70:M70"/>
    <mergeCell ref="J70:K70"/>
  </mergeCells>
  <conditionalFormatting sqref="F2:F68">
    <cfRule type="containsText" priority="2" operator="containsText" dxfId="1" text="No">
      <formula>NOT(ISERROR(SEARCH("No",F2)))</formula>
    </cfRule>
    <cfRule type="containsText" priority="3" operator="containsText" dxfId="0" text="Yes">
      <formula>NOT(ISERROR(SEARCH("Yes",F2)))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3"/>
  <sheetViews>
    <sheetView zoomScale="85" zoomScaleNormal="85" workbookViewId="0">
      <selection activeCell="A1" sqref="A1:F59"/>
    </sheetView>
  </sheetViews>
  <sheetFormatPr baseColWidth="8" defaultColWidth="8.7109375" defaultRowHeight="14.45"/>
  <cols>
    <col width="17.85546875" customWidth="1" style="54" min="1" max="1"/>
    <col width="9.140625" customWidth="1" style="27" min="2" max="5"/>
    <col width="9.140625" customWidth="1" style="54" min="6" max="6"/>
    <col width="11.7109375" customWidth="1" style="54" min="7" max="7"/>
    <col width="12.7109375" customWidth="1" style="54" min="8" max="34"/>
  </cols>
  <sheetData>
    <row r="1">
      <c r="A1" t="inlineStr">
        <is>
          <t>#</t>
        </is>
      </c>
      <c r="B1" s="27" t="inlineStr">
        <is>
          <t>L0_i</t>
        </is>
      </c>
      <c r="C1" s="27" t="inlineStr">
        <is>
          <t>L0_ii</t>
        </is>
      </c>
      <c r="D1" s="27" t="inlineStr">
        <is>
          <t>L0_iii</t>
        </is>
      </c>
      <c r="E1" s="27" t="inlineStr">
        <is>
          <t>L0_iv</t>
        </is>
      </c>
      <c r="F1" t="inlineStr">
        <is>
          <t>Hall.</t>
        </is>
      </c>
      <c r="H1" t="inlineStr">
        <is>
          <t>L0_i &amp;&amp; L0_ii</t>
        </is>
      </c>
      <c r="I1" t="inlineStr">
        <is>
          <t>L0_i || L0_ii</t>
        </is>
      </c>
      <c r="J1" t="inlineStr">
        <is>
          <t>L0_i &amp;&amp; L0_iii</t>
        </is>
      </c>
      <c r="K1" t="inlineStr">
        <is>
          <t>L0_i || L0_iii</t>
        </is>
      </c>
      <c r="L1" t="inlineStr">
        <is>
          <t>L0_i &amp;&amp; L0_iv</t>
        </is>
      </c>
      <c r="M1" t="inlineStr">
        <is>
          <t>L0_i || L0_iv</t>
        </is>
      </c>
      <c r="N1" t="inlineStr">
        <is>
          <t>L0_ii &amp;&amp; L0_iii</t>
        </is>
      </c>
      <c r="O1" t="inlineStr">
        <is>
          <t>L0_ii || L0_iii</t>
        </is>
      </c>
      <c r="P1" t="inlineStr">
        <is>
          <t>L0_ii &amp;&amp; L0_iv</t>
        </is>
      </c>
      <c r="Q1" t="inlineStr">
        <is>
          <t>L0_ii || L0_iv</t>
        </is>
      </c>
      <c r="R1" t="inlineStr">
        <is>
          <t>L0_iii &amp;&amp; L0_iv</t>
        </is>
      </c>
      <c r="S1" t="inlineStr">
        <is>
          <t>L0_iii || L0_iv</t>
        </is>
      </c>
      <c r="V1" t="inlineStr">
        <is>
          <t>L0_i &amp;&amp; L0_ii</t>
        </is>
      </c>
      <c r="W1" t="inlineStr">
        <is>
          <t>L0_i || L0_ii</t>
        </is>
      </c>
      <c r="X1" t="inlineStr">
        <is>
          <t>L0_i &amp;&amp; L0_iii</t>
        </is>
      </c>
      <c r="Y1" t="inlineStr">
        <is>
          <t>L0_i || L0_iii</t>
        </is>
      </c>
      <c r="Z1" t="inlineStr">
        <is>
          <t>L0_i &amp;&amp; L0_iv</t>
        </is>
      </c>
      <c r="AA1" t="inlineStr">
        <is>
          <t>L0_i || L0_iv</t>
        </is>
      </c>
      <c r="AB1" t="inlineStr">
        <is>
          <t>L0_ii &amp;&amp; L0_iii</t>
        </is>
      </c>
      <c r="AC1" t="inlineStr">
        <is>
          <t>L0_ii || L0_iii</t>
        </is>
      </c>
      <c r="AD1" t="inlineStr">
        <is>
          <t>L0_ii &amp;&amp; L0_iv</t>
        </is>
      </c>
      <c r="AE1" t="inlineStr">
        <is>
          <t>L0_ii || L0_iv</t>
        </is>
      </c>
      <c r="AF1" t="inlineStr">
        <is>
          <t>L0_iii &amp;&amp; L0_iv</t>
        </is>
      </c>
      <c r="AG1" t="inlineStr">
        <is>
          <t>L0_iii || L0_iv</t>
        </is>
      </c>
    </row>
    <row r="2">
      <c r="A2" s="44" t="inlineStr">
        <is>
          <t>H.1.1</t>
        </is>
      </c>
      <c r="B2" s="27" t="inlineStr">
        <is>
          <t>X</t>
        </is>
      </c>
      <c r="C2" s="27" t="inlineStr">
        <is>
          <t>X</t>
        </is>
      </c>
      <c r="D2" s="27" t="inlineStr">
        <is>
          <t>X</t>
        </is>
      </c>
      <c r="E2" s="27" t="inlineStr">
        <is>
          <t>X</t>
        </is>
      </c>
      <c r="F2" s="47" t="inlineStr">
        <is>
          <t>No</t>
        </is>
      </c>
      <c r="H2">
        <f>AND(B2&lt;&gt;"",C2&lt;&gt;"")</f>
        <v/>
      </c>
      <c r="I2">
        <f>OR(B2&lt;&gt;"",C2&lt;&gt;"")</f>
        <v/>
      </c>
      <c r="J2">
        <f>AND(B2&lt;&gt;"",D2&lt;&gt;"")</f>
        <v/>
      </c>
      <c r="K2">
        <f>OR(B2&lt;&gt;"",D2&lt;&gt;"")</f>
        <v/>
      </c>
      <c r="L2">
        <f>AND(B2&lt;&gt;"",E2&lt;&gt;"")</f>
        <v/>
      </c>
      <c r="M2">
        <f>OR(B2&lt;&gt;"",E2&lt;&gt;"")</f>
        <v/>
      </c>
      <c r="N2">
        <f>AND(C2&lt;&gt;"",D2&lt;&gt;"")</f>
        <v/>
      </c>
      <c r="O2">
        <f>OR(C2&lt;&gt;"",D2&lt;&gt;"")</f>
        <v/>
      </c>
      <c r="P2">
        <f>AND(C2&lt;&gt;"",E2&lt;&gt;"")</f>
        <v/>
      </c>
      <c r="Q2">
        <f>OR(C2&lt;&gt;"",E2&lt;&gt;"")</f>
        <v/>
      </c>
      <c r="R2">
        <f>AND(D2&lt;&gt;"",E2&lt;&gt;"")</f>
        <v/>
      </c>
      <c r="S2">
        <f>OR(D2&lt;&gt;"",E2&lt;&gt;"")</f>
        <v/>
      </c>
      <c r="V2">
        <f>AND(B2&lt;&gt;"",C2&lt;&gt;"",F2="No")</f>
        <v/>
      </c>
      <c r="W2">
        <f>AND(OR(B2&lt;&gt;"",C2&lt;&gt;""),F2="No")</f>
        <v/>
      </c>
      <c r="X2">
        <f>AND(B2&lt;&gt;"",D2&lt;&gt;"",F2="No")</f>
        <v/>
      </c>
      <c r="Y2">
        <f>AND(OR(B2&lt;&gt;"",D2&lt;&gt;""),F2="No")</f>
        <v/>
      </c>
      <c r="Z2">
        <f>AND(B2&lt;&gt;"",E2&lt;&gt;"",F2="No")</f>
        <v/>
      </c>
      <c r="AA2">
        <f>AND(OR(B2&lt;&gt;"",E2&lt;&gt;""),F2="No")</f>
        <v/>
      </c>
      <c r="AB2">
        <f>AND(C2&lt;&gt;"",D2&lt;&gt;"",F2="No")</f>
        <v/>
      </c>
      <c r="AC2">
        <f>AND(OR(C2&lt;&gt;"",D2&lt;&gt;""),F2="No")</f>
        <v/>
      </c>
      <c r="AD2">
        <f>AND(C2&lt;&gt;"",E2&lt;&gt;"",F2="No")</f>
        <v/>
      </c>
      <c r="AE2">
        <f>AND(OR(C2&lt;&gt;"",E2&lt;&gt;""),F2="No")</f>
        <v/>
      </c>
      <c r="AF2">
        <f>AND(D2&lt;&gt;"",E2&lt;&gt;"",F2="No")</f>
        <v/>
      </c>
      <c r="AG2">
        <f>AND(OR(D2&lt;&gt;"",E2&lt;&gt;""),F2="No")</f>
        <v/>
      </c>
    </row>
    <row r="3">
      <c r="A3" s="44" t="inlineStr">
        <is>
          <t>H.2.1</t>
        </is>
      </c>
      <c r="B3" s="27" t="inlineStr">
        <is>
          <t>X</t>
        </is>
      </c>
      <c r="C3" s="27" t="inlineStr">
        <is>
          <t>X</t>
        </is>
      </c>
      <c r="D3" s="27" t="inlineStr">
        <is>
          <t>X</t>
        </is>
      </c>
      <c r="E3" s="27" t="inlineStr">
        <is>
          <t>X</t>
        </is>
      </c>
      <c r="F3" s="47" t="inlineStr">
        <is>
          <t>No</t>
        </is>
      </c>
      <c r="H3">
        <f>AND(B3&lt;&gt;"",C3&lt;&gt;"")</f>
        <v/>
      </c>
      <c r="I3">
        <f>OR(B3&lt;&gt;"",C3&lt;&gt;"")</f>
        <v/>
      </c>
      <c r="J3">
        <f>AND(B3&lt;&gt;"",D3&lt;&gt;"")</f>
        <v/>
      </c>
      <c r="K3">
        <f>OR(B3&lt;&gt;"",D3&lt;&gt;"")</f>
        <v/>
      </c>
      <c r="L3">
        <f>AND(B3&lt;&gt;"",E3&lt;&gt;"")</f>
        <v/>
      </c>
      <c r="M3">
        <f>OR(B3&lt;&gt;"",E3&lt;&gt;"")</f>
        <v/>
      </c>
      <c r="N3">
        <f>AND(C3&lt;&gt;"",D3&lt;&gt;"")</f>
        <v/>
      </c>
      <c r="O3">
        <f>OR(C3&lt;&gt;"",D3&lt;&gt;"")</f>
        <v/>
      </c>
      <c r="P3">
        <f>AND(C3&lt;&gt;"",E3&lt;&gt;"")</f>
        <v/>
      </c>
      <c r="Q3">
        <f>OR(C3&lt;&gt;"",E3&lt;&gt;"")</f>
        <v/>
      </c>
      <c r="R3">
        <f>AND(D3&lt;&gt;"",E3&lt;&gt;"")</f>
        <v/>
      </c>
      <c r="S3">
        <f>OR(D3&lt;&gt;"",E3&lt;&gt;"")</f>
        <v/>
      </c>
      <c r="V3">
        <f>AND(B3&lt;&gt;"",C3&lt;&gt;"",F3="No")</f>
        <v/>
      </c>
      <c r="W3">
        <f>AND(OR(B3&lt;&gt;"",C3&lt;&gt;""),F3="No")</f>
        <v/>
      </c>
      <c r="X3">
        <f>AND(B3&lt;&gt;"",D3&lt;&gt;"",F3="No")</f>
        <v/>
      </c>
      <c r="Y3">
        <f>AND(OR(B3&lt;&gt;"",D3&lt;&gt;""),F3="No")</f>
        <v/>
      </c>
      <c r="Z3">
        <f>AND(B3&lt;&gt;"",E3&lt;&gt;"",F3="No")</f>
        <v/>
      </c>
      <c r="AA3">
        <f>AND(OR(B3&lt;&gt;"",E3&lt;&gt;""),F3="No")</f>
        <v/>
      </c>
      <c r="AB3">
        <f>AND(C3&lt;&gt;"",D3&lt;&gt;"",F3="No")</f>
        <v/>
      </c>
      <c r="AC3">
        <f>AND(OR(C3&lt;&gt;"",D3&lt;&gt;""),F3="No")</f>
        <v/>
      </c>
      <c r="AD3">
        <f>AND(C3&lt;&gt;"",E3&lt;&gt;"",F3="No")</f>
        <v/>
      </c>
      <c r="AE3">
        <f>AND(OR(C3&lt;&gt;"",E3&lt;&gt;""),F3="No")</f>
        <v/>
      </c>
      <c r="AF3">
        <f>AND(D3&lt;&gt;"",E3&lt;&gt;"",F3="No")</f>
        <v/>
      </c>
      <c r="AG3">
        <f>AND(OR(D3&lt;&gt;"",E3&lt;&gt;""),F3="No")</f>
        <v/>
      </c>
    </row>
    <row r="4">
      <c r="A4" s="44" t="inlineStr">
        <is>
          <t>H.2.2</t>
        </is>
      </c>
      <c r="D4" s="27" t="inlineStr">
        <is>
          <t>X</t>
        </is>
      </c>
      <c r="F4" s="47" t="inlineStr">
        <is>
          <t>No</t>
        </is>
      </c>
      <c r="H4">
        <f>AND(B4&lt;&gt;"",C4&lt;&gt;"")</f>
        <v/>
      </c>
      <c r="I4">
        <f>OR(B4&lt;&gt;"",C4&lt;&gt;"")</f>
        <v/>
      </c>
      <c r="J4">
        <f>AND(B4&lt;&gt;"",D4&lt;&gt;"")</f>
        <v/>
      </c>
      <c r="K4">
        <f>OR(B4&lt;&gt;"",D4&lt;&gt;"")</f>
        <v/>
      </c>
      <c r="L4">
        <f>AND(B4&lt;&gt;"",E4&lt;&gt;"")</f>
        <v/>
      </c>
      <c r="M4">
        <f>OR(B4&lt;&gt;"",E4&lt;&gt;"")</f>
        <v/>
      </c>
      <c r="N4">
        <f>AND(C4&lt;&gt;"",D4&lt;&gt;"")</f>
        <v/>
      </c>
      <c r="O4">
        <f>OR(C4&lt;&gt;"",D4&lt;&gt;"")</f>
        <v/>
      </c>
      <c r="P4">
        <f>AND(C4&lt;&gt;"",E4&lt;&gt;"")</f>
        <v/>
      </c>
      <c r="Q4">
        <f>OR(C4&lt;&gt;"",E4&lt;&gt;"")</f>
        <v/>
      </c>
      <c r="R4">
        <f>AND(D4&lt;&gt;"",E4&lt;&gt;"")</f>
        <v/>
      </c>
      <c r="S4">
        <f>OR(D4&lt;&gt;"",E4&lt;&gt;"")</f>
        <v/>
      </c>
      <c r="V4">
        <f>AND(B4&lt;&gt;"",C4&lt;&gt;"",F4="No")</f>
        <v/>
      </c>
      <c r="W4">
        <f>AND(OR(B4&lt;&gt;"",C4&lt;&gt;""),F4="No")</f>
        <v/>
      </c>
      <c r="X4">
        <f>AND(B4&lt;&gt;"",D4&lt;&gt;"",F4="No")</f>
        <v/>
      </c>
      <c r="Y4">
        <f>AND(OR(B4&lt;&gt;"",D4&lt;&gt;""),F4="No")</f>
        <v/>
      </c>
      <c r="Z4">
        <f>AND(B4&lt;&gt;"",E4&lt;&gt;"",F4="No")</f>
        <v/>
      </c>
      <c r="AA4">
        <f>AND(OR(B4&lt;&gt;"",E4&lt;&gt;""),F4="No")</f>
        <v/>
      </c>
      <c r="AB4">
        <f>AND(C4&lt;&gt;"",D4&lt;&gt;"",F4="No")</f>
        <v/>
      </c>
      <c r="AC4">
        <f>AND(OR(C4&lt;&gt;"",D4&lt;&gt;""),F4="No")</f>
        <v/>
      </c>
      <c r="AD4">
        <f>AND(C4&lt;&gt;"",E4&lt;&gt;"",F4="No")</f>
        <v/>
      </c>
      <c r="AE4">
        <f>AND(OR(C4&lt;&gt;"",E4&lt;&gt;""),F4="No")</f>
        <v/>
      </c>
      <c r="AF4">
        <f>AND(D4&lt;&gt;"",E4&lt;&gt;"",F4="No")</f>
        <v/>
      </c>
      <c r="AG4">
        <f>AND(OR(D4&lt;&gt;"",E4&lt;&gt;""),F4="No")</f>
        <v/>
      </c>
    </row>
    <row r="5">
      <c r="A5" s="44" t="inlineStr">
        <is>
          <t>GS.2.3</t>
        </is>
      </c>
      <c r="B5" s="27" t="inlineStr">
        <is>
          <t>X</t>
        </is>
      </c>
      <c r="F5" s="47" t="inlineStr">
        <is>
          <t>No</t>
        </is>
      </c>
      <c r="H5">
        <f>AND(B5&lt;&gt;"",C5&lt;&gt;"")</f>
        <v/>
      </c>
      <c r="I5">
        <f>OR(B5&lt;&gt;"",C5&lt;&gt;"")</f>
        <v/>
      </c>
      <c r="J5">
        <f>AND(B5&lt;&gt;"",D5&lt;&gt;"")</f>
        <v/>
      </c>
      <c r="K5">
        <f>OR(B5&lt;&gt;"",D5&lt;&gt;"")</f>
        <v/>
      </c>
      <c r="L5">
        <f>AND(B5&lt;&gt;"",E5&lt;&gt;"")</f>
        <v/>
      </c>
      <c r="M5">
        <f>OR(B5&lt;&gt;"",E5&lt;&gt;"")</f>
        <v/>
      </c>
      <c r="N5">
        <f>AND(C5&lt;&gt;"",D5&lt;&gt;"")</f>
        <v/>
      </c>
      <c r="O5">
        <f>OR(C5&lt;&gt;"",D5&lt;&gt;"")</f>
        <v/>
      </c>
      <c r="P5">
        <f>AND(C5&lt;&gt;"",E5&lt;&gt;"")</f>
        <v/>
      </c>
      <c r="Q5">
        <f>OR(C5&lt;&gt;"",E5&lt;&gt;"")</f>
        <v/>
      </c>
      <c r="R5">
        <f>AND(D5&lt;&gt;"",E5&lt;&gt;"")</f>
        <v/>
      </c>
      <c r="S5">
        <f>OR(D5&lt;&gt;"",E5&lt;&gt;"")</f>
        <v/>
      </c>
      <c r="V5">
        <f>AND(B5&lt;&gt;"",C5&lt;&gt;"",F5="No")</f>
        <v/>
      </c>
      <c r="W5">
        <f>AND(OR(B5&lt;&gt;"",C5&lt;&gt;""),F5="No")</f>
        <v/>
      </c>
      <c r="X5">
        <f>AND(B5&lt;&gt;"",D5&lt;&gt;"",F5="No")</f>
        <v/>
      </c>
      <c r="Y5">
        <f>AND(OR(B5&lt;&gt;"",D5&lt;&gt;""),F5="No")</f>
        <v/>
      </c>
      <c r="Z5">
        <f>AND(B5&lt;&gt;"",E5&lt;&gt;"",F5="No")</f>
        <v/>
      </c>
      <c r="AA5">
        <f>AND(OR(B5&lt;&gt;"",E5&lt;&gt;""),F5="No")</f>
        <v/>
      </c>
      <c r="AB5">
        <f>AND(C5&lt;&gt;"",D5&lt;&gt;"",F5="No")</f>
        <v/>
      </c>
      <c r="AC5">
        <f>AND(OR(C5&lt;&gt;"",D5&lt;&gt;""),F5="No")</f>
        <v/>
      </c>
      <c r="AD5">
        <f>AND(C5&lt;&gt;"",E5&lt;&gt;"",F5="No")</f>
        <v/>
      </c>
      <c r="AE5">
        <f>AND(OR(C5&lt;&gt;"",E5&lt;&gt;""),F5="No")</f>
        <v/>
      </c>
      <c r="AF5">
        <f>AND(D5&lt;&gt;"",E5&lt;&gt;"",F5="No")</f>
        <v/>
      </c>
      <c r="AG5">
        <f>AND(OR(D5&lt;&gt;"",E5&lt;&gt;""),F5="No")</f>
        <v/>
      </c>
    </row>
    <row r="6">
      <c r="A6" t="inlineStr">
        <is>
          <t>L0_ii.2.1; L0_iii.2.2</t>
        </is>
      </c>
      <c r="C6" s="27" t="inlineStr">
        <is>
          <t>X</t>
        </is>
      </c>
      <c r="D6" s="27" t="inlineStr">
        <is>
          <t>X</t>
        </is>
      </c>
      <c r="F6" s="47" t="inlineStr">
        <is>
          <t>Yes</t>
        </is>
      </c>
      <c r="H6">
        <f>AND(B6&lt;&gt;"",C6&lt;&gt;"")</f>
        <v/>
      </c>
      <c r="I6">
        <f>OR(B6&lt;&gt;"",C6&lt;&gt;"")</f>
        <v/>
      </c>
      <c r="J6">
        <f>AND(B6&lt;&gt;"",D6&lt;&gt;"")</f>
        <v/>
      </c>
      <c r="K6">
        <f>OR(B6&lt;&gt;"",D6&lt;&gt;"")</f>
        <v/>
      </c>
      <c r="L6">
        <f>AND(B6&lt;&gt;"",E6&lt;&gt;"")</f>
        <v/>
      </c>
      <c r="M6">
        <f>OR(B6&lt;&gt;"",E6&lt;&gt;"")</f>
        <v/>
      </c>
      <c r="N6">
        <f>AND(C6&lt;&gt;"",D6&lt;&gt;"")</f>
        <v/>
      </c>
      <c r="O6">
        <f>OR(C6&lt;&gt;"",D6&lt;&gt;"")</f>
        <v/>
      </c>
      <c r="P6">
        <f>AND(C6&lt;&gt;"",E6&lt;&gt;"")</f>
        <v/>
      </c>
      <c r="Q6">
        <f>OR(C6&lt;&gt;"",E6&lt;&gt;"")</f>
        <v/>
      </c>
      <c r="R6">
        <f>AND(D6&lt;&gt;"",E6&lt;&gt;"")</f>
        <v/>
      </c>
      <c r="S6">
        <f>OR(D6&lt;&gt;"",E6&lt;&gt;"")</f>
        <v/>
      </c>
      <c r="V6">
        <f>AND(B6&lt;&gt;"",C6&lt;&gt;"",F6="No")</f>
        <v/>
      </c>
      <c r="W6">
        <f>AND(OR(B6&lt;&gt;"",C6&lt;&gt;""),F6="No")</f>
        <v/>
      </c>
      <c r="X6">
        <f>AND(B6&lt;&gt;"",D6&lt;&gt;"",F6="No")</f>
        <v/>
      </c>
      <c r="Y6">
        <f>AND(OR(B6&lt;&gt;"",D6&lt;&gt;""),F6="No")</f>
        <v/>
      </c>
      <c r="Z6">
        <f>AND(B6&lt;&gt;"",E6&lt;&gt;"",F6="No")</f>
        <v/>
      </c>
      <c r="AA6">
        <f>AND(OR(B6&lt;&gt;"",E6&lt;&gt;""),F6="No")</f>
        <v/>
      </c>
      <c r="AB6">
        <f>AND(C6&lt;&gt;"",D6&lt;&gt;"",F6="No")</f>
        <v/>
      </c>
      <c r="AC6">
        <f>AND(OR(C6&lt;&gt;"",D6&lt;&gt;""),F6="No")</f>
        <v/>
      </c>
      <c r="AD6">
        <f>AND(C6&lt;&gt;"",E6&lt;&gt;"",F6="No")</f>
        <v/>
      </c>
      <c r="AE6">
        <f>AND(OR(C6&lt;&gt;"",E6&lt;&gt;""),F6="No")</f>
        <v/>
      </c>
      <c r="AF6">
        <f>AND(D6&lt;&gt;"",E6&lt;&gt;"",F6="No")</f>
        <v/>
      </c>
      <c r="AG6">
        <f>AND(OR(D6&lt;&gt;"",E6&lt;&gt;""),F6="No")</f>
        <v/>
      </c>
    </row>
    <row r="7">
      <c r="A7" t="inlineStr">
        <is>
          <t>L0_ii.2.3</t>
        </is>
      </c>
      <c r="C7" s="27" t="inlineStr">
        <is>
          <t>X</t>
        </is>
      </c>
      <c r="F7" s="47" t="inlineStr">
        <is>
          <t>Yes</t>
        </is>
      </c>
      <c r="H7">
        <f>AND(B7&lt;&gt;"",C7&lt;&gt;"")</f>
        <v/>
      </c>
      <c r="I7">
        <f>OR(B7&lt;&gt;"",C7&lt;&gt;"")</f>
        <v/>
      </c>
      <c r="J7">
        <f>AND(B7&lt;&gt;"",D7&lt;&gt;"")</f>
        <v/>
      </c>
      <c r="K7">
        <f>OR(B7&lt;&gt;"",D7&lt;&gt;"")</f>
        <v/>
      </c>
      <c r="L7">
        <f>AND(B7&lt;&gt;"",E7&lt;&gt;"")</f>
        <v/>
      </c>
      <c r="M7">
        <f>OR(B7&lt;&gt;"",E7&lt;&gt;"")</f>
        <v/>
      </c>
      <c r="N7">
        <f>AND(C7&lt;&gt;"",D7&lt;&gt;"")</f>
        <v/>
      </c>
      <c r="O7">
        <f>OR(C7&lt;&gt;"",D7&lt;&gt;"")</f>
        <v/>
      </c>
      <c r="P7">
        <f>AND(C7&lt;&gt;"",E7&lt;&gt;"")</f>
        <v/>
      </c>
      <c r="Q7">
        <f>OR(C7&lt;&gt;"",E7&lt;&gt;"")</f>
        <v/>
      </c>
      <c r="R7">
        <f>AND(D7&lt;&gt;"",E7&lt;&gt;"")</f>
        <v/>
      </c>
      <c r="S7">
        <f>OR(D7&lt;&gt;"",E7&lt;&gt;"")</f>
        <v/>
      </c>
      <c r="V7">
        <f>AND(B7&lt;&gt;"",C7&lt;&gt;"",F7="No")</f>
        <v/>
      </c>
      <c r="W7">
        <f>AND(OR(B7&lt;&gt;"",C7&lt;&gt;""),F7="No")</f>
        <v/>
      </c>
      <c r="X7">
        <f>AND(B7&lt;&gt;"",D7&lt;&gt;"",F7="No")</f>
        <v/>
      </c>
      <c r="Y7">
        <f>AND(OR(B7&lt;&gt;"",D7&lt;&gt;""),F7="No")</f>
        <v/>
      </c>
      <c r="Z7">
        <f>AND(B7&lt;&gt;"",E7&lt;&gt;"",F7="No")</f>
        <v/>
      </c>
      <c r="AA7">
        <f>AND(OR(B7&lt;&gt;"",E7&lt;&gt;""),F7="No")</f>
        <v/>
      </c>
      <c r="AB7">
        <f>AND(C7&lt;&gt;"",D7&lt;&gt;"",F7="No")</f>
        <v/>
      </c>
      <c r="AC7">
        <f>AND(OR(C7&lt;&gt;"",D7&lt;&gt;""),F7="No")</f>
        <v/>
      </c>
      <c r="AD7">
        <f>AND(C7&lt;&gt;"",E7&lt;&gt;"",F7="No")</f>
        <v/>
      </c>
      <c r="AE7">
        <f>AND(OR(C7&lt;&gt;"",E7&lt;&gt;""),F7="No")</f>
        <v/>
      </c>
      <c r="AF7">
        <f>AND(D7&lt;&gt;"",E7&lt;&gt;"",F7="No")</f>
        <v/>
      </c>
      <c r="AG7">
        <f>AND(OR(D7&lt;&gt;"",E7&lt;&gt;""),F7="No")</f>
        <v/>
      </c>
    </row>
    <row r="8">
      <c r="A8" t="inlineStr">
        <is>
          <t>L0_iii.2.5</t>
        </is>
      </c>
      <c r="D8" s="27" t="inlineStr">
        <is>
          <t>X</t>
        </is>
      </c>
      <c r="F8" s="47" t="inlineStr">
        <is>
          <t>Yes</t>
        </is>
      </c>
      <c r="H8">
        <f>AND(B8&lt;&gt;"",C8&lt;&gt;"")</f>
        <v/>
      </c>
      <c r="I8">
        <f>OR(B8&lt;&gt;"",C8&lt;&gt;"")</f>
        <v/>
      </c>
      <c r="J8">
        <f>AND(B8&lt;&gt;"",D8&lt;&gt;"")</f>
        <v/>
      </c>
      <c r="K8">
        <f>OR(B8&lt;&gt;"",D8&lt;&gt;"")</f>
        <v/>
      </c>
      <c r="L8">
        <f>AND(B8&lt;&gt;"",E8&lt;&gt;"")</f>
        <v/>
      </c>
      <c r="M8">
        <f>OR(B8&lt;&gt;"",E8&lt;&gt;"")</f>
        <v/>
      </c>
      <c r="N8">
        <f>AND(C8&lt;&gt;"",D8&lt;&gt;"")</f>
        <v/>
      </c>
      <c r="O8">
        <f>OR(C8&lt;&gt;"",D8&lt;&gt;"")</f>
        <v/>
      </c>
      <c r="P8">
        <f>AND(C8&lt;&gt;"",E8&lt;&gt;"")</f>
        <v/>
      </c>
      <c r="Q8">
        <f>OR(C8&lt;&gt;"",E8&lt;&gt;"")</f>
        <v/>
      </c>
      <c r="R8">
        <f>AND(D8&lt;&gt;"",E8&lt;&gt;"")</f>
        <v/>
      </c>
      <c r="S8">
        <f>OR(D8&lt;&gt;"",E8&lt;&gt;"")</f>
        <v/>
      </c>
      <c r="V8">
        <f>AND(B8&lt;&gt;"",C8&lt;&gt;"",F8="No")</f>
        <v/>
      </c>
      <c r="W8">
        <f>AND(OR(B8&lt;&gt;"",C8&lt;&gt;""),F8="No")</f>
        <v/>
      </c>
      <c r="X8">
        <f>AND(B8&lt;&gt;"",D8&lt;&gt;"",F8="No")</f>
        <v/>
      </c>
      <c r="Y8">
        <f>AND(OR(B8&lt;&gt;"",D8&lt;&gt;""),F8="No")</f>
        <v/>
      </c>
      <c r="Z8">
        <f>AND(B8&lt;&gt;"",E8&lt;&gt;"",F8="No")</f>
        <v/>
      </c>
      <c r="AA8">
        <f>AND(OR(B8&lt;&gt;"",E8&lt;&gt;""),F8="No")</f>
        <v/>
      </c>
      <c r="AB8">
        <f>AND(C8&lt;&gt;"",D8&lt;&gt;"",F8="No")</f>
        <v/>
      </c>
      <c r="AC8">
        <f>AND(OR(C8&lt;&gt;"",D8&lt;&gt;""),F8="No")</f>
        <v/>
      </c>
      <c r="AD8">
        <f>AND(C8&lt;&gt;"",E8&lt;&gt;"",F8="No")</f>
        <v/>
      </c>
      <c r="AE8">
        <f>AND(OR(C8&lt;&gt;"",E8&lt;&gt;""),F8="No")</f>
        <v/>
      </c>
      <c r="AF8">
        <f>AND(D8&lt;&gt;"",E8&lt;&gt;"",F8="No")</f>
        <v/>
      </c>
      <c r="AG8">
        <f>AND(OR(D8&lt;&gt;"",E8&lt;&gt;""),F8="No")</f>
        <v/>
      </c>
    </row>
    <row r="9">
      <c r="A9" s="44" t="inlineStr">
        <is>
          <t>H.3.1</t>
        </is>
      </c>
      <c r="B9" s="27" t="inlineStr">
        <is>
          <t>P</t>
        </is>
      </c>
      <c r="C9" s="27" t="inlineStr">
        <is>
          <t>P</t>
        </is>
      </c>
      <c r="D9" s="27" t="inlineStr">
        <is>
          <t>P</t>
        </is>
      </c>
      <c r="E9" s="27" t="inlineStr">
        <is>
          <t>P</t>
        </is>
      </c>
      <c r="F9" s="47" t="inlineStr">
        <is>
          <t>No</t>
        </is>
      </c>
      <c r="H9">
        <f>AND(B9&lt;&gt;"",C9&lt;&gt;"")</f>
        <v/>
      </c>
      <c r="I9">
        <f>OR(B9&lt;&gt;"",C9&lt;&gt;"")</f>
        <v/>
      </c>
      <c r="J9">
        <f>AND(B9&lt;&gt;"",D9&lt;&gt;"")</f>
        <v/>
      </c>
      <c r="K9">
        <f>OR(B9&lt;&gt;"",D9&lt;&gt;"")</f>
        <v/>
      </c>
      <c r="L9">
        <f>AND(B9&lt;&gt;"",E9&lt;&gt;"")</f>
        <v/>
      </c>
      <c r="M9">
        <f>OR(B9&lt;&gt;"",E9&lt;&gt;"")</f>
        <v/>
      </c>
      <c r="N9">
        <f>AND(C9&lt;&gt;"",D9&lt;&gt;"")</f>
        <v/>
      </c>
      <c r="O9">
        <f>OR(C9&lt;&gt;"",D9&lt;&gt;"")</f>
        <v/>
      </c>
      <c r="P9">
        <f>AND(C9&lt;&gt;"",E9&lt;&gt;"")</f>
        <v/>
      </c>
      <c r="Q9">
        <f>OR(C9&lt;&gt;"",E9&lt;&gt;"")</f>
        <v/>
      </c>
      <c r="R9">
        <f>AND(D9&lt;&gt;"",E9&lt;&gt;"")</f>
        <v/>
      </c>
      <c r="S9">
        <f>OR(D9&lt;&gt;"",E9&lt;&gt;"")</f>
        <v/>
      </c>
      <c r="V9">
        <f>AND(B9&lt;&gt;"",C9&lt;&gt;"",F9="No")</f>
        <v/>
      </c>
      <c r="W9">
        <f>AND(OR(B9&lt;&gt;"",C9&lt;&gt;""),F9="No")</f>
        <v/>
      </c>
      <c r="X9">
        <f>AND(B9&lt;&gt;"",D9&lt;&gt;"",F9="No")</f>
        <v/>
      </c>
      <c r="Y9">
        <f>AND(OR(B9&lt;&gt;"",D9&lt;&gt;""),F9="No")</f>
        <v/>
      </c>
      <c r="Z9">
        <f>AND(B9&lt;&gt;"",E9&lt;&gt;"",F9="No")</f>
        <v/>
      </c>
      <c r="AA9">
        <f>AND(OR(B9&lt;&gt;"",E9&lt;&gt;""),F9="No")</f>
        <v/>
      </c>
      <c r="AB9">
        <f>AND(C9&lt;&gt;"",D9&lt;&gt;"",F9="No")</f>
        <v/>
      </c>
      <c r="AC9">
        <f>AND(OR(C9&lt;&gt;"",D9&lt;&gt;""),F9="No")</f>
        <v/>
      </c>
      <c r="AD9">
        <f>AND(C9&lt;&gt;"",E9&lt;&gt;"",F9="No")</f>
        <v/>
      </c>
      <c r="AE9">
        <f>AND(OR(C9&lt;&gt;"",E9&lt;&gt;""),F9="No")</f>
        <v/>
      </c>
      <c r="AF9">
        <f>AND(D9&lt;&gt;"",E9&lt;&gt;"",F9="No")</f>
        <v/>
      </c>
      <c r="AG9">
        <f>AND(OR(D9&lt;&gt;"",E9&lt;&gt;""),F9="No")</f>
        <v/>
      </c>
    </row>
    <row r="10">
      <c r="A10" s="44" t="inlineStr">
        <is>
          <t>H.3.2</t>
        </is>
      </c>
      <c r="B10" s="27" t="inlineStr">
        <is>
          <t>X</t>
        </is>
      </c>
      <c r="C10" s="27" t="inlineStr">
        <is>
          <t>X</t>
        </is>
      </c>
      <c r="D10" s="27" t="inlineStr">
        <is>
          <t>P</t>
        </is>
      </c>
      <c r="E10" s="27" t="inlineStr">
        <is>
          <t>P</t>
        </is>
      </c>
      <c r="F10" s="47" t="inlineStr">
        <is>
          <t>No</t>
        </is>
      </c>
      <c r="H10">
        <f>AND(B10&lt;&gt;"",C10&lt;&gt;"")</f>
        <v/>
      </c>
      <c r="I10">
        <f>OR(B10&lt;&gt;"",C10&lt;&gt;"")</f>
        <v/>
      </c>
      <c r="J10">
        <f>AND(B10&lt;&gt;"",D10&lt;&gt;"")</f>
        <v/>
      </c>
      <c r="K10">
        <f>OR(B10&lt;&gt;"",D10&lt;&gt;"")</f>
        <v/>
      </c>
      <c r="L10">
        <f>AND(B10&lt;&gt;"",E10&lt;&gt;"")</f>
        <v/>
      </c>
      <c r="M10">
        <f>OR(B10&lt;&gt;"",E10&lt;&gt;"")</f>
        <v/>
      </c>
      <c r="N10">
        <f>AND(C10&lt;&gt;"",D10&lt;&gt;"")</f>
        <v/>
      </c>
      <c r="O10">
        <f>OR(C10&lt;&gt;"",D10&lt;&gt;"")</f>
        <v/>
      </c>
      <c r="P10">
        <f>AND(C10&lt;&gt;"",E10&lt;&gt;"")</f>
        <v/>
      </c>
      <c r="Q10">
        <f>OR(C10&lt;&gt;"",E10&lt;&gt;"")</f>
        <v/>
      </c>
      <c r="R10">
        <f>AND(D10&lt;&gt;"",E10&lt;&gt;"")</f>
        <v/>
      </c>
      <c r="S10">
        <f>OR(D10&lt;&gt;"",E10&lt;&gt;"")</f>
        <v/>
      </c>
      <c r="V10">
        <f>AND(B10&lt;&gt;"",C10&lt;&gt;"",F10="No")</f>
        <v/>
      </c>
      <c r="W10">
        <f>AND(OR(B10&lt;&gt;"",C10&lt;&gt;""),F10="No")</f>
        <v/>
      </c>
      <c r="X10">
        <f>AND(B10&lt;&gt;"",D10&lt;&gt;"",F10="No")</f>
        <v/>
      </c>
      <c r="Y10">
        <f>AND(OR(B10&lt;&gt;"",D10&lt;&gt;""),F10="No")</f>
        <v/>
      </c>
      <c r="Z10">
        <f>AND(B10&lt;&gt;"",E10&lt;&gt;"",F10="No")</f>
        <v/>
      </c>
      <c r="AA10">
        <f>AND(OR(B10&lt;&gt;"",E10&lt;&gt;""),F10="No")</f>
        <v/>
      </c>
      <c r="AB10">
        <f>AND(C10&lt;&gt;"",D10&lt;&gt;"",F10="No")</f>
        <v/>
      </c>
      <c r="AC10">
        <f>AND(OR(C10&lt;&gt;"",D10&lt;&gt;""),F10="No")</f>
        <v/>
      </c>
      <c r="AD10">
        <f>AND(C10&lt;&gt;"",E10&lt;&gt;"",F10="No")</f>
        <v/>
      </c>
      <c r="AE10">
        <f>AND(OR(C10&lt;&gt;"",E10&lt;&gt;""),F10="No")</f>
        <v/>
      </c>
      <c r="AF10">
        <f>AND(D10&lt;&gt;"",E10&lt;&gt;"",F10="No")</f>
        <v/>
      </c>
      <c r="AG10">
        <f>AND(OR(D10&lt;&gt;"",E10&lt;&gt;""),F10="No")</f>
        <v/>
      </c>
    </row>
    <row r="11">
      <c r="A11" s="44" t="inlineStr">
        <is>
          <t>H.3.4</t>
        </is>
      </c>
      <c r="C11" s="27" t="inlineStr">
        <is>
          <t>X</t>
        </is>
      </c>
      <c r="F11" s="47" t="inlineStr">
        <is>
          <t>No</t>
        </is>
      </c>
      <c r="H11">
        <f>AND(B11&lt;&gt;"",C11&lt;&gt;"")</f>
        <v/>
      </c>
      <c r="I11">
        <f>OR(B11&lt;&gt;"",C11&lt;&gt;"")</f>
        <v/>
      </c>
      <c r="J11">
        <f>AND(B11&lt;&gt;"",D11&lt;&gt;"")</f>
        <v/>
      </c>
      <c r="K11">
        <f>OR(B11&lt;&gt;"",D11&lt;&gt;"")</f>
        <v/>
      </c>
      <c r="L11">
        <f>AND(B11&lt;&gt;"",E11&lt;&gt;"")</f>
        <v/>
      </c>
      <c r="M11">
        <f>OR(B11&lt;&gt;"",E11&lt;&gt;"")</f>
        <v/>
      </c>
      <c r="N11">
        <f>AND(C11&lt;&gt;"",D11&lt;&gt;"")</f>
        <v/>
      </c>
      <c r="O11">
        <f>OR(C11&lt;&gt;"",D11&lt;&gt;"")</f>
        <v/>
      </c>
      <c r="P11">
        <f>AND(C11&lt;&gt;"",E11&lt;&gt;"")</f>
        <v/>
      </c>
      <c r="Q11">
        <f>OR(C11&lt;&gt;"",E11&lt;&gt;"")</f>
        <v/>
      </c>
      <c r="R11">
        <f>AND(D11&lt;&gt;"",E11&lt;&gt;"")</f>
        <v/>
      </c>
      <c r="S11">
        <f>OR(D11&lt;&gt;"",E11&lt;&gt;"")</f>
        <v/>
      </c>
      <c r="V11">
        <f>AND(B11&lt;&gt;"",C11&lt;&gt;"",F11="No")</f>
        <v/>
      </c>
      <c r="W11">
        <f>AND(OR(B11&lt;&gt;"",C11&lt;&gt;""),F11="No")</f>
        <v/>
      </c>
      <c r="X11">
        <f>AND(B11&lt;&gt;"",D11&lt;&gt;"",F11="No")</f>
        <v/>
      </c>
      <c r="Y11">
        <f>AND(OR(B11&lt;&gt;"",D11&lt;&gt;""),F11="No")</f>
        <v/>
      </c>
      <c r="Z11">
        <f>AND(B11&lt;&gt;"",E11&lt;&gt;"",F11="No")</f>
        <v/>
      </c>
      <c r="AA11">
        <f>AND(OR(B11&lt;&gt;"",E11&lt;&gt;""),F11="No")</f>
        <v/>
      </c>
      <c r="AB11">
        <f>AND(C11&lt;&gt;"",D11&lt;&gt;"",F11="No")</f>
        <v/>
      </c>
      <c r="AC11">
        <f>AND(OR(C11&lt;&gt;"",D11&lt;&gt;""),F11="No")</f>
        <v/>
      </c>
      <c r="AD11">
        <f>AND(C11&lt;&gt;"",E11&lt;&gt;"",F11="No")</f>
        <v/>
      </c>
      <c r="AE11">
        <f>AND(OR(C11&lt;&gt;"",E11&lt;&gt;""),F11="No")</f>
        <v/>
      </c>
      <c r="AF11">
        <f>AND(D11&lt;&gt;"",E11&lt;&gt;"",F11="No")</f>
        <v/>
      </c>
      <c r="AG11">
        <f>AND(OR(D11&lt;&gt;"",E11&lt;&gt;""),F11="No")</f>
        <v/>
      </c>
    </row>
    <row r="12">
      <c r="A12" s="44" t="inlineStr">
        <is>
          <t>H.3.5</t>
        </is>
      </c>
      <c r="B12" s="27" t="inlineStr">
        <is>
          <t>X</t>
        </is>
      </c>
      <c r="C12" s="27" t="inlineStr">
        <is>
          <t>X</t>
        </is>
      </c>
      <c r="D12" s="27" t="inlineStr">
        <is>
          <t>X</t>
        </is>
      </c>
      <c r="E12" s="27" t="inlineStr">
        <is>
          <t>X</t>
        </is>
      </c>
      <c r="F12" s="47" t="inlineStr">
        <is>
          <t>No</t>
        </is>
      </c>
      <c r="H12">
        <f>AND(B12&lt;&gt;"",C12&lt;&gt;"")</f>
        <v/>
      </c>
      <c r="I12">
        <f>OR(B12&lt;&gt;"",C12&lt;&gt;"")</f>
        <v/>
      </c>
      <c r="J12">
        <f>AND(B12&lt;&gt;"",D12&lt;&gt;"")</f>
        <v/>
      </c>
      <c r="K12">
        <f>OR(B12&lt;&gt;"",D12&lt;&gt;"")</f>
        <v/>
      </c>
      <c r="L12">
        <f>AND(B12&lt;&gt;"",E12&lt;&gt;"")</f>
        <v/>
      </c>
      <c r="M12">
        <f>OR(B12&lt;&gt;"",E12&lt;&gt;"")</f>
        <v/>
      </c>
      <c r="N12">
        <f>AND(C12&lt;&gt;"",D12&lt;&gt;"")</f>
        <v/>
      </c>
      <c r="O12">
        <f>OR(C12&lt;&gt;"",D12&lt;&gt;"")</f>
        <v/>
      </c>
      <c r="P12">
        <f>AND(C12&lt;&gt;"",E12&lt;&gt;"")</f>
        <v/>
      </c>
      <c r="Q12">
        <f>OR(C12&lt;&gt;"",E12&lt;&gt;"")</f>
        <v/>
      </c>
      <c r="R12">
        <f>AND(D12&lt;&gt;"",E12&lt;&gt;"")</f>
        <v/>
      </c>
      <c r="S12">
        <f>OR(D12&lt;&gt;"",E12&lt;&gt;"")</f>
        <v/>
      </c>
      <c r="V12">
        <f>AND(B12&lt;&gt;"",C12&lt;&gt;"",F12="No")</f>
        <v/>
      </c>
      <c r="W12">
        <f>AND(OR(B12&lt;&gt;"",C12&lt;&gt;""),F12="No")</f>
        <v/>
      </c>
      <c r="X12">
        <f>AND(B12&lt;&gt;"",D12&lt;&gt;"",F12="No")</f>
        <v/>
      </c>
      <c r="Y12">
        <f>AND(OR(B12&lt;&gt;"",D12&lt;&gt;""),F12="No")</f>
        <v/>
      </c>
      <c r="Z12">
        <f>AND(B12&lt;&gt;"",E12&lt;&gt;"",F12="No")</f>
        <v/>
      </c>
      <c r="AA12">
        <f>AND(OR(B12&lt;&gt;"",E12&lt;&gt;""),F12="No")</f>
        <v/>
      </c>
      <c r="AB12">
        <f>AND(C12&lt;&gt;"",D12&lt;&gt;"",F12="No")</f>
        <v/>
      </c>
      <c r="AC12">
        <f>AND(OR(C12&lt;&gt;"",D12&lt;&gt;""),F12="No")</f>
        <v/>
      </c>
      <c r="AD12">
        <f>AND(C12&lt;&gt;"",E12&lt;&gt;"",F12="No")</f>
        <v/>
      </c>
      <c r="AE12">
        <f>AND(OR(C12&lt;&gt;"",E12&lt;&gt;""),F12="No")</f>
        <v/>
      </c>
      <c r="AF12">
        <f>AND(D12&lt;&gt;"",E12&lt;&gt;"",F12="No")</f>
        <v/>
      </c>
      <c r="AG12">
        <f>AND(OR(D12&lt;&gt;"",E12&lt;&gt;""),F12="No")</f>
        <v/>
      </c>
    </row>
    <row r="13">
      <c r="A13" t="inlineStr">
        <is>
          <t>L0.3.3; L0_ii.3.2</t>
        </is>
      </c>
      <c r="B13" s="27" t="inlineStr">
        <is>
          <t>X</t>
        </is>
      </c>
      <c r="C13" s="27" t="inlineStr">
        <is>
          <t>X</t>
        </is>
      </c>
      <c r="F13" s="47" t="inlineStr">
        <is>
          <t>Yes</t>
        </is>
      </c>
      <c r="H13">
        <f>AND(B13&lt;&gt;"",C13&lt;&gt;"")</f>
        <v/>
      </c>
      <c r="I13">
        <f>OR(B13&lt;&gt;"",C13&lt;&gt;"")</f>
        <v/>
      </c>
      <c r="J13">
        <f>AND(B13&lt;&gt;"",D13&lt;&gt;"")</f>
        <v/>
      </c>
      <c r="K13">
        <f>OR(B13&lt;&gt;"",D13&lt;&gt;"")</f>
        <v/>
      </c>
      <c r="L13">
        <f>AND(B13&lt;&gt;"",E13&lt;&gt;"")</f>
        <v/>
      </c>
      <c r="M13">
        <f>OR(B13&lt;&gt;"",E13&lt;&gt;"")</f>
        <v/>
      </c>
      <c r="N13">
        <f>AND(C13&lt;&gt;"",D13&lt;&gt;"")</f>
        <v/>
      </c>
      <c r="O13">
        <f>OR(C13&lt;&gt;"",D13&lt;&gt;"")</f>
        <v/>
      </c>
      <c r="P13">
        <f>AND(C13&lt;&gt;"",E13&lt;&gt;"")</f>
        <v/>
      </c>
      <c r="Q13">
        <f>OR(C13&lt;&gt;"",E13&lt;&gt;"")</f>
        <v/>
      </c>
      <c r="R13">
        <f>AND(D13&lt;&gt;"",E13&lt;&gt;"")</f>
        <v/>
      </c>
      <c r="S13">
        <f>OR(D13&lt;&gt;"",E13&lt;&gt;"")</f>
        <v/>
      </c>
      <c r="V13">
        <f>AND(B13&lt;&gt;"",C13&lt;&gt;"",F13="No")</f>
        <v/>
      </c>
      <c r="W13">
        <f>AND(OR(B13&lt;&gt;"",C13&lt;&gt;""),F13="No")</f>
        <v/>
      </c>
      <c r="X13">
        <f>AND(B13&lt;&gt;"",D13&lt;&gt;"",F13="No")</f>
        <v/>
      </c>
      <c r="Y13">
        <f>AND(OR(B13&lt;&gt;"",D13&lt;&gt;""),F13="No")</f>
        <v/>
      </c>
      <c r="Z13">
        <f>AND(B13&lt;&gt;"",E13&lt;&gt;"",F13="No")</f>
        <v/>
      </c>
      <c r="AA13">
        <f>AND(OR(B13&lt;&gt;"",E13&lt;&gt;""),F13="No")</f>
        <v/>
      </c>
      <c r="AB13">
        <f>AND(C13&lt;&gt;"",D13&lt;&gt;"",F13="No")</f>
        <v/>
      </c>
      <c r="AC13">
        <f>AND(OR(C13&lt;&gt;"",D13&lt;&gt;""),F13="No")</f>
        <v/>
      </c>
      <c r="AD13">
        <f>AND(C13&lt;&gt;"",E13&lt;&gt;"",F13="No")</f>
        <v/>
      </c>
      <c r="AE13">
        <f>AND(OR(C13&lt;&gt;"",E13&lt;&gt;""),F13="No")</f>
        <v/>
      </c>
      <c r="AF13">
        <f>AND(D13&lt;&gt;"",E13&lt;&gt;"",F13="No")</f>
        <v/>
      </c>
      <c r="AG13">
        <f>AND(OR(D13&lt;&gt;"",E13&lt;&gt;""),F13="No")</f>
        <v/>
      </c>
    </row>
    <row r="14">
      <c r="A14" s="44" t="inlineStr">
        <is>
          <t>H.4.1</t>
        </is>
      </c>
      <c r="B14" s="27" t="inlineStr">
        <is>
          <t>X</t>
        </is>
      </c>
      <c r="C14" s="27" t="inlineStr">
        <is>
          <t>X</t>
        </is>
      </c>
      <c r="D14" s="27" t="inlineStr">
        <is>
          <t>X</t>
        </is>
      </c>
      <c r="E14" s="27" t="inlineStr">
        <is>
          <t>P</t>
        </is>
      </c>
      <c r="F14" s="47" t="inlineStr">
        <is>
          <t>No</t>
        </is>
      </c>
      <c r="H14">
        <f>AND(B14&lt;&gt;"",C14&lt;&gt;"")</f>
        <v/>
      </c>
      <c r="I14">
        <f>OR(B14&lt;&gt;"",C14&lt;&gt;"")</f>
        <v/>
      </c>
      <c r="J14">
        <f>AND(B14&lt;&gt;"",D14&lt;&gt;"")</f>
        <v/>
      </c>
      <c r="K14">
        <f>OR(B14&lt;&gt;"",D14&lt;&gt;"")</f>
        <v/>
      </c>
      <c r="L14">
        <f>AND(B14&lt;&gt;"",E14&lt;&gt;"")</f>
        <v/>
      </c>
      <c r="M14">
        <f>OR(B14&lt;&gt;"",E14&lt;&gt;"")</f>
        <v/>
      </c>
      <c r="N14">
        <f>AND(C14&lt;&gt;"",D14&lt;&gt;"")</f>
        <v/>
      </c>
      <c r="O14">
        <f>OR(C14&lt;&gt;"",D14&lt;&gt;"")</f>
        <v/>
      </c>
      <c r="P14">
        <f>AND(C14&lt;&gt;"",E14&lt;&gt;"")</f>
        <v/>
      </c>
      <c r="Q14">
        <f>OR(C14&lt;&gt;"",E14&lt;&gt;"")</f>
        <v/>
      </c>
      <c r="R14">
        <f>AND(D14&lt;&gt;"",E14&lt;&gt;"")</f>
        <v/>
      </c>
      <c r="S14">
        <f>OR(D14&lt;&gt;"",E14&lt;&gt;"")</f>
        <v/>
      </c>
      <c r="V14">
        <f>AND(B14&lt;&gt;"",C14&lt;&gt;"",F14="No")</f>
        <v/>
      </c>
      <c r="W14">
        <f>AND(OR(B14&lt;&gt;"",C14&lt;&gt;""),F14="No")</f>
        <v/>
      </c>
      <c r="X14">
        <f>AND(B14&lt;&gt;"",D14&lt;&gt;"",F14="No")</f>
        <v/>
      </c>
      <c r="Y14">
        <f>AND(OR(B14&lt;&gt;"",D14&lt;&gt;""),F14="No")</f>
        <v/>
      </c>
      <c r="Z14">
        <f>AND(B14&lt;&gt;"",E14&lt;&gt;"",F14="No")</f>
        <v/>
      </c>
      <c r="AA14">
        <f>AND(OR(B14&lt;&gt;"",E14&lt;&gt;""),F14="No")</f>
        <v/>
      </c>
      <c r="AB14">
        <f>AND(C14&lt;&gt;"",D14&lt;&gt;"",F14="No")</f>
        <v/>
      </c>
      <c r="AC14">
        <f>AND(OR(C14&lt;&gt;"",D14&lt;&gt;""),F14="No")</f>
        <v/>
      </c>
      <c r="AD14">
        <f>AND(C14&lt;&gt;"",E14&lt;&gt;"",F14="No")</f>
        <v/>
      </c>
      <c r="AE14">
        <f>AND(OR(C14&lt;&gt;"",E14&lt;&gt;""),F14="No")</f>
        <v/>
      </c>
      <c r="AF14">
        <f>AND(D14&lt;&gt;"",E14&lt;&gt;"",F14="No")</f>
        <v/>
      </c>
      <c r="AG14">
        <f>AND(OR(D14&lt;&gt;"",E14&lt;&gt;""),F14="No")</f>
        <v/>
      </c>
    </row>
    <row r="15">
      <c r="A15" s="44" t="inlineStr">
        <is>
          <t>H.4.2</t>
        </is>
      </c>
      <c r="B15" s="27" t="inlineStr">
        <is>
          <t>X</t>
        </is>
      </c>
      <c r="C15" s="27" t="inlineStr">
        <is>
          <t>X</t>
        </is>
      </c>
      <c r="D15" s="27" t="inlineStr">
        <is>
          <t>X</t>
        </is>
      </c>
      <c r="E15" s="27" t="inlineStr">
        <is>
          <t>P</t>
        </is>
      </c>
      <c r="F15" s="47" t="inlineStr">
        <is>
          <t>No</t>
        </is>
      </c>
      <c r="H15">
        <f>AND(B15&lt;&gt;"",C15&lt;&gt;"")</f>
        <v/>
      </c>
      <c r="I15">
        <f>OR(B15&lt;&gt;"",C15&lt;&gt;"")</f>
        <v/>
      </c>
      <c r="J15">
        <f>AND(B15&lt;&gt;"",D15&lt;&gt;"")</f>
        <v/>
      </c>
      <c r="K15">
        <f>OR(B15&lt;&gt;"",D15&lt;&gt;"")</f>
        <v/>
      </c>
      <c r="L15">
        <f>AND(B15&lt;&gt;"",E15&lt;&gt;"")</f>
        <v/>
      </c>
      <c r="M15">
        <f>OR(B15&lt;&gt;"",E15&lt;&gt;"")</f>
        <v/>
      </c>
      <c r="N15">
        <f>AND(C15&lt;&gt;"",D15&lt;&gt;"")</f>
        <v/>
      </c>
      <c r="O15">
        <f>OR(C15&lt;&gt;"",D15&lt;&gt;"")</f>
        <v/>
      </c>
      <c r="P15">
        <f>AND(C15&lt;&gt;"",E15&lt;&gt;"")</f>
        <v/>
      </c>
      <c r="Q15">
        <f>OR(C15&lt;&gt;"",E15&lt;&gt;"")</f>
        <v/>
      </c>
      <c r="R15">
        <f>AND(D15&lt;&gt;"",E15&lt;&gt;"")</f>
        <v/>
      </c>
      <c r="S15">
        <f>OR(D15&lt;&gt;"",E15&lt;&gt;"")</f>
        <v/>
      </c>
      <c r="V15">
        <f>AND(B15&lt;&gt;"",C15&lt;&gt;"",F15="No")</f>
        <v/>
      </c>
      <c r="W15">
        <f>AND(OR(B15&lt;&gt;"",C15&lt;&gt;""),F15="No")</f>
        <v/>
      </c>
      <c r="X15">
        <f>AND(B15&lt;&gt;"",D15&lt;&gt;"",F15="No")</f>
        <v/>
      </c>
      <c r="Y15">
        <f>AND(OR(B15&lt;&gt;"",D15&lt;&gt;""),F15="No")</f>
        <v/>
      </c>
      <c r="Z15">
        <f>AND(B15&lt;&gt;"",E15&lt;&gt;"",F15="No")</f>
        <v/>
      </c>
      <c r="AA15">
        <f>AND(OR(B15&lt;&gt;"",E15&lt;&gt;""),F15="No")</f>
        <v/>
      </c>
      <c r="AB15">
        <f>AND(C15&lt;&gt;"",D15&lt;&gt;"",F15="No")</f>
        <v/>
      </c>
      <c r="AC15">
        <f>AND(OR(C15&lt;&gt;"",D15&lt;&gt;""),F15="No")</f>
        <v/>
      </c>
      <c r="AD15">
        <f>AND(C15&lt;&gt;"",E15&lt;&gt;"",F15="No")</f>
        <v/>
      </c>
      <c r="AE15">
        <f>AND(OR(C15&lt;&gt;"",E15&lt;&gt;""),F15="No")</f>
        <v/>
      </c>
      <c r="AF15">
        <f>AND(D15&lt;&gt;"",E15&lt;&gt;"",F15="No")</f>
        <v/>
      </c>
      <c r="AG15">
        <f>AND(OR(D15&lt;&gt;"",E15&lt;&gt;""),F15="No")</f>
        <v/>
      </c>
    </row>
    <row r="16">
      <c r="A16" s="44" t="inlineStr">
        <is>
          <t>H.4.3</t>
        </is>
      </c>
      <c r="B16" s="27" t="inlineStr">
        <is>
          <t>X</t>
        </is>
      </c>
      <c r="C16" s="27" t="inlineStr">
        <is>
          <t>X</t>
        </is>
      </c>
      <c r="D16" s="27" t="inlineStr">
        <is>
          <t>X</t>
        </is>
      </c>
      <c r="E16" s="27" t="inlineStr">
        <is>
          <t>P</t>
        </is>
      </c>
      <c r="F16" s="47" t="inlineStr">
        <is>
          <t>No</t>
        </is>
      </c>
      <c r="H16">
        <f>AND(B16&lt;&gt;"",C16&lt;&gt;"")</f>
        <v/>
      </c>
      <c r="I16">
        <f>OR(B16&lt;&gt;"",C16&lt;&gt;"")</f>
        <v/>
      </c>
      <c r="J16">
        <f>AND(B16&lt;&gt;"",D16&lt;&gt;"")</f>
        <v/>
      </c>
      <c r="K16">
        <f>OR(B16&lt;&gt;"",D16&lt;&gt;"")</f>
        <v/>
      </c>
      <c r="L16">
        <f>AND(B16&lt;&gt;"",E16&lt;&gt;"")</f>
        <v/>
      </c>
      <c r="M16">
        <f>OR(B16&lt;&gt;"",E16&lt;&gt;"")</f>
        <v/>
      </c>
      <c r="N16">
        <f>AND(C16&lt;&gt;"",D16&lt;&gt;"")</f>
        <v/>
      </c>
      <c r="O16">
        <f>OR(C16&lt;&gt;"",D16&lt;&gt;"")</f>
        <v/>
      </c>
      <c r="P16">
        <f>AND(C16&lt;&gt;"",E16&lt;&gt;"")</f>
        <v/>
      </c>
      <c r="Q16">
        <f>OR(C16&lt;&gt;"",E16&lt;&gt;"")</f>
        <v/>
      </c>
      <c r="R16">
        <f>AND(D16&lt;&gt;"",E16&lt;&gt;"")</f>
        <v/>
      </c>
      <c r="S16">
        <f>OR(D16&lt;&gt;"",E16&lt;&gt;"")</f>
        <v/>
      </c>
      <c r="V16">
        <f>AND(B16&lt;&gt;"",C16&lt;&gt;"",F16="No")</f>
        <v/>
      </c>
      <c r="W16">
        <f>AND(OR(B16&lt;&gt;"",C16&lt;&gt;""),F16="No")</f>
        <v/>
      </c>
      <c r="X16">
        <f>AND(B16&lt;&gt;"",D16&lt;&gt;"",F16="No")</f>
        <v/>
      </c>
      <c r="Y16">
        <f>AND(OR(B16&lt;&gt;"",D16&lt;&gt;""),F16="No")</f>
        <v/>
      </c>
      <c r="Z16">
        <f>AND(B16&lt;&gt;"",E16&lt;&gt;"",F16="No")</f>
        <v/>
      </c>
      <c r="AA16">
        <f>AND(OR(B16&lt;&gt;"",E16&lt;&gt;""),F16="No")</f>
        <v/>
      </c>
      <c r="AB16">
        <f>AND(C16&lt;&gt;"",D16&lt;&gt;"",F16="No")</f>
        <v/>
      </c>
      <c r="AC16">
        <f>AND(OR(C16&lt;&gt;"",D16&lt;&gt;""),F16="No")</f>
        <v/>
      </c>
      <c r="AD16">
        <f>AND(C16&lt;&gt;"",E16&lt;&gt;"",F16="No")</f>
        <v/>
      </c>
      <c r="AE16">
        <f>AND(OR(C16&lt;&gt;"",E16&lt;&gt;""),F16="No")</f>
        <v/>
      </c>
      <c r="AF16">
        <f>AND(D16&lt;&gt;"",E16&lt;&gt;"",F16="No")</f>
        <v/>
      </c>
      <c r="AG16">
        <f>AND(OR(D16&lt;&gt;"",E16&lt;&gt;""),F16="No")</f>
        <v/>
      </c>
    </row>
    <row r="17">
      <c r="A17" s="44" t="inlineStr">
        <is>
          <t>H.4.4</t>
        </is>
      </c>
      <c r="B17" s="27" t="inlineStr">
        <is>
          <t>X</t>
        </is>
      </c>
      <c r="F17" s="47" t="inlineStr">
        <is>
          <t>No</t>
        </is>
      </c>
      <c r="H17">
        <f>AND(B17&lt;&gt;"",C17&lt;&gt;"")</f>
        <v/>
      </c>
      <c r="I17">
        <f>OR(B17&lt;&gt;"",C17&lt;&gt;"")</f>
        <v/>
      </c>
      <c r="J17">
        <f>AND(B17&lt;&gt;"",D17&lt;&gt;"")</f>
        <v/>
      </c>
      <c r="K17">
        <f>OR(B17&lt;&gt;"",D17&lt;&gt;"")</f>
        <v/>
      </c>
      <c r="L17">
        <f>AND(B17&lt;&gt;"",E17&lt;&gt;"")</f>
        <v/>
      </c>
      <c r="M17">
        <f>OR(B17&lt;&gt;"",E17&lt;&gt;"")</f>
        <v/>
      </c>
      <c r="N17">
        <f>AND(C17&lt;&gt;"",D17&lt;&gt;"")</f>
        <v/>
      </c>
      <c r="O17">
        <f>OR(C17&lt;&gt;"",D17&lt;&gt;"")</f>
        <v/>
      </c>
      <c r="P17">
        <f>AND(C17&lt;&gt;"",E17&lt;&gt;"")</f>
        <v/>
      </c>
      <c r="Q17">
        <f>OR(C17&lt;&gt;"",E17&lt;&gt;"")</f>
        <v/>
      </c>
      <c r="R17">
        <f>AND(D17&lt;&gt;"",E17&lt;&gt;"")</f>
        <v/>
      </c>
      <c r="S17">
        <f>OR(D17&lt;&gt;"",E17&lt;&gt;"")</f>
        <v/>
      </c>
      <c r="V17">
        <f>AND(B17&lt;&gt;"",C17&lt;&gt;"",F17="No")</f>
        <v/>
      </c>
      <c r="W17">
        <f>AND(OR(B17&lt;&gt;"",C17&lt;&gt;""),F17="No")</f>
        <v/>
      </c>
      <c r="X17">
        <f>AND(B17&lt;&gt;"",D17&lt;&gt;"",F17="No")</f>
        <v/>
      </c>
      <c r="Y17">
        <f>AND(OR(B17&lt;&gt;"",D17&lt;&gt;""),F17="No")</f>
        <v/>
      </c>
      <c r="Z17">
        <f>AND(B17&lt;&gt;"",E17&lt;&gt;"",F17="No")</f>
        <v/>
      </c>
      <c r="AA17">
        <f>AND(OR(B17&lt;&gt;"",E17&lt;&gt;""),F17="No")</f>
        <v/>
      </c>
      <c r="AB17">
        <f>AND(C17&lt;&gt;"",D17&lt;&gt;"",F17="No")</f>
        <v/>
      </c>
      <c r="AC17">
        <f>AND(OR(C17&lt;&gt;"",D17&lt;&gt;""),F17="No")</f>
        <v/>
      </c>
      <c r="AD17">
        <f>AND(C17&lt;&gt;"",E17&lt;&gt;"",F17="No")</f>
        <v/>
      </c>
      <c r="AE17">
        <f>AND(OR(C17&lt;&gt;"",E17&lt;&gt;""),F17="No")</f>
        <v/>
      </c>
      <c r="AF17">
        <f>AND(D17&lt;&gt;"",E17&lt;&gt;"",F17="No")</f>
        <v/>
      </c>
      <c r="AG17">
        <f>AND(OR(D17&lt;&gt;"",E17&lt;&gt;""),F17="No")</f>
        <v/>
      </c>
    </row>
    <row r="18">
      <c r="A18" s="44" t="inlineStr">
        <is>
          <t>H.4.5</t>
        </is>
      </c>
      <c r="B18" s="27" t="inlineStr">
        <is>
          <t>X</t>
        </is>
      </c>
      <c r="C18" s="27" t="inlineStr">
        <is>
          <t>X</t>
        </is>
      </c>
      <c r="D18" s="27" t="inlineStr">
        <is>
          <t>X</t>
        </is>
      </c>
      <c r="E18" s="27" t="inlineStr">
        <is>
          <t>P</t>
        </is>
      </c>
      <c r="F18" s="47" t="inlineStr">
        <is>
          <t>No</t>
        </is>
      </c>
      <c r="H18">
        <f>AND(B18&lt;&gt;"",C18&lt;&gt;"")</f>
        <v/>
      </c>
      <c r="I18">
        <f>OR(B18&lt;&gt;"",C18&lt;&gt;"")</f>
        <v/>
      </c>
      <c r="J18">
        <f>AND(B18&lt;&gt;"",D18&lt;&gt;"")</f>
        <v/>
      </c>
      <c r="K18">
        <f>OR(B18&lt;&gt;"",D18&lt;&gt;"")</f>
        <v/>
      </c>
      <c r="L18">
        <f>AND(B18&lt;&gt;"",E18&lt;&gt;"")</f>
        <v/>
      </c>
      <c r="M18">
        <f>OR(B18&lt;&gt;"",E18&lt;&gt;"")</f>
        <v/>
      </c>
      <c r="N18">
        <f>AND(C18&lt;&gt;"",D18&lt;&gt;"")</f>
        <v/>
      </c>
      <c r="O18">
        <f>OR(C18&lt;&gt;"",D18&lt;&gt;"")</f>
        <v/>
      </c>
      <c r="P18">
        <f>AND(C18&lt;&gt;"",E18&lt;&gt;"")</f>
        <v/>
      </c>
      <c r="Q18">
        <f>OR(C18&lt;&gt;"",E18&lt;&gt;"")</f>
        <v/>
      </c>
      <c r="R18">
        <f>AND(D18&lt;&gt;"",E18&lt;&gt;"")</f>
        <v/>
      </c>
      <c r="S18">
        <f>OR(D18&lt;&gt;"",E18&lt;&gt;"")</f>
        <v/>
      </c>
      <c r="V18">
        <f>AND(B18&lt;&gt;"",C18&lt;&gt;"",F18="No")</f>
        <v/>
      </c>
      <c r="W18">
        <f>AND(OR(B18&lt;&gt;"",C18&lt;&gt;""),F18="No")</f>
        <v/>
      </c>
      <c r="X18">
        <f>AND(B18&lt;&gt;"",D18&lt;&gt;"",F18="No")</f>
        <v/>
      </c>
      <c r="Y18">
        <f>AND(OR(B18&lt;&gt;"",D18&lt;&gt;""),F18="No")</f>
        <v/>
      </c>
      <c r="Z18">
        <f>AND(B18&lt;&gt;"",E18&lt;&gt;"",F18="No")</f>
        <v/>
      </c>
      <c r="AA18">
        <f>AND(OR(B18&lt;&gt;"",E18&lt;&gt;""),F18="No")</f>
        <v/>
      </c>
      <c r="AB18">
        <f>AND(C18&lt;&gt;"",D18&lt;&gt;"",F18="No")</f>
        <v/>
      </c>
      <c r="AC18">
        <f>AND(OR(C18&lt;&gt;"",D18&lt;&gt;""),F18="No")</f>
        <v/>
      </c>
      <c r="AD18">
        <f>AND(C18&lt;&gt;"",E18&lt;&gt;"",F18="No")</f>
        <v/>
      </c>
      <c r="AE18">
        <f>AND(OR(C18&lt;&gt;"",E18&lt;&gt;""),F18="No")</f>
        <v/>
      </c>
      <c r="AF18">
        <f>AND(D18&lt;&gt;"",E18&lt;&gt;"",F18="No")</f>
        <v/>
      </c>
      <c r="AG18">
        <f>AND(OR(D18&lt;&gt;"",E18&lt;&gt;""),F18="No")</f>
        <v/>
      </c>
    </row>
    <row r="19">
      <c r="A19" s="44" t="inlineStr">
        <is>
          <t>H.4.7</t>
        </is>
      </c>
      <c r="B19" s="27" t="inlineStr">
        <is>
          <t>P</t>
        </is>
      </c>
      <c r="C19" s="27" t="inlineStr">
        <is>
          <t>P</t>
        </is>
      </c>
      <c r="D19" s="27" t="inlineStr">
        <is>
          <t>P</t>
        </is>
      </c>
      <c r="E19" s="27" t="inlineStr">
        <is>
          <t>P</t>
        </is>
      </c>
      <c r="F19" s="47" t="inlineStr">
        <is>
          <t>No</t>
        </is>
      </c>
      <c r="H19">
        <f>AND(B19&lt;&gt;"",C19&lt;&gt;"")</f>
        <v/>
      </c>
      <c r="I19">
        <f>OR(B19&lt;&gt;"",C19&lt;&gt;"")</f>
        <v/>
      </c>
      <c r="J19">
        <f>AND(B19&lt;&gt;"",D19&lt;&gt;"")</f>
        <v/>
      </c>
      <c r="K19">
        <f>OR(B19&lt;&gt;"",D19&lt;&gt;"")</f>
        <v/>
      </c>
      <c r="L19">
        <f>AND(B19&lt;&gt;"",E19&lt;&gt;"")</f>
        <v/>
      </c>
      <c r="M19">
        <f>OR(B19&lt;&gt;"",E19&lt;&gt;"")</f>
        <v/>
      </c>
      <c r="N19">
        <f>AND(C19&lt;&gt;"",D19&lt;&gt;"")</f>
        <v/>
      </c>
      <c r="O19">
        <f>OR(C19&lt;&gt;"",D19&lt;&gt;"")</f>
        <v/>
      </c>
      <c r="P19">
        <f>AND(C19&lt;&gt;"",E19&lt;&gt;"")</f>
        <v/>
      </c>
      <c r="Q19">
        <f>OR(C19&lt;&gt;"",E19&lt;&gt;"")</f>
        <v/>
      </c>
      <c r="R19">
        <f>AND(D19&lt;&gt;"",E19&lt;&gt;"")</f>
        <v/>
      </c>
      <c r="S19">
        <f>OR(D19&lt;&gt;"",E19&lt;&gt;"")</f>
        <v/>
      </c>
      <c r="V19">
        <f>AND(B19&lt;&gt;"",C19&lt;&gt;"",F19="No")</f>
        <v/>
      </c>
      <c r="W19">
        <f>AND(OR(B19&lt;&gt;"",C19&lt;&gt;""),F19="No")</f>
        <v/>
      </c>
      <c r="X19">
        <f>AND(B19&lt;&gt;"",D19&lt;&gt;"",F19="No")</f>
        <v/>
      </c>
      <c r="Y19">
        <f>AND(OR(B19&lt;&gt;"",D19&lt;&gt;""),F19="No")</f>
        <v/>
      </c>
      <c r="Z19">
        <f>AND(B19&lt;&gt;"",E19&lt;&gt;"",F19="No")</f>
        <v/>
      </c>
      <c r="AA19">
        <f>AND(OR(B19&lt;&gt;"",E19&lt;&gt;""),F19="No")</f>
        <v/>
      </c>
      <c r="AB19">
        <f>AND(C19&lt;&gt;"",D19&lt;&gt;"",F19="No")</f>
        <v/>
      </c>
      <c r="AC19">
        <f>AND(OR(C19&lt;&gt;"",D19&lt;&gt;""),F19="No")</f>
        <v/>
      </c>
      <c r="AD19">
        <f>AND(C19&lt;&gt;"",E19&lt;&gt;"",F19="No")</f>
        <v/>
      </c>
      <c r="AE19">
        <f>AND(OR(C19&lt;&gt;"",E19&lt;&gt;""),F19="No")</f>
        <v/>
      </c>
      <c r="AF19">
        <f>AND(D19&lt;&gt;"",E19&lt;&gt;"",F19="No")</f>
        <v/>
      </c>
      <c r="AG19">
        <f>AND(OR(D19&lt;&gt;"",E19&lt;&gt;""),F19="No")</f>
        <v/>
      </c>
    </row>
    <row r="20">
      <c r="A20" s="44" t="inlineStr">
        <is>
          <t>H.4.8</t>
        </is>
      </c>
      <c r="B20" s="27" t="inlineStr">
        <is>
          <t>P</t>
        </is>
      </c>
      <c r="F20" s="47" t="inlineStr">
        <is>
          <t>No</t>
        </is>
      </c>
      <c r="H20">
        <f>AND(B20&lt;&gt;"",C20&lt;&gt;"")</f>
        <v/>
      </c>
      <c r="I20">
        <f>OR(B20&lt;&gt;"",C20&lt;&gt;"")</f>
        <v/>
      </c>
      <c r="J20">
        <f>AND(B20&lt;&gt;"",D20&lt;&gt;"")</f>
        <v/>
      </c>
      <c r="K20">
        <f>OR(B20&lt;&gt;"",D20&lt;&gt;"")</f>
        <v/>
      </c>
      <c r="L20">
        <f>AND(B20&lt;&gt;"",E20&lt;&gt;"")</f>
        <v/>
      </c>
      <c r="M20">
        <f>OR(B20&lt;&gt;"",E20&lt;&gt;"")</f>
        <v/>
      </c>
      <c r="N20">
        <f>AND(C20&lt;&gt;"",D20&lt;&gt;"")</f>
        <v/>
      </c>
      <c r="O20">
        <f>OR(C20&lt;&gt;"",D20&lt;&gt;"")</f>
        <v/>
      </c>
      <c r="P20">
        <f>AND(C20&lt;&gt;"",E20&lt;&gt;"")</f>
        <v/>
      </c>
      <c r="Q20">
        <f>OR(C20&lt;&gt;"",E20&lt;&gt;"")</f>
        <v/>
      </c>
      <c r="R20">
        <f>AND(D20&lt;&gt;"",E20&lt;&gt;"")</f>
        <v/>
      </c>
      <c r="S20">
        <f>OR(D20&lt;&gt;"",E20&lt;&gt;"")</f>
        <v/>
      </c>
      <c r="V20">
        <f>AND(B20&lt;&gt;"",C20&lt;&gt;"",F20="No")</f>
        <v/>
      </c>
      <c r="W20">
        <f>AND(OR(B20&lt;&gt;"",C20&lt;&gt;""),F20="No")</f>
        <v/>
      </c>
      <c r="X20">
        <f>AND(B20&lt;&gt;"",D20&lt;&gt;"",F20="No")</f>
        <v/>
      </c>
      <c r="Y20">
        <f>AND(OR(B20&lt;&gt;"",D20&lt;&gt;""),F20="No")</f>
        <v/>
      </c>
      <c r="Z20">
        <f>AND(B20&lt;&gt;"",E20&lt;&gt;"",F20="No")</f>
        <v/>
      </c>
      <c r="AA20">
        <f>AND(OR(B20&lt;&gt;"",E20&lt;&gt;""),F20="No")</f>
        <v/>
      </c>
      <c r="AB20">
        <f>AND(C20&lt;&gt;"",D20&lt;&gt;"",F20="No")</f>
        <v/>
      </c>
      <c r="AC20">
        <f>AND(OR(C20&lt;&gt;"",D20&lt;&gt;""),F20="No")</f>
        <v/>
      </c>
      <c r="AD20">
        <f>AND(C20&lt;&gt;"",E20&lt;&gt;"",F20="No")</f>
        <v/>
      </c>
      <c r="AE20">
        <f>AND(OR(C20&lt;&gt;"",E20&lt;&gt;""),F20="No")</f>
        <v/>
      </c>
      <c r="AF20">
        <f>AND(D20&lt;&gt;"",E20&lt;&gt;"",F20="No")</f>
        <v/>
      </c>
      <c r="AG20">
        <f>AND(OR(D20&lt;&gt;"",E20&lt;&gt;""),F20="No")</f>
        <v/>
      </c>
    </row>
    <row r="21">
      <c r="A21" s="44" t="inlineStr">
        <is>
          <t>GS.4.9</t>
        </is>
      </c>
      <c r="B21" s="27" t="inlineStr">
        <is>
          <t>X</t>
        </is>
      </c>
      <c r="F21" s="47" t="inlineStr">
        <is>
          <t>No</t>
        </is>
      </c>
      <c r="H21">
        <f>AND(B21&lt;&gt;"",C21&lt;&gt;"")</f>
        <v/>
      </c>
      <c r="I21">
        <f>OR(B21&lt;&gt;"",C21&lt;&gt;"")</f>
        <v/>
      </c>
      <c r="J21">
        <f>AND(B21&lt;&gt;"",D21&lt;&gt;"")</f>
        <v/>
      </c>
      <c r="K21">
        <f>OR(B21&lt;&gt;"",D21&lt;&gt;"")</f>
        <v/>
      </c>
      <c r="L21">
        <f>AND(B21&lt;&gt;"",E21&lt;&gt;"")</f>
        <v/>
      </c>
      <c r="M21">
        <f>OR(B21&lt;&gt;"",E21&lt;&gt;"")</f>
        <v/>
      </c>
      <c r="N21">
        <f>AND(C21&lt;&gt;"",D21&lt;&gt;"")</f>
        <v/>
      </c>
      <c r="O21">
        <f>OR(C21&lt;&gt;"",D21&lt;&gt;"")</f>
        <v/>
      </c>
      <c r="P21">
        <f>AND(C21&lt;&gt;"",E21&lt;&gt;"")</f>
        <v/>
      </c>
      <c r="Q21">
        <f>OR(C21&lt;&gt;"",E21&lt;&gt;"")</f>
        <v/>
      </c>
      <c r="R21">
        <f>AND(D21&lt;&gt;"",E21&lt;&gt;"")</f>
        <v/>
      </c>
      <c r="S21">
        <f>OR(D21&lt;&gt;"",E21&lt;&gt;"")</f>
        <v/>
      </c>
      <c r="V21">
        <f>AND(B21&lt;&gt;"",C21&lt;&gt;"",F21="No")</f>
        <v/>
      </c>
      <c r="W21">
        <f>AND(OR(B21&lt;&gt;"",C21&lt;&gt;""),F21="No")</f>
        <v/>
      </c>
      <c r="X21">
        <f>AND(B21&lt;&gt;"",D21&lt;&gt;"",F21="No")</f>
        <v/>
      </c>
      <c r="Y21">
        <f>AND(OR(B21&lt;&gt;"",D21&lt;&gt;""),F21="No")</f>
        <v/>
      </c>
      <c r="Z21">
        <f>AND(B21&lt;&gt;"",E21&lt;&gt;"",F21="No")</f>
        <v/>
      </c>
      <c r="AA21">
        <f>AND(OR(B21&lt;&gt;"",E21&lt;&gt;""),F21="No")</f>
        <v/>
      </c>
      <c r="AB21">
        <f>AND(C21&lt;&gt;"",D21&lt;&gt;"",F21="No")</f>
        <v/>
      </c>
      <c r="AC21">
        <f>AND(OR(C21&lt;&gt;"",D21&lt;&gt;""),F21="No")</f>
        <v/>
      </c>
      <c r="AD21">
        <f>AND(C21&lt;&gt;"",E21&lt;&gt;"",F21="No")</f>
        <v/>
      </c>
      <c r="AE21">
        <f>AND(OR(C21&lt;&gt;"",E21&lt;&gt;""),F21="No")</f>
        <v/>
      </c>
      <c r="AF21">
        <f>AND(D21&lt;&gt;"",E21&lt;&gt;"",F21="No")</f>
        <v/>
      </c>
      <c r="AG21">
        <f>AND(OR(D21&lt;&gt;"",E21&lt;&gt;""),F21="No")</f>
        <v/>
      </c>
    </row>
    <row r="22">
      <c r="A22" s="44" t="inlineStr">
        <is>
          <t>GS.4.10</t>
        </is>
      </c>
      <c r="B22" s="27" t="inlineStr">
        <is>
          <t>X</t>
        </is>
      </c>
      <c r="F22" s="47" t="inlineStr">
        <is>
          <t>No</t>
        </is>
      </c>
      <c r="H22">
        <f>AND(B22&lt;&gt;"",C22&lt;&gt;"")</f>
        <v/>
      </c>
      <c r="I22">
        <f>OR(B22&lt;&gt;"",C22&lt;&gt;"")</f>
        <v/>
      </c>
      <c r="J22">
        <f>AND(B22&lt;&gt;"",D22&lt;&gt;"")</f>
        <v/>
      </c>
      <c r="K22">
        <f>OR(B22&lt;&gt;"",D22&lt;&gt;"")</f>
        <v/>
      </c>
      <c r="L22">
        <f>AND(B22&lt;&gt;"",E22&lt;&gt;"")</f>
        <v/>
      </c>
      <c r="M22">
        <f>OR(B22&lt;&gt;"",E22&lt;&gt;"")</f>
        <v/>
      </c>
      <c r="N22">
        <f>AND(C22&lt;&gt;"",D22&lt;&gt;"")</f>
        <v/>
      </c>
      <c r="O22">
        <f>OR(C22&lt;&gt;"",D22&lt;&gt;"")</f>
        <v/>
      </c>
      <c r="P22">
        <f>AND(C22&lt;&gt;"",E22&lt;&gt;"")</f>
        <v/>
      </c>
      <c r="Q22">
        <f>OR(C22&lt;&gt;"",E22&lt;&gt;"")</f>
        <v/>
      </c>
      <c r="R22">
        <f>AND(D22&lt;&gt;"",E22&lt;&gt;"")</f>
        <v/>
      </c>
      <c r="S22">
        <f>OR(D22&lt;&gt;"",E22&lt;&gt;"")</f>
        <v/>
      </c>
      <c r="V22">
        <f>AND(B22&lt;&gt;"",C22&lt;&gt;"",F22="No")</f>
        <v/>
      </c>
      <c r="W22">
        <f>AND(OR(B22&lt;&gt;"",C22&lt;&gt;""),F22="No")</f>
        <v/>
      </c>
      <c r="X22">
        <f>AND(B22&lt;&gt;"",D22&lt;&gt;"",F22="No")</f>
        <v/>
      </c>
      <c r="Y22">
        <f>AND(OR(B22&lt;&gt;"",D22&lt;&gt;""),F22="No")</f>
        <v/>
      </c>
      <c r="Z22">
        <f>AND(B22&lt;&gt;"",E22&lt;&gt;"",F22="No")</f>
        <v/>
      </c>
      <c r="AA22">
        <f>AND(OR(B22&lt;&gt;"",E22&lt;&gt;""),F22="No")</f>
        <v/>
      </c>
      <c r="AB22">
        <f>AND(C22&lt;&gt;"",D22&lt;&gt;"",F22="No")</f>
        <v/>
      </c>
      <c r="AC22">
        <f>AND(OR(C22&lt;&gt;"",D22&lt;&gt;""),F22="No")</f>
        <v/>
      </c>
      <c r="AD22">
        <f>AND(C22&lt;&gt;"",E22&lt;&gt;"",F22="No")</f>
        <v/>
      </c>
      <c r="AE22">
        <f>AND(OR(C22&lt;&gt;"",E22&lt;&gt;""),F22="No")</f>
        <v/>
      </c>
      <c r="AF22">
        <f>AND(D22&lt;&gt;"",E22&lt;&gt;"",F22="No")</f>
        <v/>
      </c>
      <c r="AG22">
        <f>AND(OR(D22&lt;&gt;"",E22&lt;&gt;""),F22="No")</f>
        <v/>
      </c>
    </row>
    <row r="23">
      <c r="A23" s="44" t="inlineStr">
        <is>
          <t>GS.4.11</t>
        </is>
      </c>
      <c r="B23" s="27" t="inlineStr">
        <is>
          <t>X</t>
        </is>
      </c>
      <c r="F23" s="47" t="inlineStr">
        <is>
          <t>No</t>
        </is>
      </c>
      <c r="H23">
        <f>AND(B23&lt;&gt;"",C23&lt;&gt;"")</f>
        <v/>
      </c>
      <c r="I23">
        <f>OR(B23&lt;&gt;"",C23&lt;&gt;"")</f>
        <v/>
      </c>
      <c r="J23">
        <f>AND(B23&lt;&gt;"",D23&lt;&gt;"")</f>
        <v/>
      </c>
      <c r="K23">
        <f>OR(B23&lt;&gt;"",D23&lt;&gt;"")</f>
        <v/>
      </c>
      <c r="L23">
        <f>AND(B23&lt;&gt;"",E23&lt;&gt;"")</f>
        <v/>
      </c>
      <c r="M23">
        <f>OR(B23&lt;&gt;"",E23&lt;&gt;"")</f>
        <v/>
      </c>
      <c r="N23">
        <f>AND(C23&lt;&gt;"",D23&lt;&gt;"")</f>
        <v/>
      </c>
      <c r="O23">
        <f>OR(C23&lt;&gt;"",D23&lt;&gt;"")</f>
        <v/>
      </c>
      <c r="P23">
        <f>AND(C23&lt;&gt;"",E23&lt;&gt;"")</f>
        <v/>
      </c>
      <c r="Q23">
        <f>OR(C23&lt;&gt;"",E23&lt;&gt;"")</f>
        <v/>
      </c>
      <c r="R23">
        <f>AND(D23&lt;&gt;"",E23&lt;&gt;"")</f>
        <v/>
      </c>
      <c r="S23">
        <f>OR(D23&lt;&gt;"",E23&lt;&gt;"")</f>
        <v/>
      </c>
      <c r="V23">
        <f>AND(B23&lt;&gt;"",C23&lt;&gt;"",F23="No")</f>
        <v/>
      </c>
      <c r="W23">
        <f>AND(OR(B23&lt;&gt;"",C23&lt;&gt;""),F23="No")</f>
        <v/>
      </c>
      <c r="X23">
        <f>AND(B23&lt;&gt;"",D23&lt;&gt;"",F23="No")</f>
        <v/>
      </c>
      <c r="Y23">
        <f>AND(OR(B23&lt;&gt;"",D23&lt;&gt;""),F23="No")</f>
        <v/>
      </c>
      <c r="Z23">
        <f>AND(B23&lt;&gt;"",E23&lt;&gt;"",F23="No")</f>
        <v/>
      </c>
      <c r="AA23">
        <f>AND(OR(B23&lt;&gt;"",E23&lt;&gt;""),F23="No")</f>
        <v/>
      </c>
      <c r="AB23">
        <f>AND(C23&lt;&gt;"",D23&lt;&gt;"",F23="No")</f>
        <v/>
      </c>
      <c r="AC23">
        <f>AND(OR(C23&lt;&gt;"",D23&lt;&gt;""),F23="No")</f>
        <v/>
      </c>
      <c r="AD23">
        <f>AND(C23&lt;&gt;"",E23&lt;&gt;"",F23="No")</f>
        <v/>
      </c>
      <c r="AE23">
        <f>AND(OR(C23&lt;&gt;"",E23&lt;&gt;""),F23="No")</f>
        <v/>
      </c>
      <c r="AF23">
        <f>AND(D23&lt;&gt;"",E23&lt;&gt;"",F23="No")</f>
        <v/>
      </c>
      <c r="AG23">
        <f>AND(OR(D23&lt;&gt;"",E23&lt;&gt;""),F23="No")</f>
        <v/>
      </c>
    </row>
    <row r="24">
      <c r="A24" s="44" t="inlineStr">
        <is>
          <t>GS.4.12</t>
        </is>
      </c>
      <c r="B24" s="27" t="inlineStr">
        <is>
          <t>X</t>
        </is>
      </c>
      <c r="F24" s="47" t="inlineStr">
        <is>
          <t>No</t>
        </is>
      </c>
      <c r="H24">
        <f>AND(B24&lt;&gt;"",C24&lt;&gt;"")</f>
        <v/>
      </c>
      <c r="I24">
        <f>OR(B24&lt;&gt;"",C24&lt;&gt;"")</f>
        <v/>
      </c>
      <c r="J24">
        <f>AND(B24&lt;&gt;"",D24&lt;&gt;"")</f>
        <v/>
      </c>
      <c r="K24">
        <f>OR(B24&lt;&gt;"",D24&lt;&gt;"")</f>
        <v/>
      </c>
      <c r="L24">
        <f>AND(B24&lt;&gt;"",E24&lt;&gt;"")</f>
        <v/>
      </c>
      <c r="M24">
        <f>OR(B24&lt;&gt;"",E24&lt;&gt;"")</f>
        <v/>
      </c>
      <c r="N24">
        <f>AND(C24&lt;&gt;"",D24&lt;&gt;"")</f>
        <v/>
      </c>
      <c r="O24">
        <f>OR(C24&lt;&gt;"",D24&lt;&gt;"")</f>
        <v/>
      </c>
      <c r="P24">
        <f>AND(C24&lt;&gt;"",E24&lt;&gt;"")</f>
        <v/>
      </c>
      <c r="Q24">
        <f>OR(C24&lt;&gt;"",E24&lt;&gt;"")</f>
        <v/>
      </c>
      <c r="R24">
        <f>AND(D24&lt;&gt;"",E24&lt;&gt;"")</f>
        <v/>
      </c>
      <c r="S24">
        <f>OR(D24&lt;&gt;"",E24&lt;&gt;"")</f>
        <v/>
      </c>
      <c r="V24">
        <f>AND(B24&lt;&gt;"",C24&lt;&gt;"",F24="No")</f>
        <v/>
      </c>
      <c r="W24">
        <f>AND(OR(B24&lt;&gt;"",C24&lt;&gt;""),F24="No")</f>
        <v/>
      </c>
      <c r="X24">
        <f>AND(B24&lt;&gt;"",D24&lt;&gt;"",F24="No")</f>
        <v/>
      </c>
      <c r="Y24">
        <f>AND(OR(B24&lt;&gt;"",D24&lt;&gt;""),F24="No")</f>
        <v/>
      </c>
      <c r="Z24">
        <f>AND(B24&lt;&gt;"",E24&lt;&gt;"",F24="No")</f>
        <v/>
      </c>
      <c r="AA24">
        <f>AND(OR(B24&lt;&gt;"",E24&lt;&gt;""),F24="No")</f>
        <v/>
      </c>
      <c r="AB24">
        <f>AND(C24&lt;&gt;"",D24&lt;&gt;"",F24="No")</f>
        <v/>
      </c>
      <c r="AC24">
        <f>AND(OR(C24&lt;&gt;"",D24&lt;&gt;""),F24="No")</f>
        <v/>
      </c>
      <c r="AD24">
        <f>AND(C24&lt;&gt;"",E24&lt;&gt;"",F24="No")</f>
        <v/>
      </c>
      <c r="AE24">
        <f>AND(OR(C24&lt;&gt;"",E24&lt;&gt;""),F24="No")</f>
        <v/>
      </c>
      <c r="AF24">
        <f>AND(D24&lt;&gt;"",E24&lt;&gt;"",F24="No")</f>
        <v/>
      </c>
      <c r="AG24">
        <f>AND(OR(D24&lt;&gt;"",E24&lt;&gt;""),F24="No")</f>
        <v/>
      </c>
    </row>
    <row r="25">
      <c r="A25" s="44" t="inlineStr">
        <is>
          <t>H.5.1</t>
        </is>
      </c>
      <c r="B25" s="27" t="inlineStr">
        <is>
          <t>X</t>
        </is>
      </c>
      <c r="C25" s="27" t="inlineStr">
        <is>
          <t>X</t>
        </is>
      </c>
      <c r="D25" s="27" t="inlineStr">
        <is>
          <t>X</t>
        </is>
      </c>
      <c r="E25" s="27" t="inlineStr">
        <is>
          <t>X</t>
        </is>
      </c>
      <c r="F25" s="47" t="inlineStr">
        <is>
          <t>No</t>
        </is>
      </c>
      <c r="H25">
        <f>AND(B25&lt;&gt;"",C25&lt;&gt;"")</f>
        <v/>
      </c>
      <c r="I25">
        <f>OR(B25&lt;&gt;"",C25&lt;&gt;"")</f>
        <v/>
      </c>
      <c r="J25">
        <f>AND(B25&lt;&gt;"",D25&lt;&gt;"")</f>
        <v/>
      </c>
      <c r="K25">
        <f>OR(B25&lt;&gt;"",D25&lt;&gt;"")</f>
        <v/>
      </c>
      <c r="L25">
        <f>AND(B25&lt;&gt;"",E25&lt;&gt;"")</f>
        <v/>
      </c>
      <c r="M25">
        <f>OR(B25&lt;&gt;"",E25&lt;&gt;"")</f>
        <v/>
      </c>
      <c r="N25">
        <f>AND(C25&lt;&gt;"",D25&lt;&gt;"")</f>
        <v/>
      </c>
      <c r="O25">
        <f>OR(C25&lt;&gt;"",D25&lt;&gt;"")</f>
        <v/>
      </c>
      <c r="P25">
        <f>AND(C25&lt;&gt;"",E25&lt;&gt;"")</f>
        <v/>
      </c>
      <c r="Q25">
        <f>OR(C25&lt;&gt;"",E25&lt;&gt;"")</f>
        <v/>
      </c>
      <c r="R25">
        <f>AND(D25&lt;&gt;"",E25&lt;&gt;"")</f>
        <v/>
      </c>
      <c r="S25">
        <f>OR(D25&lt;&gt;"",E25&lt;&gt;"")</f>
        <v/>
      </c>
      <c r="V25">
        <f>AND(B25&lt;&gt;"",C25&lt;&gt;"",F25="No")</f>
        <v/>
      </c>
      <c r="W25">
        <f>AND(OR(B25&lt;&gt;"",C25&lt;&gt;""),F25="No")</f>
        <v/>
      </c>
      <c r="X25">
        <f>AND(B25&lt;&gt;"",D25&lt;&gt;"",F25="No")</f>
        <v/>
      </c>
      <c r="Y25">
        <f>AND(OR(B25&lt;&gt;"",D25&lt;&gt;""),F25="No")</f>
        <v/>
      </c>
      <c r="Z25">
        <f>AND(B25&lt;&gt;"",E25&lt;&gt;"",F25="No")</f>
        <v/>
      </c>
      <c r="AA25">
        <f>AND(OR(B25&lt;&gt;"",E25&lt;&gt;""),F25="No")</f>
        <v/>
      </c>
      <c r="AB25">
        <f>AND(C25&lt;&gt;"",D25&lt;&gt;"",F25="No")</f>
        <v/>
      </c>
      <c r="AC25">
        <f>AND(OR(C25&lt;&gt;"",D25&lt;&gt;""),F25="No")</f>
        <v/>
      </c>
      <c r="AD25">
        <f>AND(C25&lt;&gt;"",E25&lt;&gt;"",F25="No")</f>
        <v/>
      </c>
      <c r="AE25">
        <f>AND(OR(C25&lt;&gt;"",E25&lt;&gt;""),F25="No")</f>
        <v/>
      </c>
      <c r="AF25">
        <f>AND(D25&lt;&gt;"",E25&lt;&gt;"",F25="No")</f>
        <v/>
      </c>
      <c r="AG25">
        <f>AND(OR(D25&lt;&gt;"",E25&lt;&gt;""),F25="No")</f>
        <v/>
      </c>
    </row>
    <row r="26">
      <c r="A26" s="44" t="inlineStr">
        <is>
          <t>H.5.2</t>
        </is>
      </c>
      <c r="B26" s="27" t="inlineStr">
        <is>
          <t>P</t>
        </is>
      </c>
      <c r="C26" s="27" t="inlineStr">
        <is>
          <t>P</t>
        </is>
      </c>
      <c r="D26" s="27" t="inlineStr">
        <is>
          <t>P</t>
        </is>
      </c>
      <c r="E26" s="27" t="inlineStr">
        <is>
          <t>P</t>
        </is>
      </c>
      <c r="F26" s="47" t="inlineStr">
        <is>
          <t>No</t>
        </is>
      </c>
      <c r="H26">
        <f>AND(B26&lt;&gt;"",C26&lt;&gt;"")</f>
        <v/>
      </c>
      <c r="I26">
        <f>OR(B26&lt;&gt;"",C26&lt;&gt;"")</f>
        <v/>
      </c>
      <c r="J26">
        <f>AND(B26&lt;&gt;"",D26&lt;&gt;"")</f>
        <v/>
      </c>
      <c r="K26">
        <f>OR(B26&lt;&gt;"",D26&lt;&gt;"")</f>
        <v/>
      </c>
      <c r="L26">
        <f>AND(B26&lt;&gt;"",E26&lt;&gt;"")</f>
        <v/>
      </c>
      <c r="M26">
        <f>OR(B26&lt;&gt;"",E26&lt;&gt;"")</f>
        <v/>
      </c>
      <c r="N26">
        <f>AND(C26&lt;&gt;"",D26&lt;&gt;"")</f>
        <v/>
      </c>
      <c r="O26">
        <f>OR(C26&lt;&gt;"",D26&lt;&gt;"")</f>
        <v/>
      </c>
      <c r="P26">
        <f>AND(C26&lt;&gt;"",E26&lt;&gt;"")</f>
        <v/>
      </c>
      <c r="Q26">
        <f>OR(C26&lt;&gt;"",E26&lt;&gt;"")</f>
        <v/>
      </c>
      <c r="R26">
        <f>AND(D26&lt;&gt;"",E26&lt;&gt;"")</f>
        <v/>
      </c>
      <c r="S26">
        <f>OR(D26&lt;&gt;"",E26&lt;&gt;"")</f>
        <v/>
      </c>
      <c r="V26">
        <f>AND(B26&lt;&gt;"",C26&lt;&gt;"",F26="No")</f>
        <v/>
      </c>
      <c r="W26">
        <f>AND(OR(B26&lt;&gt;"",C26&lt;&gt;""),F26="No")</f>
        <v/>
      </c>
      <c r="X26">
        <f>AND(B26&lt;&gt;"",D26&lt;&gt;"",F26="No")</f>
        <v/>
      </c>
      <c r="Y26">
        <f>AND(OR(B26&lt;&gt;"",D26&lt;&gt;""),F26="No")</f>
        <v/>
      </c>
      <c r="Z26">
        <f>AND(B26&lt;&gt;"",E26&lt;&gt;"",F26="No")</f>
        <v/>
      </c>
      <c r="AA26">
        <f>AND(OR(B26&lt;&gt;"",E26&lt;&gt;""),F26="No")</f>
        <v/>
      </c>
      <c r="AB26">
        <f>AND(C26&lt;&gt;"",D26&lt;&gt;"",F26="No")</f>
        <v/>
      </c>
      <c r="AC26">
        <f>AND(OR(C26&lt;&gt;"",D26&lt;&gt;""),F26="No")</f>
        <v/>
      </c>
      <c r="AD26">
        <f>AND(C26&lt;&gt;"",E26&lt;&gt;"",F26="No")</f>
        <v/>
      </c>
      <c r="AE26">
        <f>AND(OR(C26&lt;&gt;"",E26&lt;&gt;""),F26="No")</f>
        <v/>
      </c>
      <c r="AF26">
        <f>AND(D26&lt;&gt;"",E26&lt;&gt;"",F26="No")</f>
        <v/>
      </c>
      <c r="AG26">
        <f>AND(OR(D26&lt;&gt;"",E26&lt;&gt;""),F26="No")</f>
        <v/>
      </c>
    </row>
    <row r="27">
      <c r="A27" s="44" t="inlineStr">
        <is>
          <t>GS.5.3</t>
        </is>
      </c>
      <c r="B27" s="27" t="inlineStr">
        <is>
          <t>X</t>
        </is>
      </c>
      <c r="C27" s="27" t="inlineStr">
        <is>
          <t>X</t>
        </is>
      </c>
      <c r="D27" s="27" t="inlineStr">
        <is>
          <t>X</t>
        </is>
      </c>
      <c r="E27" s="27" t="inlineStr">
        <is>
          <t>X</t>
        </is>
      </c>
      <c r="F27" s="47" t="inlineStr">
        <is>
          <t>No</t>
        </is>
      </c>
      <c r="H27">
        <f>AND(B27&lt;&gt;"",C27&lt;&gt;"")</f>
        <v/>
      </c>
      <c r="I27">
        <f>OR(B27&lt;&gt;"",C27&lt;&gt;"")</f>
        <v/>
      </c>
      <c r="J27">
        <f>AND(B27&lt;&gt;"",D27&lt;&gt;"")</f>
        <v/>
      </c>
      <c r="K27">
        <f>OR(B27&lt;&gt;"",D27&lt;&gt;"")</f>
        <v/>
      </c>
      <c r="L27">
        <f>AND(B27&lt;&gt;"",E27&lt;&gt;"")</f>
        <v/>
      </c>
      <c r="M27">
        <f>OR(B27&lt;&gt;"",E27&lt;&gt;"")</f>
        <v/>
      </c>
      <c r="N27">
        <f>AND(C27&lt;&gt;"",D27&lt;&gt;"")</f>
        <v/>
      </c>
      <c r="O27">
        <f>OR(C27&lt;&gt;"",D27&lt;&gt;"")</f>
        <v/>
      </c>
      <c r="P27">
        <f>AND(C27&lt;&gt;"",E27&lt;&gt;"")</f>
        <v/>
      </c>
      <c r="Q27">
        <f>OR(C27&lt;&gt;"",E27&lt;&gt;"")</f>
        <v/>
      </c>
      <c r="R27">
        <f>AND(D27&lt;&gt;"",E27&lt;&gt;"")</f>
        <v/>
      </c>
      <c r="S27">
        <f>OR(D27&lt;&gt;"",E27&lt;&gt;"")</f>
        <v/>
      </c>
      <c r="V27">
        <f>AND(B27&lt;&gt;"",C27&lt;&gt;"",F27="No")</f>
        <v/>
      </c>
      <c r="W27">
        <f>AND(OR(B27&lt;&gt;"",C27&lt;&gt;""),F27="No")</f>
        <v/>
      </c>
      <c r="X27">
        <f>AND(B27&lt;&gt;"",D27&lt;&gt;"",F27="No")</f>
        <v/>
      </c>
      <c r="Y27">
        <f>AND(OR(B27&lt;&gt;"",D27&lt;&gt;""),F27="No")</f>
        <v/>
      </c>
      <c r="Z27">
        <f>AND(B27&lt;&gt;"",E27&lt;&gt;"",F27="No")</f>
        <v/>
      </c>
      <c r="AA27">
        <f>AND(OR(B27&lt;&gt;"",E27&lt;&gt;""),F27="No")</f>
        <v/>
      </c>
      <c r="AB27">
        <f>AND(C27&lt;&gt;"",D27&lt;&gt;"",F27="No")</f>
        <v/>
      </c>
      <c r="AC27">
        <f>AND(OR(C27&lt;&gt;"",D27&lt;&gt;""),F27="No")</f>
        <v/>
      </c>
      <c r="AD27">
        <f>AND(C27&lt;&gt;"",E27&lt;&gt;"",F27="No")</f>
        <v/>
      </c>
      <c r="AE27">
        <f>AND(OR(C27&lt;&gt;"",E27&lt;&gt;""),F27="No")</f>
        <v/>
      </c>
      <c r="AF27">
        <f>AND(D27&lt;&gt;"",E27&lt;&gt;"",F27="No")</f>
        <v/>
      </c>
      <c r="AG27">
        <f>AND(OR(D27&lt;&gt;"",E27&lt;&gt;""),F27="No")</f>
        <v/>
      </c>
    </row>
    <row r="28">
      <c r="A28" t="inlineStr">
        <is>
          <t>L0.5.4; L0_iv.5.3</t>
        </is>
      </c>
      <c r="B28" s="27" t="inlineStr">
        <is>
          <t>X</t>
        </is>
      </c>
      <c r="E28" s="27" t="inlineStr">
        <is>
          <t>X</t>
        </is>
      </c>
      <c r="F28" s="47" t="inlineStr">
        <is>
          <t>Yes</t>
        </is>
      </c>
      <c r="H28">
        <f>AND(B28&lt;&gt;"",C28&lt;&gt;"")</f>
        <v/>
      </c>
      <c r="I28">
        <f>OR(B28&lt;&gt;"",C28&lt;&gt;"")</f>
        <v/>
      </c>
      <c r="J28">
        <f>AND(B28&lt;&gt;"",D28&lt;&gt;"")</f>
        <v/>
      </c>
      <c r="K28">
        <f>OR(B28&lt;&gt;"",D28&lt;&gt;"")</f>
        <v/>
      </c>
      <c r="L28">
        <f>AND(B28&lt;&gt;"",E28&lt;&gt;"")</f>
        <v/>
      </c>
      <c r="M28">
        <f>OR(B28&lt;&gt;"",E28&lt;&gt;"")</f>
        <v/>
      </c>
      <c r="N28">
        <f>AND(C28&lt;&gt;"",D28&lt;&gt;"")</f>
        <v/>
      </c>
      <c r="O28">
        <f>OR(C28&lt;&gt;"",D28&lt;&gt;"")</f>
        <v/>
      </c>
      <c r="P28">
        <f>AND(C28&lt;&gt;"",E28&lt;&gt;"")</f>
        <v/>
      </c>
      <c r="Q28">
        <f>OR(C28&lt;&gt;"",E28&lt;&gt;"")</f>
        <v/>
      </c>
      <c r="R28">
        <f>AND(D28&lt;&gt;"",E28&lt;&gt;"")</f>
        <v/>
      </c>
      <c r="S28">
        <f>OR(D28&lt;&gt;"",E28&lt;&gt;"")</f>
        <v/>
      </c>
      <c r="V28">
        <f>AND(B28&lt;&gt;"",C28&lt;&gt;"",F28="No")</f>
        <v/>
      </c>
      <c r="W28">
        <f>AND(OR(B28&lt;&gt;"",C28&lt;&gt;""),F28="No")</f>
        <v/>
      </c>
      <c r="X28">
        <f>AND(B28&lt;&gt;"",D28&lt;&gt;"",F28="No")</f>
        <v/>
      </c>
      <c r="Y28">
        <f>AND(OR(B28&lt;&gt;"",D28&lt;&gt;""),F28="No")</f>
        <v/>
      </c>
      <c r="Z28">
        <f>AND(B28&lt;&gt;"",E28&lt;&gt;"",F28="No")</f>
        <v/>
      </c>
      <c r="AA28">
        <f>AND(OR(B28&lt;&gt;"",E28&lt;&gt;""),F28="No")</f>
        <v/>
      </c>
      <c r="AB28">
        <f>AND(C28&lt;&gt;"",D28&lt;&gt;"",F28="No")</f>
        <v/>
      </c>
      <c r="AC28">
        <f>AND(OR(C28&lt;&gt;"",D28&lt;&gt;""),F28="No")</f>
        <v/>
      </c>
      <c r="AD28">
        <f>AND(C28&lt;&gt;"",E28&lt;&gt;"",F28="No")</f>
        <v/>
      </c>
      <c r="AE28">
        <f>AND(OR(C28&lt;&gt;"",E28&lt;&gt;""),F28="No")</f>
        <v/>
      </c>
      <c r="AF28">
        <f>AND(D28&lt;&gt;"",E28&lt;&gt;"",F28="No")</f>
        <v/>
      </c>
      <c r="AG28">
        <f>AND(OR(D28&lt;&gt;"",E28&lt;&gt;""),F28="No")</f>
        <v/>
      </c>
    </row>
    <row r="29">
      <c r="A29" s="44" t="inlineStr">
        <is>
          <t>H.6.1</t>
        </is>
      </c>
      <c r="B29" s="27" t="inlineStr">
        <is>
          <t>X</t>
        </is>
      </c>
      <c r="C29" s="27" t="inlineStr">
        <is>
          <t>X</t>
        </is>
      </c>
      <c r="D29" s="27" t="inlineStr">
        <is>
          <t>P</t>
        </is>
      </c>
      <c r="E29" s="27" t="inlineStr">
        <is>
          <t>P</t>
        </is>
      </c>
      <c r="F29" s="47" t="inlineStr">
        <is>
          <t>No</t>
        </is>
      </c>
      <c r="H29">
        <f>AND(B29&lt;&gt;"",C29&lt;&gt;"")</f>
        <v/>
      </c>
      <c r="I29">
        <f>OR(B29&lt;&gt;"",C29&lt;&gt;"")</f>
        <v/>
      </c>
      <c r="J29">
        <f>AND(B29&lt;&gt;"",D29&lt;&gt;"")</f>
        <v/>
      </c>
      <c r="K29">
        <f>OR(B29&lt;&gt;"",D29&lt;&gt;"")</f>
        <v/>
      </c>
      <c r="L29">
        <f>AND(B29&lt;&gt;"",E29&lt;&gt;"")</f>
        <v/>
      </c>
      <c r="M29">
        <f>OR(B29&lt;&gt;"",E29&lt;&gt;"")</f>
        <v/>
      </c>
      <c r="N29">
        <f>AND(C29&lt;&gt;"",D29&lt;&gt;"")</f>
        <v/>
      </c>
      <c r="O29">
        <f>OR(C29&lt;&gt;"",D29&lt;&gt;"")</f>
        <v/>
      </c>
      <c r="P29">
        <f>AND(C29&lt;&gt;"",E29&lt;&gt;"")</f>
        <v/>
      </c>
      <c r="Q29">
        <f>OR(C29&lt;&gt;"",E29&lt;&gt;"")</f>
        <v/>
      </c>
      <c r="R29">
        <f>AND(D29&lt;&gt;"",E29&lt;&gt;"")</f>
        <v/>
      </c>
      <c r="S29">
        <f>OR(D29&lt;&gt;"",E29&lt;&gt;"")</f>
        <v/>
      </c>
      <c r="V29">
        <f>AND(B29&lt;&gt;"",C29&lt;&gt;"",F29="No")</f>
        <v/>
      </c>
      <c r="W29">
        <f>AND(OR(B29&lt;&gt;"",C29&lt;&gt;""),F29="No")</f>
        <v/>
      </c>
      <c r="X29">
        <f>AND(B29&lt;&gt;"",D29&lt;&gt;"",F29="No")</f>
        <v/>
      </c>
      <c r="Y29">
        <f>AND(OR(B29&lt;&gt;"",D29&lt;&gt;""),F29="No")</f>
        <v/>
      </c>
      <c r="Z29">
        <f>AND(B29&lt;&gt;"",E29&lt;&gt;"",F29="No")</f>
        <v/>
      </c>
      <c r="AA29">
        <f>AND(OR(B29&lt;&gt;"",E29&lt;&gt;""),F29="No")</f>
        <v/>
      </c>
      <c r="AB29">
        <f>AND(C29&lt;&gt;"",D29&lt;&gt;"",F29="No")</f>
        <v/>
      </c>
      <c r="AC29">
        <f>AND(OR(C29&lt;&gt;"",D29&lt;&gt;""),F29="No")</f>
        <v/>
      </c>
      <c r="AD29">
        <f>AND(C29&lt;&gt;"",E29&lt;&gt;"",F29="No")</f>
        <v/>
      </c>
      <c r="AE29">
        <f>AND(OR(C29&lt;&gt;"",E29&lt;&gt;""),F29="No")</f>
        <v/>
      </c>
      <c r="AF29">
        <f>AND(D29&lt;&gt;"",E29&lt;&gt;"",F29="No")</f>
        <v/>
      </c>
      <c r="AG29">
        <f>AND(OR(D29&lt;&gt;"",E29&lt;&gt;""),F29="No")</f>
        <v/>
      </c>
    </row>
    <row r="30">
      <c r="A30" s="44" t="inlineStr">
        <is>
          <t>GS.6.2</t>
        </is>
      </c>
      <c r="B30" s="27" t="inlineStr">
        <is>
          <t>X</t>
        </is>
      </c>
      <c r="C30" s="27" t="inlineStr">
        <is>
          <t>X</t>
        </is>
      </c>
      <c r="D30" s="27" t="inlineStr">
        <is>
          <t>X</t>
        </is>
      </c>
      <c r="E30" s="27" t="inlineStr">
        <is>
          <t>X</t>
        </is>
      </c>
      <c r="F30" s="47" t="inlineStr">
        <is>
          <t>No</t>
        </is>
      </c>
      <c r="H30">
        <f>AND(B30&lt;&gt;"",C30&lt;&gt;"")</f>
        <v/>
      </c>
      <c r="I30">
        <f>OR(B30&lt;&gt;"",C30&lt;&gt;"")</f>
        <v/>
      </c>
      <c r="J30">
        <f>AND(B30&lt;&gt;"",D30&lt;&gt;"")</f>
        <v/>
      </c>
      <c r="K30">
        <f>OR(B30&lt;&gt;"",D30&lt;&gt;"")</f>
        <v/>
      </c>
      <c r="L30">
        <f>AND(B30&lt;&gt;"",E30&lt;&gt;"")</f>
        <v/>
      </c>
      <c r="M30">
        <f>OR(B30&lt;&gt;"",E30&lt;&gt;"")</f>
        <v/>
      </c>
      <c r="N30">
        <f>AND(C30&lt;&gt;"",D30&lt;&gt;"")</f>
        <v/>
      </c>
      <c r="O30">
        <f>OR(C30&lt;&gt;"",D30&lt;&gt;"")</f>
        <v/>
      </c>
      <c r="P30">
        <f>AND(C30&lt;&gt;"",E30&lt;&gt;"")</f>
        <v/>
      </c>
      <c r="Q30">
        <f>OR(C30&lt;&gt;"",E30&lt;&gt;"")</f>
        <v/>
      </c>
      <c r="R30">
        <f>AND(D30&lt;&gt;"",E30&lt;&gt;"")</f>
        <v/>
      </c>
      <c r="S30">
        <f>OR(D30&lt;&gt;"",E30&lt;&gt;"")</f>
        <v/>
      </c>
      <c r="V30">
        <f>AND(B30&lt;&gt;"",C30&lt;&gt;"",F30="No")</f>
        <v/>
      </c>
      <c r="W30">
        <f>AND(OR(B30&lt;&gt;"",C30&lt;&gt;""),F30="No")</f>
        <v/>
      </c>
      <c r="X30">
        <f>AND(B30&lt;&gt;"",D30&lt;&gt;"",F30="No")</f>
        <v/>
      </c>
      <c r="Y30">
        <f>AND(OR(B30&lt;&gt;"",D30&lt;&gt;""),F30="No")</f>
        <v/>
      </c>
      <c r="Z30">
        <f>AND(B30&lt;&gt;"",E30&lt;&gt;"",F30="No")</f>
        <v/>
      </c>
      <c r="AA30">
        <f>AND(OR(B30&lt;&gt;"",E30&lt;&gt;""),F30="No")</f>
        <v/>
      </c>
      <c r="AB30">
        <f>AND(C30&lt;&gt;"",D30&lt;&gt;"",F30="No")</f>
        <v/>
      </c>
      <c r="AC30">
        <f>AND(OR(C30&lt;&gt;"",D30&lt;&gt;""),F30="No")</f>
        <v/>
      </c>
      <c r="AD30">
        <f>AND(C30&lt;&gt;"",E30&lt;&gt;"",F30="No")</f>
        <v/>
      </c>
      <c r="AE30">
        <f>AND(OR(C30&lt;&gt;"",E30&lt;&gt;""),F30="No")</f>
        <v/>
      </c>
      <c r="AF30">
        <f>AND(D30&lt;&gt;"",E30&lt;&gt;"",F30="No")</f>
        <v/>
      </c>
      <c r="AG30">
        <f>AND(OR(D30&lt;&gt;"",E30&lt;&gt;""),F30="No")</f>
        <v/>
      </c>
    </row>
    <row r="31">
      <c r="A31" t="inlineStr">
        <is>
          <t>L0_ii.6.2</t>
        </is>
      </c>
      <c r="C31" s="27" t="inlineStr">
        <is>
          <t>X</t>
        </is>
      </c>
      <c r="F31" s="47" t="inlineStr">
        <is>
          <t>Yes</t>
        </is>
      </c>
      <c r="H31">
        <f>AND(B31&lt;&gt;"",C31&lt;&gt;"")</f>
        <v/>
      </c>
      <c r="I31">
        <f>OR(B31&lt;&gt;"",C31&lt;&gt;"")</f>
        <v/>
      </c>
      <c r="J31">
        <f>AND(B31&lt;&gt;"",D31&lt;&gt;"")</f>
        <v/>
      </c>
      <c r="K31">
        <f>OR(B31&lt;&gt;"",D31&lt;&gt;"")</f>
        <v/>
      </c>
      <c r="L31">
        <f>AND(B31&lt;&gt;"",E31&lt;&gt;"")</f>
        <v/>
      </c>
      <c r="M31">
        <f>OR(B31&lt;&gt;"",E31&lt;&gt;"")</f>
        <v/>
      </c>
      <c r="N31">
        <f>AND(C31&lt;&gt;"",D31&lt;&gt;"")</f>
        <v/>
      </c>
      <c r="O31">
        <f>OR(C31&lt;&gt;"",D31&lt;&gt;"")</f>
        <v/>
      </c>
      <c r="P31">
        <f>AND(C31&lt;&gt;"",E31&lt;&gt;"")</f>
        <v/>
      </c>
      <c r="Q31">
        <f>OR(C31&lt;&gt;"",E31&lt;&gt;"")</f>
        <v/>
      </c>
      <c r="R31">
        <f>AND(D31&lt;&gt;"",E31&lt;&gt;"")</f>
        <v/>
      </c>
      <c r="S31">
        <f>OR(D31&lt;&gt;"",E31&lt;&gt;"")</f>
        <v/>
      </c>
      <c r="V31">
        <f>AND(B31&lt;&gt;"",C31&lt;&gt;"",F31="No")</f>
        <v/>
      </c>
      <c r="W31">
        <f>AND(OR(B31&lt;&gt;"",C31&lt;&gt;""),F31="No")</f>
        <v/>
      </c>
      <c r="X31">
        <f>AND(B31&lt;&gt;"",D31&lt;&gt;"",F31="No")</f>
        <v/>
      </c>
      <c r="Y31">
        <f>AND(OR(B31&lt;&gt;"",D31&lt;&gt;""),F31="No")</f>
        <v/>
      </c>
      <c r="Z31">
        <f>AND(B31&lt;&gt;"",E31&lt;&gt;"",F31="No")</f>
        <v/>
      </c>
      <c r="AA31">
        <f>AND(OR(B31&lt;&gt;"",E31&lt;&gt;""),F31="No")</f>
        <v/>
      </c>
      <c r="AB31">
        <f>AND(C31&lt;&gt;"",D31&lt;&gt;"",F31="No")</f>
        <v/>
      </c>
      <c r="AC31">
        <f>AND(OR(C31&lt;&gt;"",D31&lt;&gt;""),F31="No")</f>
        <v/>
      </c>
      <c r="AD31">
        <f>AND(C31&lt;&gt;"",E31&lt;&gt;"",F31="No")</f>
        <v/>
      </c>
      <c r="AE31">
        <f>AND(OR(C31&lt;&gt;"",E31&lt;&gt;""),F31="No")</f>
        <v/>
      </c>
      <c r="AF31">
        <f>AND(D31&lt;&gt;"",E31&lt;&gt;"",F31="No")</f>
        <v/>
      </c>
      <c r="AG31">
        <f>AND(OR(D31&lt;&gt;"",E31&lt;&gt;""),F31="No")</f>
        <v/>
      </c>
    </row>
    <row r="32">
      <c r="A32" s="44" t="inlineStr">
        <is>
          <t>H.7.1</t>
        </is>
      </c>
      <c r="B32" s="27" t="inlineStr">
        <is>
          <t>X</t>
        </is>
      </c>
      <c r="C32" s="27" t="inlineStr">
        <is>
          <t>X</t>
        </is>
      </c>
      <c r="D32" s="27" t="inlineStr">
        <is>
          <t>X</t>
        </is>
      </c>
      <c r="E32" s="27" t="inlineStr">
        <is>
          <t>X</t>
        </is>
      </c>
      <c r="F32" s="47" t="inlineStr">
        <is>
          <t>No</t>
        </is>
      </c>
      <c r="H32">
        <f>AND(B32&lt;&gt;"",C32&lt;&gt;"")</f>
        <v/>
      </c>
      <c r="I32">
        <f>OR(B32&lt;&gt;"",C32&lt;&gt;"")</f>
        <v/>
      </c>
      <c r="J32">
        <f>AND(B32&lt;&gt;"",D32&lt;&gt;"")</f>
        <v/>
      </c>
      <c r="K32">
        <f>OR(B32&lt;&gt;"",D32&lt;&gt;"")</f>
        <v/>
      </c>
      <c r="L32">
        <f>AND(B32&lt;&gt;"",E32&lt;&gt;"")</f>
        <v/>
      </c>
      <c r="M32">
        <f>OR(B32&lt;&gt;"",E32&lt;&gt;"")</f>
        <v/>
      </c>
      <c r="N32">
        <f>AND(C32&lt;&gt;"",D32&lt;&gt;"")</f>
        <v/>
      </c>
      <c r="O32">
        <f>OR(C32&lt;&gt;"",D32&lt;&gt;"")</f>
        <v/>
      </c>
      <c r="P32">
        <f>AND(C32&lt;&gt;"",E32&lt;&gt;"")</f>
        <v/>
      </c>
      <c r="Q32">
        <f>OR(C32&lt;&gt;"",E32&lt;&gt;"")</f>
        <v/>
      </c>
      <c r="R32">
        <f>AND(D32&lt;&gt;"",E32&lt;&gt;"")</f>
        <v/>
      </c>
      <c r="S32">
        <f>OR(D32&lt;&gt;"",E32&lt;&gt;"")</f>
        <v/>
      </c>
      <c r="V32">
        <f>AND(B32&lt;&gt;"",C32&lt;&gt;"",F32="No")</f>
        <v/>
      </c>
      <c r="W32">
        <f>AND(OR(B32&lt;&gt;"",C32&lt;&gt;""),F32="No")</f>
        <v/>
      </c>
      <c r="X32">
        <f>AND(B32&lt;&gt;"",D32&lt;&gt;"",F32="No")</f>
        <v/>
      </c>
      <c r="Y32">
        <f>AND(OR(B32&lt;&gt;"",D32&lt;&gt;""),F32="No")</f>
        <v/>
      </c>
      <c r="Z32">
        <f>AND(B32&lt;&gt;"",E32&lt;&gt;"",F32="No")</f>
        <v/>
      </c>
      <c r="AA32">
        <f>AND(OR(B32&lt;&gt;"",E32&lt;&gt;""),F32="No")</f>
        <v/>
      </c>
      <c r="AB32">
        <f>AND(C32&lt;&gt;"",D32&lt;&gt;"",F32="No")</f>
        <v/>
      </c>
      <c r="AC32">
        <f>AND(OR(C32&lt;&gt;"",D32&lt;&gt;""),F32="No")</f>
        <v/>
      </c>
      <c r="AD32">
        <f>AND(C32&lt;&gt;"",E32&lt;&gt;"",F32="No")</f>
        <v/>
      </c>
      <c r="AE32">
        <f>AND(OR(C32&lt;&gt;"",E32&lt;&gt;""),F32="No")</f>
        <v/>
      </c>
      <c r="AF32">
        <f>AND(D32&lt;&gt;"",E32&lt;&gt;"",F32="No")</f>
        <v/>
      </c>
      <c r="AG32">
        <f>AND(OR(D32&lt;&gt;"",E32&lt;&gt;""),F32="No")</f>
        <v/>
      </c>
    </row>
    <row r="33">
      <c r="A33" s="44" t="inlineStr">
        <is>
          <t>H.7.2</t>
        </is>
      </c>
      <c r="C33" s="27" t="inlineStr">
        <is>
          <t>X</t>
        </is>
      </c>
      <c r="D33" s="27" t="inlineStr">
        <is>
          <t>X</t>
        </is>
      </c>
      <c r="E33" s="27" t="inlineStr">
        <is>
          <t>X</t>
        </is>
      </c>
      <c r="F33" s="47" t="inlineStr">
        <is>
          <t>No</t>
        </is>
      </c>
      <c r="H33">
        <f>AND(B33&lt;&gt;"",C33&lt;&gt;"")</f>
        <v/>
      </c>
      <c r="I33">
        <f>OR(B33&lt;&gt;"",C33&lt;&gt;"")</f>
        <v/>
      </c>
      <c r="J33">
        <f>AND(B33&lt;&gt;"",D33&lt;&gt;"")</f>
        <v/>
      </c>
      <c r="K33">
        <f>OR(B33&lt;&gt;"",D33&lt;&gt;"")</f>
        <v/>
      </c>
      <c r="L33">
        <f>AND(B33&lt;&gt;"",E33&lt;&gt;"")</f>
        <v/>
      </c>
      <c r="M33">
        <f>OR(B33&lt;&gt;"",E33&lt;&gt;"")</f>
        <v/>
      </c>
      <c r="N33">
        <f>AND(C33&lt;&gt;"",D33&lt;&gt;"")</f>
        <v/>
      </c>
      <c r="O33">
        <f>OR(C33&lt;&gt;"",D33&lt;&gt;"")</f>
        <v/>
      </c>
      <c r="P33">
        <f>AND(C33&lt;&gt;"",E33&lt;&gt;"")</f>
        <v/>
      </c>
      <c r="Q33">
        <f>OR(C33&lt;&gt;"",E33&lt;&gt;"")</f>
        <v/>
      </c>
      <c r="R33">
        <f>AND(D33&lt;&gt;"",E33&lt;&gt;"")</f>
        <v/>
      </c>
      <c r="S33">
        <f>OR(D33&lt;&gt;"",E33&lt;&gt;"")</f>
        <v/>
      </c>
      <c r="V33">
        <f>AND(B33&lt;&gt;"",C33&lt;&gt;"",F33="No")</f>
        <v/>
      </c>
      <c r="W33">
        <f>AND(OR(B33&lt;&gt;"",C33&lt;&gt;""),F33="No")</f>
        <v/>
      </c>
      <c r="X33">
        <f>AND(B33&lt;&gt;"",D33&lt;&gt;"",F33="No")</f>
        <v/>
      </c>
      <c r="Y33">
        <f>AND(OR(B33&lt;&gt;"",D33&lt;&gt;""),F33="No")</f>
        <v/>
      </c>
      <c r="Z33">
        <f>AND(B33&lt;&gt;"",E33&lt;&gt;"",F33="No")</f>
        <v/>
      </c>
      <c r="AA33">
        <f>AND(OR(B33&lt;&gt;"",E33&lt;&gt;""),F33="No")</f>
        <v/>
      </c>
      <c r="AB33">
        <f>AND(C33&lt;&gt;"",D33&lt;&gt;"",F33="No")</f>
        <v/>
      </c>
      <c r="AC33">
        <f>AND(OR(C33&lt;&gt;"",D33&lt;&gt;""),F33="No")</f>
        <v/>
      </c>
      <c r="AD33">
        <f>AND(C33&lt;&gt;"",E33&lt;&gt;"",F33="No")</f>
        <v/>
      </c>
      <c r="AE33">
        <f>AND(OR(C33&lt;&gt;"",E33&lt;&gt;""),F33="No")</f>
        <v/>
      </c>
      <c r="AF33">
        <f>AND(D33&lt;&gt;"",E33&lt;&gt;"",F33="No")</f>
        <v/>
      </c>
      <c r="AG33">
        <f>AND(OR(D33&lt;&gt;"",E33&lt;&gt;""),F33="No")</f>
        <v/>
      </c>
    </row>
    <row r="34">
      <c r="A34" s="44" t="inlineStr">
        <is>
          <t>H.7.3</t>
        </is>
      </c>
      <c r="D34" s="27" t="inlineStr">
        <is>
          <t>X</t>
        </is>
      </c>
      <c r="E34" s="27" t="inlineStr">
        <is>
          <t>X</t>
        </is>
      </c>
      <c r="F34" s="47" t="inlineStr">
        <is>
          <t>No</t>
        </is>
      </c>
      <c r="H34">
        <f>AND(B34&lt;&gt;"",C34&lt;&gt;"")</f>
        <v/>
      </c>
      <c r="I34">
        <f>OR(B34&lt;&gt;"",C34&lt;&gt;"")</f>
        <v/>
      </c>
      <c r="J34">
        <f>AND(B34&lt;&gt;"",D34&lt;&gt;"")</f>
        <v/>
      </c>
      <c r="K34">
        <f>OR(B34&lt;&gt;"",D34&lt;&gt;"")</f>
        <v/>
      </c>
      <c r="L34">
        <f>AND(B34&lt;&gt;"",E34&lt;&gt;"")</f>
        <v/>
      </c>
      <c r="M34">
        <f>OR(B34&lt;&gt;"",E34&lt;&gt;"")</f>
        <v/>
      </c>
      <c r="N34">
        <f>AND(C34&lt;&gt;"",D34&lt;&gt;"")</f>
        <v/>
      </c>
      <c r="O34">
        <f>OR(C34&lt;&gt;"",D34&lt;&gt;"")</f>
        <v/>
      </c>
      <c r="P34">
        <f>AND(C34&lt;&gt;"",E34&lt;&gt;"")</f>
        <v/>
      </c>
      <c r="Q34">
        <f>OR(C34&lt;&gt;"",E34&lt;&gt;"")</f>
        <v/>
      </c>
      <c r="R34">
        <f>AND(D34&lt;&gt;"",E34&lt;&gt;"")</f>
        <v/>
      </c>
      <c r="S34">
        <f>OR(D34&lt;&gt;"",E34&lt;&gt;"")</f>
        <v/>
      </c>
      <c r="V34">
        <f>AND(B34&lt;&gt;"",C34&lt;&gt;"",F34="No")</f>
        <v/>
      </c>
      <c r="W34">
        <f>AND(OR(B34&lt;&gt;"",C34&lt;&gt;""),F34="No")</f>
        <v/>
      </c>
      <c r="X34">
        <f>AND(B34&lt;&gt;"",D34&lt;&gt;"",F34="No")</f>
        <v/>
      </c>
      <c r="Y34">
        <f>AND(OR(B34&lt;&gt;"",D34&lt;&gt;""),F34="No")</f>
        <v/>
      </c>
      <c r="Z34">
        <f>AND(B34&lt;&gt;"",E34&lt;&gt;"",F34="No")</f>
        <v/>
      </c>
      <c r="AA34">
        <f>AND(OR(B34&lt;&gt;"",E34&lt;&gt;""),F34="No")</f>
        <v/>
      </c>
      <c r="AB34">
        <f>AND(C34&lt;&gt;"",D34&lt;&gt;"",F34="No")</f>
        <v/>
      </c>
      <c r="AC34">
        <f>AND(OR(C34&lt;&gt;"",D34&lt;&gt;""),F34="No")</f>
        <v/>
      </c>
      <c r="AD34">
        <f>AND(C34&lt;&gt;"",E34&lt;&gt;"",F34="No")</f>
        <v/>
      </c>
      <c r="AE34">
        <f>AND(OR(C34&lt;&gt;"",E34&lt;&gt;""),F34="No")</f>
        <v/>
      </c>
      <c r="AF34">
        <f>AND(D34&lt;&gt;"",E34&lt;&gt;"",F34="No")</f>
        <v/>
      </c>
      <c r="AG34">
        <f>AND(OR(D34&lt;&gt;"",E34&lt;&gt;""),F34="No")</f>
        <v/>
      </c>
    </row>
    <row r="35">
      <c r="A35" s="44" t="inlineStr">
        <is>
          <t>GS.7.4</t>
        </is>
      </c>
      <c r="B35" s="27" t="inlineStr">
        <is>
          <t>X</t>
        </is>
      </c>
      <c r="E35" s="27" t="inlineStr">
        <is>
          <t>X</t>
        </is>
      </c>
      <c r="F35" s="47" t="inlineStr">
        <is>
          <t>No</t>
        </is>
      </c>
      <c r="H35">
        <f>AND(B35&lt;&gt;"",C35&lt;&gt;"")</f>
        <v/>
      </c>
      <c r="I35">
        <f>OR(B35&lt;&gt;"",C35&lt;&gt;"")</f>
        <v/>
      </c>
      <c r="J35">
        <f>AND(B35&lt;&gt;"",D35&lt;&gt;"")</f>
        <v/>
      </c>
      <c r="K35">
        <f>OR(B35&lt;&gt;"",D35&lt;&gt;"")</f>
        <v/>
      </c>
      <c r="L35">
        <f>AND(B35&lt;&gt;"",E35&lt;&gt;"")</f>
        <v/>
      </c>
      <c r="M35">
        <f>OR(B35&lt;&gt;"",E35&lt;&gt;"")</f>
        <v/>
      </c>
      <c r="N35">
        <f>AND(C35&lt;&gt;"",D35&lt;&gt;"")</f>
        <v/>
      </c>
      <c r="O35">
        <f>OR(C35&lt;&gt;"",D35&lt;&gt;"")</f>
        <v/>
      </c>
      <c r="P35">
        <f>AND(C35&lt;&gt;"",E35&lt;&gt;"")</f>
        <v/>
      </c>
      <c r="Q35">
        <f>OR(C35&lt;&gt;"",E35&lt;&gt;"")</f>
        <v/>
      </c>
      <c r="R35">
        <f>AND(D35&lt;&gt;"",E35&lt;&gt;"")</f>
        <v/>
      </c>
      <c r="S35">
        <f>OR(D35&lt;&gt;"",E35&lt;&gt;"")</f>
        <v/>
      </c>
      <c r="V35">
        <f>AND(B35&lt;&gt;"",C35&lt;&gt;"",F35="No")</f>
        <v/>
      </c>
      <c r="W35">
        <f>AND(OR(B35&lt;&gt;"",C35&lt;&gt;""),F35="No")</f>
        <v/>
      </c>
      <c r="X35">
        <f>AND(B35&lt;&gt;"",D35&lt;&gt;"",F35="No")</f>
        <v/>
      </c>
      <c r="Y35">
        <f>AND(OR(B35&lt;&gt;"",D35&lt;&gt;""),F35="No")</f>
        <v/>
      </c>
      <c r="Z35">
        <f>AND(B35&lt;&gt;"",E35&lt;&gt;"",F35="No")</f>
        <v/>
      </c>
      <c r="AA35">
        <f>AND(OR(B35&lt;&gt;"",E35&lt;&gt;""),F35="No")</f>
        <v/>
      </c>
      <c r="AB35">
        <f>AND(C35&lt;&gt;"",D35&lt;&gt;"",F35="No")</f>
        <v/>
      </c>
      <c r="AC35">
        <f>AND(OR(C35&lt;&gt;"",D35&lt;&gt;""),F35="No")</f>
        <v/>
      </c>
      <c r="AD35">
        <f>AND(C35&lt;&gt;"",E35&lt;&gt;"",F35="No")</f>
        <v/>
      </c>
      <c r="AE35">
        <f>AND(OR(C35&lt;&gt;"",E35&lt;&gt;""),F35="No")</f>
        <v/>
      </c>
      <c r="AF35">
        <f>AND(D35&lt;&gt;"",E35&lt;&gt;"",F35="No")</f>
        <v/>
      </c>
      <c r="AG35">
        <f>AND(OR(D35&lt;&gt;"",E35&lt;&gt;""),F35="No")</f>
        <v/>
      </c>
    </row>
    <row r="36">
      <c r="A36" s="44" t="inlineStr">
        <is>
          <t>GS.7.5</t>
        </is>
      </c>
      <c r="B36" s="27" t="inlineStr">
        <is>
          <t>X</t>
        </is>
      </c>
      <c r="F36" s="47" t="inlineStr">
        <is>
          <t>No</t>
        </is>
      </c>
      <c r="H36">
        <f>AND(B36&lt;&gt;"",C36&lt;&gt;"")</f>
        <v/>
      </c>
      <c r="I36">
        <f>OR(B36&lt;&gt;"",C36&lt;&gt;"")</f>
        <v/>
      </c>
      <c r="J36">
        <f>AND(B36&lt;&gt;"",D36&lt;&gt;"")</f>
        <v/>
      </c>
      <c r="K36">
        <f>OR(B36&lt;&gt;"",D36&lt;&gt;"")</f>
        <v/>
      </c>
      <c r="L36">
        <f>AND(B36&lt;&gt;"",E36&lt;&gt;"")</f>
        <v/>
      </c>
      <c r="M36">
        <f>OR(B36&lt;&gt;"",E36&lt;&gt;"")</f>
        <v/>
      </c>
      <c r="N36">
        <f>AND(C36&lt;&gt;"",D36&lt;&gt;"")</f>
        <v/>
      </c>
      <c r="O36">
        <f>OR(C36&lt;&gt;"",D36&lt;&gt;"")</f>
        <v/>
      </c>
      <c r="P36">
        <f>AND(C36&lt;&gt;"",E36&lt;&gt;"")</f>
        <v/>
      </c>
      <c r="Q36">
        <f>OR(C36&lt;&gt;"",E36&lt;&gt;"")</f>
        <v/>
      </c>
      <c r="R36">
        <f>AND(D36&lt;&gt;"",E36&lt;&gt;"")</f>
        <v/>
      </c>
      <c r="S36">
        <f>OR(D36&lt;&gt;"",E36&lt;&gt;"")</f>
        <v/>
      </c>
      <c r="V36">
        <f>AND(B36&lt;&gt;"",C36&lt;&gt;"",F36="No")</f>
        <v/>
      </c>
      <c r="W36">
        <f>AND(OR(B36&lt;&gt;"",C36&lt;&gt;""),F36="No")</f>
        <v/>
      </c>
      <c r="X36">
        <f>AND(B36&lt;&gt;"",D36&lt;&gt;"",F36="No")</f>
        <v/>
      </c>
      <c r="Y36">
        <f>AND(OR(B36&lt;&gt;"",D36&lt;&gt;""),F36="No")</f>
        <v/>
      </c>
      <c r="Z36">
        <f>AND(B36&lt;&gt;"",E36&lt;&gt;"",F36="No")</f>
        <v/>
      </c>
      <c r="AA36">
        <f>AND(OR(B36&lt;&gt;"",E36&lt;&gt;""),F36="No")</f>
        <v/>
      </c>
      <c r="AB36">
        <f>AND(C36&lt;&gt;"",D36&lt;&gt;"",F36="No")</f>
        <v/>
      </c>
      <c r="AC36">
        <f>AND(OR(C36&lt;&gt;"",D36&lt;&gt;""),F36="No")</f>
        <v/>
      </c>
      <c r="AD36">
        <f>AND(C36&lt;&gt;"",E36&lt;&gt;"",F36="No")</f>
        <v/>
      </c>
      <c r="AE36">
        <f>AND(OR(C36&lt;&gt;"",E36&lt;&gt;""),F36="No")</f>
        <v/>
      </c>
      <c r="AF36">
        <f>AND(D36&lt;&gt;"",E36&lt;&gt;"",F36="No")</f>
        <v/>
      </c>
      <c r="AG36">
        <f>AND(OR(D36&lt;&gt;"",E36&lt;&gt;""),F36="No")</f>
        <v/>
      </c>
    </row>
    <row r="37">
      <c r="A37" s="44" t="inlineStr">
        <is>
          <t>GS.7.6</t>
        </is>
      </c>
      <c r="B37" s="27" t="inlineStr">
        <is>
          <t>X</t>
        </is>
      </c>
      <c r="D37" s="27" t="inlineStr">
        <is>
          <t>X</t>
        </is>
      </c>
      <c r="E37" s="27" t="inlineStr">
        <is>
          <t>X</t>
        </is>
      </c>
      <c r="F37" s="47" t="inlineStr">
        <is>
          <t>No</t>
        </is>
      </c>
      <c r="H37">
        <f>AND(B37&lt;&gt;"",C37&lt;&gt;"")</f>
        <v/>
      </c>
      <c r="I37">
        <f>OR(B37&lt;&gt;"",C37&lt;&gt;"")</f>
        <v/>
      </c>
      <c r="J37">
        <f>AND(B37&lt;&gt;"",D37&lt;&gt;"")</f>
        <v/>
      </c>
      <c r="K37">
        <f>OR(B37&lt;&gt;"",D37&lt;&gt;"")</f>
        <v/>
      </c>
      <c r="L37">
        <f>AND(B37&lt;&gt;"",E37&lt;&gt;"")</f>
        <v/>
      </c>
      <c r="M37">
        <f>OR(B37&lt;&gt;"",E37&lt;&gt;"")</f>
        <v/>
      </c>
      <c r="N37">
        <f>AND(C37&lt;&gt;"",D37&lt;&gt;"")</f>
        <v/>
      </c>
      <c r="O37">
        <f>OR(C37&lt;&gt;"",D37&lt;&gt;"")</f>
        <v/>
      </c>
      <c r="P37">
        <f>AND(C37&lt;&gt;"",E37&lt;&gt;"")</f>
        <v/>
      </c>
      <c r="Q37">
        <f>OR(C37&lt;&gt;"",E37&lt;&gt;"")</f>
        <v/>
      </c>
      <c r="R37">
        <f>AND(D37&lt;&gt;"",E37&lt;&gt;"")</f>
        <v/>
      </c>
      <c r="S37">
        <f>OR(D37&lt;&gt;"",E37&lt;&gt;"")</f>
        <v/>
      </c>
      <c r="V37">
        <f>AND(B37&lt;&gt;"",C37&lt;&gt;"",F37="No")</f>
        <v/>
      </c>
      <c r="W37">
        <f>AND(OR(B37&lt;&gt;"",C37&lt;&gt;""),F37="No")</f>
        <v/>
      </c>
      <c r="X37">
        <f>AND(B37&lt;&gt;"",D37&lt;&gt;"",F37="No")</f>
        <v/>
      </c>
      <c r="Y37">
        <f>AND(OR(B37&lt;&gt;"",D37&lt;&gt;""),F37="No")</f>
        <v/>
      </c>
      <c r="Z37">
        <f>AND(B37&lt;&gt;"",E37&lt;&gt;"",F37="No")</f>
        <v/>
      </c>
      <c r="AA37">
        <f>AND(OR(B37&lt;&gt;"",E37&lt;&gt;""),F37="No")</f>
        <v/>
      </c>
      <c r="AB37">
        <f>AND(C37&lt;&gt;"",D37&lt;&gt;"",F37="No")</f>
        <v/>
      </c>
      <c r="AC37">
        <f>AND(OR(C37&lt;&gt;"",D37&lt;&gt;""),F37="No")</f>
        <v/>
      </c>
      <c r="AD37">
        <f>AND(C37&lt;&gt;"",E37&lt;&gt;"",F37="No")</f>
        <v/>
      </c>
      <c r="AE37">
        <f>AND(OR(C37&lt;&gt;"",E37&lt;&gt;""),F37="No")</f>
        <v/>
      </c>
      <c r="AF37">
        <f>AND(D37&lt;&gt;"",E37&lt;&gt;"",F37="No")</f>
        <v/>
      </c>
      <c r="AG37">
        <f>AND(OR(D37&lt;&gt;"",E37&lt;&gt;""),F37="No")</f>
        <v/>
      </c>
    </row>
    <row r="38">
      <c r="A38" s="44" t="inlineStr">
        <is>
          <t>GS.7.9</t>
        </is>
      </c>
      <c r="D38" s="27" t="inlineStr">
        <is>
          <t>X</t>
        </is>
      </c>
      <c r="F38" s="47" t="inlineStr">
        <is>
          <t>No</t>
        </is>
      </c>
      <c r="H38">
        <f>AND(B38&lt;&gt;"",C38&lt;&gt;"")</f>
        <v/>
      </c>
      <c r="I38">
        <f>OR(B38&lt;&gt;"",C38&lt;&gt;"")</f>
        <v/>
      </c>
      <c r="J38">
        <f>AND(B38&lt;&gt;"",D38&lt;&gt;"")</f>
        <v/>
      </c>
      <c r="K38">
        <f>OR(B38&lt;&gt;"",D38&lt;&gt;"")</f>
        <v/>
      </c>
      <c r="L38">
        <f>AND(B38&lt;&gt;"",E38&lt;&gt;"")</f>
        <v/>
      </c>
      <c r="M38">
        <f>OR(B38&lt;&gt;"",E38&lt;&gt;"")</f>
        <v/>
      </c>
      <c r="N38">
        <f>AND(C38&lt;&gt;"",D38&lt;&gt;"")</f>
        <v/>
      </c>
      <c r="O38">
        <f>OR(C38&lt;&gt;"",D38&lt;&gt;"")</f>
        <v/>
      </c>
      <c r="P38">
        <f>AND(C38&lt;&gt;"",E38&lt;&gt;"")</f>
        <v/>
      </c>
      <c r="Q38">
        <f>OR(C38&lt;&gt;"",E38&lt;&gt;"")</f>
        <v/>
      </c>
      <c r="R38">
        <f>AND(D38&lt;&gt;"",E38&lt;&gt;"")</f>
        <v/>
      </c>
      <c r="S38">
        <f>OR(D38&lt;&gt;"",E38&lt;&gt;"")</f>
        <v/>
      </c>
      <c r="V38">
        <f>AND(B38&lt;&gt;"",C38&lt;&gt;"",F38="No")</f>
        <v/>
      </c>
      <c r="W38">
        <f>AND(OR(B38&lt;&gt;"",C38&lt;&gt;""),F38="No")</f>
        <v/>
      </c>
      <c r="X38">
        <f>AND(B38&lt;&gt;"",D38&lt;&gt;"",F38="No")</f>
        <v/>
      </c>
      <c r="Y38">
        <f>AND(OR(B38&lt;&gt;"",D38&lt;&gt;""),F38="No")</f>
        <v/>
      </c>
      <c r="Z38">
        <f>AND(B38&lt;&gt;"",E38&lt;&gt;"",F38="No")</f>
        <v/>
      </c>
      <c r="AA38">
        <f>AND(OR(B38&lt;&gt;"",E38&lt;&gt;""),F38="No")</f>
        <v/>
      </c>
      <c r="AB38">
        <f>AND(C38&lt;&gt;"",D38&lt;&gt;"",F38="No")</f>
        <v/>
      </c>
      <c r="AC38">
        <f>AND(OR(C38&lt;&gt;"",D38&lt;&gt;""),F38="No")</f>
        <v/>
      </c>
      <c r="AD38">
        <f>AND(C38&lt;&gt;"",E38&lt;&gt;"",F38="No")</f>
        <v/>
      </c>
      <c r="AE38">
        <f>AND(OR(C38&lt;&gt;"",E38&lt;&gt;""),F38="No")</f>
        <v/>
      </c>
      <c r="AF38">
        <f>AND(D38&lt;&gt;"",E38&lt;&gt;"",F38="No")</f>
        <v/>
      </c>
      <c r="AG38">
        <f>AND(OR(D38&lt;&gt;"",E38&lt;&gt;""),F38="No")</f>
        <v/>
      </c>
    </row>
    <row r="39">
      <c r="A39" t="inlineStr">
        <is>
          <t>L0_ii.7.2</t>
        </is>
      </c>
      <c r="C39" s="27" t="inlineStr">
        <is>
          <t>X</t>
        </is>
      </c>
      <c r="F39" s="47" t="inlineStr">
        <is>
          <t>Yes</t>
        </is>
      </c>
      <c r="H39">
        <f>AND(B39&lt;&gt;"",C39&lt;&gt;"")</f>
        <v/>
      </c>
      <c r="I39">
        <f>OR(B39&lt;&gt;"",C39&lt;&gt;"")</f>
        <v/>
      </c>
      <c r="J39">
        <f>AND(B39&lt;&gt;"",D39&lt;&gt;"")</f>
        <v/>
      </c>
      <c r="K39">
        <f>OR(B39&lt;&gt;"",D39&lt;&gt;"")</f>
        <v/>
      </c>
      <c r="L39">
        <f>AND(B39&lt;&gt;"",E39&lt;&gt;"")</f>
        <v/>
      </c>
      <c r="M39">
        <f>OR(B39&lt;&gt;"",E39&lt;&gt;"")</f>
        <v/>
      </c>
      <c r="N39">
        <f>AND(C39&lt;&gt;"",D39&lt;&gt;"")</f>
        <v/>
      </c>
      <c r="O39">
        <f>OR(C39&lt;&gt;"",D39&lt;&gt;"")</f>
        <v/>
      </c>
      <c r="P39">
        <f>AND(C39&lt;&gt;"",E39&lt;&gt;"")</f>
        <v/>
      </c>
      <c r="Q39">
        <f>OR(C39&lt;&gt;"",E39&lt;&gt;"")</f>
        <v/>
      </c>
      <c r="R39">
        <f>AND(D39&lt;&gt;"",E39&lt;&gt;"")</f>
        <v/>
      </c>
      <c r="S39">
        <f>OR(D39&lt;&gt;"",E39&lt;&gt;"")</f>
        <v/>
      </c>
      <c r="V39">
        <f>AND(B39&lt;&gt;"",C39&lt;&gt;"",F39="No")</f>
        <v/>
      </c>
      <c r="W39">
        <f>AND(OR(B39&lt;&gt;"",C39&lt;&gt;""),F39="No")</f>
        <v/>
      </c>
      <c r="X39">
        <f>AND(B39&lt;&gt;"",D39&lt;&gt;"",F39="No")</f>
        <v/>
      </c>
      <c r="Y39">
        <f>AND(OR(B39&lt;&gt;"",D39&lt;&gt;""),F39="No")</f>
        <v/>
      </c>
      <c r="Z39">
        <f>AND(B39&lt;&gt;"",E39&lt;&gt;"",F39="No")</f>
        <v/>
      </c>
      <c r="AA39">
        <f>AND(OR(B39&lt;&gt;"",E39&lt;&gt;""),F39="No")</f>
        <v/>
      </c>
      <c r="AB39">
        <f>AND(C39&lt;&gt;"",D39&lt;&gt;"",F39="No")</f>
        <v/>
      </c>
      <c r="AC39">
        <f>AND(OR(C39&lt;&gt;"",D39&lt;&gt;""),F39="No")</f>
        <v/>
      </c>
      <c r="AD39">
        <f>AND(C39&lt;&gt;"",E39&lt;&gt;"",F39="No")</f>
        <v/>
      </c>
      <c r="AE39">
        <f>AND(OR(C39&lt;&gt;"",E39&lt;&gt;""),F39="No")</f>
        <v/>
      </c>
      <c r="AF39">
        <f>AND(D39&lt;&gt;"",E39&lt;&gt;"",F39="No")</f>
        <v/>
      </c>
      <c r="AG39">
        <f>AND(OR(D39&lt;&gt;"",E39&lt;&gt;""),F39="No")</f>
        <v/>
      </c>
    </row>
    <row r="40">
      <c r="A40" t="inlineStr">
        <is>
          <t>L0_iii.7.2</t>
        </is>
      </c>
      <c r="D40" s="27" t="inlineStr">
        <is>
          <t>X</t>
        </is>
      </c>
      <c r="F40" s="47" t="inlineStr">
        <is>
          <t>Yes</t>
        </is>
      </c>
      <c r="H40">
        <f>AND(B40&lt;&gt;"",C40&lt;&gt;"")</f>
        <v/>
      </c>
      <c r="I40">
        <f>OR(B40&lt;&gt;"",C40&lt;&gt;"")</f>
        <v/>
      </c>
      <c r="J40">
        <f>AND(B40&lt;&gt;"",D40&lt;&gt;"")</f>
        <v/>
      </c>
      <c r="K40">
        <f>OR(B40&lt;&gt;"",D40&lt;&gt;"")</f>
        <v/>
      </c>
      <c r="L40">
        <f>AND(B40&lt;&gt;"",E40&lt;&gt;"")</f>
        <v/>
      </c>
      <c r="M40">
        <f>OR(B40&lt;&gt;"",E40&lt;&gt;"")</f>
        <v/>
      </c>
      <c r="N40">
        <f>AND(C40&lt;&gt;"",D40&lt;&gt;"")</f>
        <v/>
      </c>
      <c r="O40">
        <f>OR(C40&lt;&gt;"",D40&lt;&gt;"")</f>
        <v/>
      </c>
      <c r="P40">
        <f>AND(C40&lt;&gt;"",E40&lt;&gt;"")</f>
        <v/>
      </c>
      <c r="Q40">
        <f>OR(C40&lt;&gt;"",E40&lt;&gt;"")</f>
        <v/>
      </c>
      <c r="R40">
        <f>AND(D40&lt;&gt;"",E40&lt;&gt;"")</f>
        <v/>
      </c>
      <c r="S40">
        <f>OR(D40&lt;&gt;"",E40&lt;&gt;"")</f>
        <v/>
      </c>
      <c r="V40">
        <f>AND(B40&lt;&gt;"",C40&lt;&gt;"",F40="No")</f>
        <v/>
      </c>
      <c r="W40">
        <f>AND(OR(B40&lt;&gt;"",C40&lt;&gt;""),F40="No")</f>
        <v/>
      </c>
      <c r="X40">
        <f>AND(B40&lt;&gt;"",D40&lt;&gt;"",F40="No")</f>
        <v/>
      </c>
      <c r="Y40">
        <f>AND(OR(B40&lt;&gt;"",D40&lt;&gt;""),F40="No")</f>
        <v/>
      </c>
      <c r="Z40">
        <f>AND(B40&lt;&gt;"",E40&lt;&gt;"",F40="No")</f>
        <v/>
      </c>
      <c r="AA40">
        <f>AND(OR(B40&lt;&gt;"",E40&lt;&gt;""),F40="No")</f>
        <v/>
      </c>
      <c r="AB40">
        <f>AND(C40&lt;&gt;"",D40&lt;&gt;"",F40="No")</f>
        <v/>
      </c>
      <c r="AC40">
        <f>AND(OR(C40&lt;&gt;"",D40&lt;&gt;""),F40="No")</f>
        <v/>
      </c>
      <c r="AD40">
        <f>AND(C40&lt;&gt;"",E40&lt;&gt;"",F40="No")</f>
        <v/>
      </c>
      <c r="AE40">
        <f>AND(OR(C40&lt;&gt;"",E40&lt;&gt;""),F40="No")</f>
        <v/>
      </c>
      <c r="AF40">
        <f>AND(D40&lt;&gt;"",E40&lt;&gt;"",F40="No")</f>
        <v/>
      </c>
      <c r="AG40">
        <f>AND(OR(D40&lt;&gt;"",E40&lt;&gt;""),F40="No")</f>
        <v/>
      </c>
    </row>
    <row r="41">
      <c r="A41" t="inlineStr">
        <is>
          <t>L0_iii.7.5</t>
        </is>
      </c>
      <c r="D41" s="27" t="inlineStr">
        <is>
          <t>X</t>
        </is>
      </c>
      <c r="F41" s="47" t="inlineStr">
        <is>
          <t>Yes</t>
        </is>
      </c>
      <c r="H41">
        <f>AND(B41&lt;&gt;"",C41&lt;&gt;"")</f>
        <v/>
      </c>
      <c r="I41">
        <f>OR(B41&lt;&gt;"",C41&lt;&gt;"")</f>
        <v/>
      </c>
      <c r="J41">
        <f>AND(B41&lt;&gt;"",D41&lt;&gt;"")</f>
        <v/>
      </c>
      <c r="K41">
        <f>OR(B41&lt;&gt;"",D41&lt;&gt;"")</f>
        <v/>
      </c>
      <c r="L41">
        <f>AND(B41&lt;&gt;"",E41&lt;&gt;"")</f>
        <v/>
      </c>
      <c r="M41">
        <f>OR(B41&lt;&gt;"",E41&lt;&gt;"")</f>
        <v/>
      </c>
      <c r="N41">
        <f>AND(C41&lt;&gt;"",D41&lt;&gt;"")</f>
        <v/>
      </c>
      <c r="O41">
        <f>OR(C41&lt;&gt;"",D41&lt;&gt;"")</f>
        <v/>
      </c>
      <c r="P41">
        <f>AND(C41&lt;&gt;"",E41&lt;&gt;"")</f>
        <v/>
      </c>
      <c r="Q41">
        <f>OR(C41&lt;&gt;"",E41&lt;&gt;"")</f>
        <v/>
      </c>
      <c r="R41">
        <f>AND(D41&lt;&gt;"",E41&lt;&gt;"")</f>
        <v/>
      </c>
      <c r="S41">
        <f>OR(D41&lt;&gt;"",E41&lt;&gt;"")</f>
        <v/>
      </c>
      <c r="V41">
        <f>AND(B41&lt;&gt;"",C41&lt;&gt;"",F41="No")</f>
        <v/>
      </c>
      <c r="W41">
        <f>AND(OR(B41&lt;&gt;"",C41&lt;&gt;""),F41="No")</f>
        <v/>
      </c>
      <c r="X41">
        <f>AND(B41&lt;&gt;"",D41&lt;&gt;"",F41="No")</f>
        <v/>
      </c>
      <c r="Y41">
        <f>AND(OR(B41&lt;&gt;"",D41&lt;&gt;""),F41="No")</f>
        <v/>
      </c>
      <c r="Z41">
        <f>AND(B41&lt;&gt;"",E41&lt;&gt;"",F41="No")</f>
        <v/>
      </c>
      <c r="AA41">
        <f>AND(OR(B41&lt;&gt;"",E41&lt;&gt;""),F41="No")</f>
        <v/>
      </c>
      <c r="AB41">
        <f>AND(C41&lt;&gt;"",D41&lt;&gt;"",F41="No")</f>
        <v/>
      </c>
      <c r="AC41">
        <f>AND(OR(C41&lt;&gt;"",D41&lt;&gt;""),F41="No")</f>
        <v/>
      </c>
      <c r="AD41">
        <f>AND(C41&lt;&gt;"",E41&lt;&gt;"",F41="No")</f>
        <v/>
      </c>
      <c r="AE41">
        <f>AND(OR(C41&lt;&gt;"",E41&lt;&gt;""),F41="No")</f>
        <v/>
      </c>
      <c r="AF41">
        <f>AND(D41&lt;&gt;"",E41&lt;&gt;"",F41="No")</f>
        <v/>
      </c>
      <c r="AG41">
        <f>AND(OR(D41&lt;&gt;"",E41&lt;&gt;""),F41="No")</f>
        <v/>
      </c>
    </row>
    <row r="42">
      <c r="A42" t="inlineStr">
        <is>
          <t>L0_iii.7.8</t>
        </is>
      </c>
      <c r="D42" s="27" t="inlineStr">
        <is>
          <t>X</t>
        </is>
      </c>
      <c r="F42" s="47" t="inlineStr">
        <is>
          <t>Yes</t>
        </is>
      </c>
      <c r="H42">
        <f>AND(B42&lt;&gt;"",C42&lt;&gt;"")</f>
        <v/>
      </c>
      <c r="I42">
        <f>OR(B42&lt;&gt;"",C42&lt;&gt;"")</f>
        <v/>
      </c>
      <c r="J42">
        <f>AND(B42&lt;&gt;"",D42&lt;&gt;"")</f>
        <v/>
      </c>
      <c r="K42">
        <f>OR(B42&lt;&gt;"",D42&lt;&gt;"")</f>
        <v/>
      </c>
      <c r="L42">
        <f>AND(B42&lt;&gt;"",E42&lt;&gt;"")</f>
        <v/>
      </c>
      <c r="M42">
        <f>OR(B42&lt;&gt;"",E42&lt;&gt;"")</f>
        <v/>
      </c>
      <c r="N42">
        <f>AND(C42&lt;&gt;"",D42&lt;&gt;"")</f>
        <v/>
      </c>
      <c r="O42">
        <f>OR(C42&lt;&gt;"",D42&lt;&gt;"")</f>
        <v/>
      </c>
      <c r="P42">
        <f>AND(C42&lt;&gt;"",E42&lt;&gt;"")</f>
        <v/>
      </c>
      <c r="Q42">
        <f>OR(C42&lt;&gt;"",E42&lt;&gt;"")</f>
        <v/>
      </c>
      <c r="R42">
        <f>AND(D42&lt;&gt;"",E42&lt;&gt;"")</f>
        <v/>
      </c>
      <c r="S42">
        <f>OR(D42&lt;&gt;"",E42&lt;&gt;"")</f>
        <v/>
      </c>
      <c r="V42">
        <f>AND(B42&lt;&gt;"",C42&lt;&gt;"",F42="No")</f>
        <v/>
      </c>
      <c r="W42">
        <f>AND(OR(B42&lt;&gt;"",C42&lt;&gt;""),F42="No")</f>
        <v/>
      </c>
      <c r="X42">
        <f>AND(B42&lt;&gt;"",D42&lt;&gt;"",F42="No")</f>
        <v/>
      </c>
      <c r="Y42">
        <f>AND(OR(B42&lt;&gt;"",D42&lt;&gt;""),F42="No")</f>
        <v/>
      </c>
      <c r="Z42">
        <f>AND(B42&lt;&gt;"",E42&lt;&gt;"",F42="No")</f>
        <v/>
      </c>
      <c r="AA42">
        <f>AND(OR(B42&lt;&gt;"",E42&lt;&gt;""),F42="No")</f>
        <v/>
      </c>
      <c r="AB42">
        <f>AND(C42&lt;&gt;"",D42&lt;&gt;"",F42="No")</f>
        <v/>
      </c>
      <c r="AC42">
        <f>AND(OR(C42&lt;&gt;"",D42&lt;&gt;""),F42="No")</f>
        <v/>
      </c>
      <c r="AD42">
        <f>AND(C42&lt;&gt;"",E42&lt;&gt;"",F42="No")</f>
        <v/>
      </c>
      <c r="AE42">
        <f>AND(OR(C42&lt;&gt;"",E42&lt;&gt;""),F42="No")</f>
        <v/>
      </c>
      <c r="AF42">
        <f>AND(D42&lt;&gt;"",E42&lt;&gt;"",F42="No")</f>
        <v/>
      </c>
      <c r="AG42">
        <f>AND(OR(D42&lt;&gt;"",E42&lt;&gt;""),F42="No")</f>
        <v/>
      </c>
    </row>
    <row r="43">
      <c r="A43" s="44" t="inlineStr">
        <is>
          <t>H.8.1</t>
        </is>
      </c>
      <c r="B43" s="27" t="inlineStr">
        <is>
          <t>X</t>
        </is>
      </c>
      <c r="C43" s="27" t="inlineStr">
        <is>
          <t>X</t>
        </is>
      </c>
      <c r="D43" s="27" t="inlineStr">
        <is>
          <t>X</t>
        </is>
      </c>
      <c r="E43" s="27" t="inlineStr">
        <is>
          <t>X</t>
        </is>
      </c>
      <c r="F43" s="47" t="inlineStr">
        <is>
          <t>No</t>
        </is>
      </c>
      <c r="H43">
        <f>AND(B43&lt;&gt;"",C43&lt;&gt;"")</f>
        <v/>
      </c>
      <c r="I43">
        <f>OR(B43&lt;&gt;"",C43&lt;&gt;"")</f>
        <v/>
      </c>
      <c r="J43">
        <f>AND(B43&lt;&gt;"",D43&lt;&gt;"")</f>
        <v/>
      </c>
      <c r="K43">
        <f>OR(B43&lt;&gt;"",D43&lt;&gt;"")</f>
        <v/>
      </c>
      <c r="L43">
        <f>AND(B43&lt;&gt;"",E43&lt;&gt;"")</f>
        <v/>
      </c>
      <c r="M43">
        <f>OR(B43&lt;&gt;"",E43&lt;&gt;"")</f>
        <v/>
      </c>
      <c r="N43">
        <f>AND(C43&lt;&gt;"",D43&lt;&gt;"")</f>
        <v/>
      </c>
      <c r="O43">
        <f>OR(C43&lt;&gt;"",D43&lt;&gt;"")</f>
        <v/>
      </c>
      <c r="P43">
        <f>AND(C43&lt;&gt;"",E43&lt;&gt;"")</f>
        <v/>
      </c>
      <c r="Q43">
        <f>OR(C43&lt;&gt;"",E43&lt;&gt;"")</f>
        <v/>
      </c>
      <c r="R43">
        <f>AND(D43&lt;&gt;"",E43&lt;&gt;"")</f>
        <v/>
      </c>
      <c r="S43">
        <f>OR(D43&lt;&gt;"",E43&lt;&gt;"")</f>
        <v/>
      </c>
      <c r="V43">
        <f>AND(B43&lt;&gt;"",C43&lt;&gt;"",F43="No")</f>
        <v/>
      </c>
      <c r="W43">
        <f>AND(OR(B43&lt;&gt;"",C43&lt;&gt;""),F43="No")</f>
        <v/>
      </c>
      <c r="X43">
        <f>AND(B43&lt;&gt;"",D43&lt;&gt;"",F43="No")</f>
        <v/>
      </c>
      <c r="Y43">
        <f>AND(OR(B43&lt;&gt;"",D43&lt;&gt;""),F43="No")</f>
        <v/>
      </c>
      <c r="Z43">
        <f>AND(B43&lt;&gt;"",E43&lt;&gt;"",F43="No")</f>
        <v/>
      </c>
      <c r="AA43">
        <f>AND(OR(B43&lt;&gt;"",E43&lt;&gt;""),F43="No")</f>
        <v/>
      </c>
      <c r="AB43">
        <f>AND(C43&lt;&gt;"",D43&lt;&gt;"",F43="No")</f>
        <v/>
      </c>
      <c r="AC43">
        <f>AND(OR(C43&lt;&gt;"",D43&lt;&gt;""),F43="No")</f>
        <v/>
      </c>
      <c r="AD43">
        <f>AND(C43&lt;&gt;"",E43&lt;&gt;"",F43="No")</f>
        <v/>
      </c>
      <c r="AE43">
        <f>AND(OR(C43&lt;&gt;"",E43&lt;&gt;""),F43="No")</f>
        <v/>
      </c>
      <c r="AF43">
        <f>AND(D43&lt;&gt;"",E43&lt;&gt;"",F43="No")</f>
        <v/>
      </c>
      <c r="AG43">
        <f>AND(OR(D43&lt;&gt;"",E43&lt;&gt;""),F43="No")</f>
        <v/>
      </c>
    </row>
    <row r="44">
      <c r="A44" s="44" t="inlineStr">
        <is>
          <t>GS.8.2</t>
        </is>
      </c>
      <c r="B44" s="27" t="inlineStr">
        <is>
          <t>X</t>
        </is>
      </c>
      <c r="C44" s="27" t="inlineStr">
        <is>
          <t>X</t>
        </is>
      </c>
      <c r="D44" s="27" t="inlineStr">
        <is>
          <t>X</t>
        </is>
      </c>
      <c r="E44" s="27" t="inlineStr">
        <is>
          <t>X</t>
        </is>
      </c>
      <c r="F44" s="47" t="inlineStr">
        <is>
          <t>No</t>
        </is>
      </c>
      <c r="H44">
        <f>AND(B44&lt;&gt;"",C44&lt;&gt;"")</f>
        <v/>
      </c>
      <c r="I44">
        <f>OR(B44&lt;&gt;"",C44&lt;&gt;"")</f>
        <v/>
      </c>
      <c r="J44">
        <f>AND(B44&lt;&gt;"",D44&lt;&gt;"")</f>
        <v/>
      </c>
      <c r="K44">
        <f>OR(B44&lt;&gt;"",D44&lt;&gt;"")</f>
        <v/>
      </c>
      <c r="L44">
        <f>AND(B44&lt;&gt;"",E44&lt;&gt;"")</f>
        <v/>
      </c>
      <c r="M44">
        <f>OR(B44&lt;&gt;"",E44&lt;&gt;"")</f>
        <v/>
      </c>
      <c r="N44">
        <f>AND(C44&lt;&gt;"",D44&lt;&gt;"")</f>
        <v/>
      </c>
      <c r="O44">
        <f>OR(C44&lt;&gt;"",D44&lt;&gt;"")</f>
        <v/>
      </c>
      <c r="P44">
        <f>AND(C44&lt;&gt;"",E44&lt;&gt;"")</f>
        <v/>
      </c>
      <c r="Q44">
        <f>OR(C44&lt;&gt;"",E44&lt;&gt;"")</f>
        <v/>
      </c>
      <c r="R44">
        <f>AND(D44&lt;&gt;"",E44&lt;&gt;"")</f>
        <v/>
      </c>
      <c r="S44">
        <f>OR(D44&lt;&gt;"",E44&lt;&gt;"")</f>
        <v/>
      </c>
      <c r="V44">
        <f>AND(B44&lt;&gt;"",C44&lt;&gt;"",F44="No")</f>
        <v/>
      </c>
      <c r="W44">
        <f>AND(OR(B44&lt;&gt;"",C44&lt;&gt;""),F44="No")</f>
        <v/>
      </c>
      <c r="X44">
        <f>AND(B44&lt;&gt;"",D44&lt;&gt;"",F44="No")</f>
        <v/>
      </c>
      <c r="Y44">
        <f>AND(OR(B44&lt;&gt;"",D44&lt;&gt;""),F44="No")</f>
        <v/>
      </c>
      <c r="Z44">
        <f>AND(B44&lt;&gt;"",E44&lt;&gt;"",F44="No")</f>
        <v/>
      </c>
      <c r="AA44">
        <f>AND(OR(B44&lt;&gt;"",E44&lt;&gt;""),F44="No")</f>
        <v/>
      </c>
      <c r="AB44">
        <f>AND(C44&lt;&gt;"",D44&lt;&gt;"",F44="No")</f>
        <v/>
      </c>
      <c r="AC44">
        <f>AND(OR(C44&lt;&gt;"",D44&lt;&gt;""),F44="No")</f>
        <v/>
      </c>
      <c r="AD44">
        <f>AND(C44&lt;&gt;"",E44&lt;&gt;"",F44="No")</f>
        <v/>
      </c>
      <c r="AE44">
        <f>AND(OR(C44&lt;&gt;"",E44&lt;&gt;""),F44="No")</f>
        <v/>
      </c>
      <c r="AF44">
        <f>AND(D44&lt;&gt;"",E44&lt;&gt;"",F44="No")</f>
        <v/>
      </c>
      <c r="AG44">
        <f>AND(OR(D44&lt;&gt;"",E44&lt;&gt;""),F44="No")</f>
        <v/>
      </c>
    </row>
    <row r="45">
      <c r="A45" t="inlineStr">
        <is>
          <t>L0_iii.8.5</t>
        </is>
      </c>
      <c r="D45" s="27" t="inlineStr">
        <is>
          <t>X</t>
        </is>
      </c>
      <c r="F45" s="47" t="inlineStr">
        <is>
          <t>Yes</t>
        </is>
      </c>
      <c r="H45">
        <f>AND(B45&lt;&gt;"",C45&lt;&gt;"")</f>
        <v/>
      </c>
      <c r="I45">
        <f>OR(B45&lt;&gt;"",C45&lt;&gt;"")</f>
        <v/>
      </c>
      <c r="J45">
        <f>AND(B45&lt;&gt;"",D45&lt;&gt;"")</f>
        <v/>
      </c>
      <c r="K45">
        <f>OR(B45&lt;&gt;"",D45&lt;&gt;"")</f>
        <v/>
      </c>
      <c r="L45">
        <f>AND(B45&lt;&gt;"",E45&lt;&gt;"")</f>
        <v/>
      </c>
      <c r="M45">
        <f>OR(B45&lt;&gt;"",E45&lt;&gt;"")</f>
        <v/>
      </c>
      <c r="N45">
        <f>AND(C45&lt;&gt;"",D45&lt;&gt;"")</f>
        <v/>
      </c>
      <c r="O45">
        <f>OR(C45&lt;&gt;"",D45&lt;&gt;"")</f>
        <v/>
      </c>
      <c r="P45">
        <f>AND(C45&lt;&gt;"",E45&lt;&gt;"")</f>
        <v/>
      </c>
      <c r="Q45">
        <f>OR(C45&lt;&gt;"",E45&lt;&gt;"")</f>
        <v/>
      </c>
      <c r="R45">
        <f>AND(D45&lt;&gt;"",E45&lt;&gt;"")</f>
        <v/>
      </c>
      <c r="S45">
        <f>OR(D45&lt;&gt;"",E45&lt;&gt;"")</f>
        <v/>
      </c>
      <c r="V45">
        <f>AND(B45&lt;&gt;"",C45&lt;&gt;"",F45="No")</f>
        <v/>
      </c>
      <c r="W45">
        <f>AND(OR(B45&lt;&gt;"",C45&lt;&gt;""),F45="No")</f>
        <v/>
      </c>
      <c r="X45">
        <f>AND(B45&lt;&gt;"",D45&lt;&gt;"",F45="No")</f>
        <v/>
      </c>
      <c r="Y45">
        <f>AND(OR(B45&lt;&gt;"",D45&lt;&gt;""),F45="No")</f>
        <v/>
      </c>
      <c r="Z45">
        <f>AND(B45&lt;&gt;"",E45&lt;&gt;"",F45="No")</f>
        <v/>
      </c>
      <c r="AA45">
        <f>AND(OR(B45&lt;&gt;"",E45&lt;&gt;""),F45="No")</f>
        <v/>
      </c>
      <c r="AB45">
        <f>AND(C45&lt;&gt;"",D45&lt;&gt;"",F45="No")</f>
        <v/>
      </c>
      <c r="AC45">
        <f>AND(OR(C45&lt;&gt;"",D45&lt;&gt;""),F45="No")</f>
        <v/>
      </c>
      <c r="AD45">
        <f>AND(C45&lt;&gt;"",E45&lt;&gt;"",F45="No")</f>
        <v/>
      </c>
      <c r="AE45">
        <f>AND(OR(C45&lt;&gt;"",E45&lt;&gt;""),F45="No")</f>
        <v/>
      </c>
      <c r="AF45">
        <f>AND(D45&lt;&gt;"",E45&lt;&gt;"",F45="No")</f>
        <v/>
      </c>
      <c r="AG45">
        <f>AND(OR(D45&lt;&gt;"",E45&lt;&gt;""),F45="No")</f>
        <v/>
      </c>
    </row>
    <row r="46">
      <c r="A46" s="44" t="inlineStr">
        <is>
          <t>H.9.1</t>
        </is>
      </c>
      <c r="B46" s="27" t="inlineStr">
        <is>
          <t>X</t>
        </is>
      </c>
      <c r="C46" s="27" t="inlineStr">
        <is>
          <t>X</t>
        </is>
      </c>
      <c r="D46" s="27" t="inlineStr">
        <is>
          <t>X</t>
        </is>
      </c>
      <c r="E46" s="27" t="inlineStr">
        <is>
          <t>X</t>
        </is>
      </c>
      <c r="F46" s="47" t="inlineStr">
        <is>
          <t>No</t>
        </is>
      </c>
      <c r="H46">
        <f>AND(B46&lt;&gt;"",C46&lt;&gt;"")</f>
        <v/>
      </c>
      <c r="I46">
        <f>OR(B46&lt;&gt;"",C46&lt;&gt;"")</f>
        <v/>
      </c>
      <c r="J46">
        <f>AND(B46&lt;&gt;"",D46&lt;&gt;"")</f>
        <v/>
      </c>
      <c r="K46">
        <f>OR(B46&lt;&gt;"",D46&lt;&gt;"")</f>
        <v/>
      </c>
      <c r="L46">
        <f>AND(B46&lt;&gt;"",E46&lt;&gt;"")</f>
        <v/>
      </c>
      <c r="M46">
        <f>OR(B46&lt;&gt;"",E46&lt;&gt;"")</f>
        <v/>
      </c>
      <c r="N46">
        <f>AND(C46&lt;&gt;"",D46&lt;&gt;"")</f>
        <v/>
      </c>
      <c r="O46">
        <f>OR(C46&lt;&gt;"",D46&lt;&gt;"")</f>
        <v/>
      </c>
      <c r="P46">
        <f>AND(C46&lt;&gt;"",E46&lt;&gt;"")</f>
        <v/>
      </c>
      <c r="Q46">
        <f>OR(C46&lt;&gt;"",E46&lt;&gt;"")</f>
        <v/>
      </c>
      <c r="R46">
        <f>AND(D46&lt;&gt;"",E46&lt;&gt;"")</f>
        <v/>
      </c>
      <c r="S46">
        <f>OR(D46&lt;&gt;"",E46&lt;&gt;"")</f>
        <v/>
      </c>
      <c r="V46">
        <f>AND(B46&lt;&gt;"",C46&lt;&gt;"",F46="No")</f>
        <v/>
      </c>
      <c r="W46">
        <f>AND(OR(B46&lt;&gt;"",C46&lt;&gt;""),F46="No")</f>
        <v/>
      </c>
      <c r="X46">
        <f>AND(B46&lt;&gt;"",D46&lt;&gt;"",F46="No")</f>
        <v/>
      </c>
      <c r="Y46">
        <f>AND(OR(B46&lt;&gt;"",D46&lt;&gt;""),F46="No")</f>
        <v/>
      </c>
      <c r="Z46">
        <f>AND(B46&lt;&gt;"",E46&lt;&gt;"",F46="No")</f>
        <v/>
      </c>
      <c r="AA46">
        <f>AND(OR(B46&lt;&gt;"",E46&lt;&gt;""),F46="No")</f>
        <v/>
      </c>
      <c r="AB46">
        <f>AND(C46&lt;&gt;"",D46&lt;&gt;"",F46="No")</f>
        <v/>
      </c>
      <c r="AC46">
        <f>AND(OR(C46&lt;&gt;"",D46&lt;&gt;""),F46="No")</f>
        <v/>
      </c>
      <c r="AD46">
        <f>AND(C46&lt;&gt;"",E46&lt;&gt;"",F46="No")</f>
        <v/>
      </c>
      <c r="AE46">
        <f>AND(OR(C46&lt;&gt;"",E46&lt;&gt;""),F46="No")</f>
        <v/>
      </c>
      <c r="AF46">
        <f>AND(D46&lt;&gt;"",E46&lt;&gt;"",F46="No")</f>
        <v/>
      </c>
      <c r="AG46">
        <f>AND(OR(D46&lt;&gt;"",E46&lt;&gt;""),F46="No")</f>
        <v/>
      </c>
    </row>
    <row r="47">
      <c r="A47" s="44" t="inlineStr">
        <is>
          <t>H.9.2</t>
        </is>
      </c>
      <c r="B47" s="27" t="inlineStr">
        <is>
          <t>X</t>
        </is>
      </c>
      <c r="C47" s="27" t="inlineStr">
        <is>
          <t>X</t>
        </is>
      </c>
      <c r="D47" s="27" t="inlineStr">
        <is>
          <t>X</t>
        </is>
      </c>
      <c r="E47" s="27" t="inlineStr">
        <is>
          <t>X</t>
        </is>
      </c>
      <c r="F47" s="47" t="inlineStr">
        <is>
          <t>No</t>
        </is>
      </c>
      <c r="H47">
        <f>AND(B47&lt;&gt;"",C47&lt;&gt;"")</f>
        <v/>
      </c>
      <c r="I47">
        <f>OR(B47&lt;&gt;"",C47&lt;&gt;"")</f>
        <v/>
      </c>
      <c r="J47">
        <f>AND(B47&lt;&gt;"",D47&lt;&gt;"")</f>
        <v/>
      </c>
      <c r="K47">
        <f>OR(B47&lt;&gt;"",D47&lt;&gt;"")</f>
        <v/>
      </c>
      <c r="L47">
        <f>AND(B47&lt;&gt;"",E47&lt;&gt;"")</f>
        <v/>
      </c>
      <c r="M47">
        <f>OR(B47&lt;&gt;"",E47&lt;&gt;"")</f>
        <v/>
      </c>
      <c r="N47">
        <f>AND(C47&lt;&gt;"",D47&lt;&gt;"")</f>
        <v/>
      </c>
      <c r="O47">
        <f>OR(C47&lt;&gt;"",D47&lt;&gt;"")</f>
        <v/>
      </c>
      <c r="P47">
        <f>AND(C47&lt;&gt;"",E47&lt;&gt;"")</f>
        <v/>
      </c>
      <c r="Q47">
        <f>OR(C47&lt;&gt;"",E47&lt;&gt;"")</f>
        <v/>
      </c>
      <c r="R47">
        <f>AND(D47&lt;&gt;"",E47&lt;&gt;"")</f>
        <v/>
      </c>
      <c r="S47">
        <f>OR(D47&lt;&gt;"",E47&lt;&gt;"")</f>
        <v/>
      </c>
      <c r="V47">
        <f>AND(B47&lt;&gt;"",C47&lt;&gt;"",F47="No")</f>
        <v/>
      </c>
      <c r="W47">
        <f>AND(OR(B47&lt;&gt;"",C47&lt;&gt;""),F47="No")</f>
        <v/>
      </c>
      <c r="X47">
        <f>AND(B47&lt;&gt;"",D47&lt;&gt;"",F47="No")</f>
        <v/>
      </c>
      <c r="Y47">
        <f>AND(OR(B47&lt;&gt;"",D47&lt;&gt;""),F47="No")</f>
        <v/>
      </c>
      <c r="Z47">
        <f>AND(B47&lt;&gt;"",E47&lt;&gt;"",F47="No")</f>
        <v/>
      </c>
      <c r="AA47">
        <f>AND(OR(B47&lt;&gt;"",E47&lt;&gt;""),F47="No")</f>
        <v/>
      </c>
      <c r="AB47">
        <f>AND(C47&lt;&gt;"",D47&lt;&gt;"",F47="No")</f>
        <v/>
      </c>
      <c r="AC47">
        <f>AND(OR(C47&lt;&gt;"",D47&lt;&gt;""),F47="No")</f>
        <v/>
      </c>
      <c r="AD47">
        <f>AND(C47&lt;&gt;"",E47&lt;&gt;"",F47="No")</f>
        <v/>
      </c>
      <c r="AE47">
        <f>AND(OR(C47&lt;&gt;"",E47&lt;&gt;""),F47="No")</f>
        <v/>
      </c>
      <c r="AF47">
        <f>AND(D47&lt;&gt;"",E47&lt;&gt;"",F47="No")</f>
        <v/>
      </c>
      <c r="AG47">
        <f>AND(OR(D47&lt;&gt;"",E47&lt;&gt;""),F47="No")</f>
        <v/>
      </c>
    </row>
    <row r="48">
      <c r="A48" s="44" t="inlineStr">
        <is>
          <t>H.9.3</t>
        </is>
      </c>
      <c r="B48" s="27" t="inlineStr">
        <is>
          <t>X</t>
        </is>
      </c>
      <c r="C48" s="27" t="inlineStr">
        <is>
          <t>X</t>
        </is>
      </c>
      <c r="D48" s="27" t="inlineStr">
        <is>
          <t>X</t>
        </is>
      </c>
      <c r="E48" s="27" t="inlineStr">
        <is>
          <t>X</t>
        </is>
      </c>
      <c r="F48" s="47" t="inlineStr">
        <is>
          <t>No</t>
        </is>
      </c>
      <c r="H48">
        <f>AND(B48&lt;&gt;"",C48&lt;&gt;"")</f>
        <v/>
      </c>
      <c r="I48">
        <f>OR(B48&lt;&gt;"",C48&lt;&gt;"")</f>
        <v/>
      </c>
      <c r="J48">
        <f>AND(B48&lt;&gt;"",D48&lt;&gt;"")</f>
        <v/>
      </c>
      <c r="K48">
        <f>OR(B48&lt;&gt;"",D48&lt;&gt;"")</f>
        <v/>
      </c>
      <c r="L48">
        <f>AND(B48&lt;&gt;"",E48&lt;&gt;"")</f>
        <v/>
      </c>
      <c r="M48">
        <f>OR(B48&lt;&gt;"",E48&lt;&gt;"")</f>
        <v/>
      </c>
      <c r="N48">
        <f>AND(C48&lt;&gt;"",D48&lt;&gt;"")</f>
        <v/>
      </c>
      <c r="O48">
        <f>OR(C48&lt;&gt;"",D48&lt;&gt;"")</f>
        <v/>
      </c>
      <c r="P48">
        <f>AND(C48&lt;&gt;"",E48&lt;&gt;"")</f>
        <v/>
      </c>
      <c r="Q48">
        <f>OR(C48&lt;&gt;"",E48&lt;&gt;"")</f>
        <v/>
      </c>
      <c r="R48">
        <f>AND(D48&lt;&gt;"",E48&lt;&gt;"")</f>
        <v/>
      </c>
      <c r="S48">
        <f>OR(D48&lt;&gt;"",E48&lt;&gt;"")</f>
        <v/>
      </c>
      <c r="V48">
        <f>AND(B48&lt;&gt;"",C48&lt;&gt;"",F48="No")</f>
        <v/>
      </c>
      <c r="W48">
        <f>AND(OR(B48&lt;&gt;"",C48&lt;&gt;""),F48="No")</f>
        <v/>
      </c>
      <c r="X48">
        <f>AND(B48&lt;&gt;"",D48&lt;&gt;"",F48="No")</f>
        <v/>
      </c>
      <c r="Y48">
        <f>AND(OR(B48&lt;&gt;"",D48&lt;&gt;""),F48="No")</f>
        <v/>
      </c>
      <c r="Z48">
        <f>AND(B48&lt;&gt;"",E48&lt;&gt;"",F48="No")</f>
        <v/>
      </c>
      <c r="AA48">
        <f>AND(OR(B48&lt;&gt;"",E48&lt;&gt;""),F48="No")</f>
        <v/>
      </c>
      <c r="AB48">
        <f>AND(C48&lt;&gt;"",D48&lt;&gt;"",F48="No")</f>
        <v/>
      </c>
      <c r="AC48">
        <f>AND(OR(C48&lt;&gt;"",D48&lt;&gt;""),F48="No")</f>
        <v/>
      </c>
      <c r="AD48">
        <f>AND(C48&lt;&gt;"",E48&lt;&gt;"",F48="No")</f>
        <v/>
      </c>
      <c r="AE48">
        <f>AND(OR(C48&lt;&gt;"",E48&lt;&gt;""),F48="No")</f>
        <v/>
      </c>
      <c r="AF48">
        <f>AND(D48&lt;&gt;"",E48&lt;&gt;"",F48="No")</f>
        <v/>
      </c>
      <c r="AG48">
        <f>AND(OR(D48&lt;&gt;"",E48&lt;&gt;""),F48="No")</f>
        <v/>
      </c>
    </row>
    <row r="49">
      <c r="A49" s="44" t="inlineStr">
        <is>
          <t>GS.9.4</t>
        </is>
      </c>
      <c r="B49" s="27" t="inlineStr">
        <is>
          <t>X</t>
        </is>
      </c>
      <c r="C49" s="27" t="inlineStr">
        <is>
          <t>X</t>
        </is>
      </c>
      <c r="D49" s="27" t="inlineStr">
        <is>
          <t>X</t>
        </is>
      </c>
      <c r="E49" s="27" t="inlineStr">
        <is>
          <t>X</t>
        </is>
      </c>
      <c r="F49" s="47" t="inlineStr">
        <is>
          <t>No</t>
        </is>
      </c>
      <c r="H49">
        <f>AND(B49&lt;&gt;"",C49&lt;&gt;"")</f>
        <v/>
      </c>
      <c r="I49">
        <f>OR(B49&lt;&gt;"",C49&lt;&gt;"")</f>
        <v/>
      </c>
      <c r="J49">
        <f>AND(B49&lt;&gt;"",D49&lt;&gt;"")</f>
        <v/>
      </c>
      <c r="K49">
        <f>OR(B49&lt;&gt;"",D49&lt;&gt;"")</f>
        <v/>
      </c>
      <c r="L49">
        <f>AND(B49&lt;&gt;"",E49&lt;&gt;"")</f>
        <v/>
      </c>
      <c r="M49">
        <f>OR(B49&lt;&gt;"",E49&lt;&gt;"")</f>
        <v/>
      </c>
      <c r="N49">
        <f>AND(C49&lt;&gt;"",D49&lt;&gt;"")</f>
        <v/>
      </c>
      <c r="O49">
        <f>OR(C49&lt;&gt;"",D49&lt;&gt;"")</f>
        <v/>
      </c>
      <c r="P49">
        <f>AND(C49&lt;&gt;"",E49&lt;&gt;"")</f>
        <v/>
      </c>
      <c r="Q49">
        <f>OR(C49&lt;&gt;"",E49&lt;&gt;"")</f>
        <v/>
      </c>
      <c r="R49">
        <f>AND(D49&lt;&gt;"",E49&lt;&gt;"")</f>
        <v/>
      </c>
      <c r="S49">
        <f>OR(D49&lt;&gt;"",E49&lt;&gt;"")</f>
        <v/>
      </c>
      <c r="V49">
        <f>AND(B49&lt;&gt;"",C49&lt;&gt;"",F49="No")</f>
        <v/>
      </c>
      <c r="W49">
        <f>AND(OR(B49&lt;&gt;"",C49&lt;&gt;""),F49="No")</f>
        <v/>
      </c>
      <c r="X49">
        <f>AND(B49&lt;&gt;"",D49&lt;&gt;"",F49="No")</f>
        <v/>
      </c>
      <c r="Y49">
        <f>AND(OR(B49&lt;&gt;"",D49&lt;&gt;""),F49="No")</f>
        <v/>
      </c>
      <c r="Z49">
        <f>AND(B49&lt;&gt;"",E49&lt;&gt;"",F49="No")</f>
        <v/>
      </c>
      <c r="AA49">
        <f>AND(OR(B49&lt;&gt;"",E49&lt;&gt;""),F49="No")</f>
        <v/>
      </c>
      <c r="AB49">
        <f>AND(C49&lt;&gt;"",D49&lt;&gt;"",F49="No")</f>
        <v/>
      </c>
      <c r="AC49">
        <f>AND(OR(C49&lt;&gt;"",D49&lt;&gt;""),F49="No")</f>
        <v/>
      </c>
      <c r="AD49">
        <f>AND(C49&lt;&gt;"",E49&lt;&gt;"",F49="No")</f>
        <v/>
      </c>
      <c r="AE49">
        <f>AND(OR(C49&lt;&gt;"",E49&lt;&gt;""),F49="No")</f>
        <v/>
      </c>
      <c r="AF49">
        <f>AND(D49&lt;&gt;"",E49&lt;&gt;"",F49="No")</f>
        <v/>
      </c>
      <c r="AG49">
        <f>AND(OR(D49&lt;&gt;"",E49&lt;&gt;""),F49="No")</f>
        <v/>
      </c>
    </row>
    <row r="50">
      <c r="A50" s="44" t="inlineStr">
        <is>
          <t>GS.9.8</t>
        </is>
      </c>
      <c r="C50" s="27" t="inlineStr">
        <is>
          <t>X</t>
        </is>
      </c>
      <c r="D50" s="27" t="inlineStr">
        <is>
          <t>X</t>
        </is>
      </c>
      <c r="F50" s="47" t="inlineStr">
        <is>
          <t>No</t>
        </is>
      </c>
      <c r="H50">
        <f>AND(B50&lt;&gt;"",C50&lt;&gt;"")</f>
        <v/>
      </c>
      <c r="I50">
        <f>OR(B50&lt;&gt;"",C50&lt;&gt;"")</f>
        <v/>
      </c>
      <c r="J50">
        <f>AND(B50&lt;&gt;"",D50&lt;&gt;"")</f>
        <v/>
      </c>
      <c r="K50">
        <f>OR(B50&lt;&gt;"",D50&lt;&gt;"")</f>
        <v/>
      </c>
      <c r="L50">
        <f>AND(B50&lt;&gt;"",E50&lt;&gt;"")</f>
        <v/>
      </c>
      <c r="M50">
        <f>OR(B50&lt;&gt;"",E50&lt;&gt;"")</f>
        <v/>
      </c>
      <c r="N50">
        <f>AND(C50&lt;&gt;"",D50&lt;&gt;"")</f>
        <v/>
      </c>
      <c r="O50">
        <f>OR(C50&lt;&gt;"",D50&lt;&gt;"")</f>
        <v/>
      </c>
      <c r="P50">
        <f>AND(C50&lt;&gt;"",E50&lt;&gt;"")</f>
        <v/>
      </c>
      <c r="Q50">
        <f>OR(C50&lt;&gt;"",E50&lt;&gt;"")</f>
        <v/>
      </c>
      <c r="R50">
        <f>AND(D50&lt;&gt;"",E50&lt;&gt;"")</f>
        <v/>
      </c>
      <c r="S50">
        <f>OR(D50&lt;&gt;"",E50&lt;&gt;"")</f>
        <v/>
      </c>
      <c r="V50">
        <f>AND(B50&lt;&gt;"",C50&lt;&gt;"",F50="No")</f>
        <v/>
      </c>
      <c r="W50">
        <f>AND(OR(B50&lt;&gt;"",C50&lt;&gt;""),F50="No")</f>
        <v/>
      </c>
      <c r="X50">
        <f>AND(B50&lt;&gt;"",D50&lt;&gt;"",F50="No")</f>
        <v/>
      </c>
      <c r="Y50">
        <f>AND(OR(B50&lt;&gt;"",D50&lt;&gt;""),F50="No")</f>
        <v/>
      </c>
      <c r="Z50">
        <f>AND(B50&lt;&gt;"",E50&lt;&gt;"",F50="No")</f>
        <v/>
      </c>
      <c r="AA50">
        <f>AND(OR(B50&lt;&gt;"",E50&lt;&gt;""),F50="No")</f>
        <v/>
      </c>
      <c r="AB50">
        <f>AND(C50&lt;&gt;"",D50&lt;&gt;"",F50="No")</f>
        <v/>
      </c>
      <c r="AC50">
        <f>AND(OR(C50&lt;&gt;"",D50&lt;&gt;""),F50="No")</f>
        <v/>
      </c>
      <c r="AD50">
        <f>AND(C50&lt;&gt;"",E50&lt;&gt;"",F50="No")</f>
        <v/>
      </c>
      <c r="AE50">
        <f>AND(OR(C50&lt;&gt;"",E50&lt;&gt;""),F50="No")</f>
        <v/>
      </c>
      <c r="AF50">
        <f>AND(D50&lt;&gt;"",E50&lt;&gt;"",F50="No")</f>
        <v/>
      </c>
      <c r="AG50">
        <f>AND(OR(D50&lt;&gt;"",E50&lt;&gt;""),F50="No")</f>
        <v/>
      </c>
    </row>
    <row r="51">
      <c r="A51" s="44" t="inlineStr">
        <is>
          <t>H.10.2</t>
        </is>
      </c>
      <c r="B51" s="27" t="inlineStr">
        <is>
          <t>X</t>
        </is>
      </c>
      <c r="C51" s="27" t="inlineStr">
        <is>
          <t>P</t>
        </is>
      </c>
      <c r="D51" s="27" t="inlineStr">
        <is>
          <t>X</t>
        </is>
      </c>
      <c r="E51" s="27" t="inlineStr">
        <is>
          <t>X</t>
        </is>
      </c>
      <c r="F51" s="47" t="inlineStr">
        <is>
          <t>No</t>
        </is>
      </c>
      <c r="H51">
        <f>AND(B51&lt;&gt;"",C51&lt;&gt;"")</f>
        <v/>
      </c>
      <c r="I51">
        <f>OR(B51&lt;&gt;"",C51&lt;&gt;"")</f>
        <v/>
      </c>
      <c r="J51">
        <f>AND(B51&lt;&gt;"",D51&lt;&gt;"")</f>
        <v/>
      </c>
      <c r="K51">
        <f>OR(B51&lt;&gt;"",D51&lt;&gt;"")</f>
        <v/>
      </c>
      <c r="L51">
        <f>AND(B51&lt;&gt;"",E51&lt;&gt;"")</f>
        <v/>
      </c>
      <c r="M51">
        <f>OR(B51&lt;&gt;"",E51&lt;&gt;"")</f>
        <v/>
      </c>
      <c r="N51">
        <f>AND(C51&lt;&gt;"",D51&lt;&gt;"")</f>
        <v/>
      </c>
      <c r="O51">
        <f>OR(C51&lt;&gt;"",D51&lt;&gt;"")</f>
        <v/>
      </c>
      <c r="P51">
        <f>AND(C51&lt;&gt;"",E51&lt;&gt;"")</f>
        <v/>
      </c>
      <c r="Q51">
        <f>OR(C51&lt;&gt;"",E51&lt;&gt;"")</f>
        <v/>
      </c>
      <c r="R51">
        <f>AND(D51&lt;&gt;"",E51&lt;&gt;"")</f>
        <v/>
      </c>
      <c r="S51">
        <f>OR(D51&lt;&gt;"",E51&lt;&gt;"")</f>
        <v/>
      </c>
      <c r="V51">
        <f>AND(B51&lt;&gt;"",C51&lt;&gt;"",F51="No")</f>
        <v/>
      </c>
      <c r="W51">
        <f>AND(OR(B51&lt;&gt;"",C51&lt;&gt;""),F51="No")</f>
        <v/>
      </c>
      <c r="X51">
        <f>AND(B51&lt;&gt;"",D51&lt;&gt;"",F51="No")</f>
        <v/>
      </c>
      <c r="Y51">
        <f>AND(OR(B51&lt;&gt;"",D51&lt;&gt;""),F51="No")</f>
        <v/>
      </c>
      <c r="Z51">
        <f>AND(B51&lt;&gt;"",E51&lt;&gt;"",F51="No")</f>
        <v/>
      </c>
      <c r="AA51">
        <f>AND(OR(B51&lt;&gt;"",E51&lt;&gt;""),F51="No")</f>
        <v/>
      </c>
      <c r="AB51">
        <f>AND(C51&lt;&gt;"",D51&lt;&gt;"",F51="No")</f>
        <v/>
      </c>
      <c r="AC51">
        <f>AND(OR(C51&lt;&gt;"",D51&lt;&gt;""),F51="No")</f>
        <v/>
      </c>
      <c r="AD51">
        <f>AND(C51&lt;&gt;"",E51&lt;&gt;"",F51="No")</f>
        <v/>
      </c>
      <c r="AE51">
        <f>AND(OR(C51&lt;&gt;"",E51&lt;&gt;""),F51="No")</f>
        <v/>
      </c>
      <c r="AF51">
        <f>AND(D51&lt;&gt;"",E51&lt;&gt;"",F51="No")</f>
        <v/>
      </c>
      <c r="AG51">
        <f>AND(OR(D51&lt;&gt;"",E51&lt;&gt;""),F51="No")</f>
        <v/>
      </c>
    </row>
    <row r="52">
      <c r="A52" s="44" t="inlineStr">
        <is>
          <t>H.10.3</t>
        </is>
      </c>
      <c r="B52" s="27" t="inlineStr">
        <is>
          <t>X</t>
        </is>
      </c>
      <c r="E52" s="27" t="inlineStr">
        <is>
          <t>X</t>
        </is>
      </c>
      <c r="F52" s="47" t="inlineStr">
        <is>
          <t>No</t>
        </is>
      </c>
      <c r="H52">
        <f>AND(B52&lt;&gt;"",C52&lt;&gt;"")</f>
        <v/>
      </c>
      <c r="I52">
        <f>OR(B52&lt;&gt;"",C52&lt;&gt;"")</f>
        <v/>
      </c>
      <c r="J52">
        <f>AND(B52&lt;&gt;"",D52&lt;&gt;"")</f>
        <v/>
      </c>
      <c r="K52">
        <f>OR(B52&lt;&gt;"",D52&lt;&gt;"")</f>
        <v/>
      </c>
      <c r="L52">
        <f>AND(B52&lt;&gt;"",E52&lt;&gt;"")</f>
        <v/>
      </c>
      <c r="M52">
        <f>OR(B52&lt;&gt;"",E52&lt;&gt;"")</f>
        <v/>
      </c>
      <c r="N52">
        <f>AND(C52&lt;&gt;"",D52&lt;&gt;"")</f>
        <v/>
      </c>
      <c r="O52">
        <f>OR(C52&lt;&gt;"",D52&lt;&gt;"")</f>
        <v/>
      </c>
      <c r="P52">
        <f>AND(C52&lt;&gt;"",E52&lt;&gt;"")</f>
        <v/>
      </c>
      <c r="Q52">
        <f>OR(C52&lt;&gt;"",E52&lt;&gt;"")</f>
        <v/>
      </c>
      <c r="R52">
        <f>AND(D52&lt;&gt;"",E52&lt;&gt;"")</f>
        <v/>
      </c>
      <c r="S52">
        <f>OR(D52&lt;&gt;"",E52&lt;&gt;"")</f>
        <v/>
      </c>
      <c r="V52">
        <f>AND(B52&lt;&gt;"",C52&lt;&gt;"",F52="No")</f>
        <v/>
      </c>
      <c r="W52">
        <f>AND(OR(B52&lt;&gt;"",C52&lt;&gt;""),F52="No")</f>
        <v/>
      </c>
      <c r="X52">
        <f>AND(B52&lt;&gt;"",D52&lt;&gt;"",F52="No")</f>
        <v/>
      </c>
      <c r="Y52">
        <f>AND(OR(B52&lt;&gt;"",D52&lt;&gt;""),F52="No")</f>
        <v/>
      </c>
      <c r="Z52">
        <f>AND(B52&lt;&gt;"",E52&lt;&gt;"",F52="No")</f>
        <v/>
      </c>
      <c r="AA52">
        <f>AND(OR(B52&lt;&gt;"",E52&lt;&gt;""),F52="No")</f>
        <v/>
      </c>
      <c r="AB52">
        <f>AND(C52&lt;&gt;"",D52&lt;&gt;"",F52="No")</f>
        <v/>
      </c>
      <c r="AC52">
        <f>AND(OR(C52&lt;&gt;"",D52&lt;&gt;""),F52="No")</f>
        <v/>
      </c>
      <c r="AD52">
        <f>AND(C52&lt;&gt;"",E52&lt;&gt;"",F52="No")</f>
        <v/>
      </c>
      <c r="AE52">
        <f>AND(OR(C52&lt;&gt;"",E52&lt;&gt;""),F52="No")</f>
        <v/>
      </c>
      <c r="AF52">
        <f>AND(D52&lt;&gt;"",E52&lt;&gt;"",F52="No")</f>
        <v/>
      </c>
      <c r="AG52">
        <f>AND(OR(D52&lt;&gt;"",E52&lt;&gt;""),F52="No")</f>
        <v/>
      </c>
    </row>
    <row r="53">
      <c r="A53" s="44" t="inlineStr">
        <is>
          <t>GS.10.4</t>
        </is>
      </c>
      <c r="B53" s="27" t="inlineStr">
        <is>
          <t>X</t>
        </is>
      </c>
      <c r="F53" s="47" t="inlineStr">
        <is>
          <t>No</t>
        </is>
      </c>
      <c r="H53">
        <f>AND(B53&lt;&gt;"",C53&lt;&gt;"")</f>
        <v/>
      </c>
      <c r="I53">
        <f>OR(B53&lt;&gt;"",C53&lt;&gt;"")</f>
        <v/>
      </c>
      <c r="J53">
        <f>AND(B53&lt;&gt;"",D53&lt;&gt;"")</f>
        <v/>
      </c>
      <c r="K53">
        <f>OR(B53&lt;&gt;"",D53&lt;&gt;"")</f>
        <v/>
      </c>
      <c r="L53">
        <f>AND(B53&lt;&gt;"",E53&lt;&gt;"")</f>
        <v/>
      </c>
      <c r="M53">
        <f>OR(B53&lt;&gt;"",E53&lt;&gt;"")</f>
        <v/>
      </c>
      <c r="N53">
        <f>AND(C53&lt;&gt;"",D53&lt;&gt;"")</f>
        <v/>
      </c>
      <c r="O53">
        <f>OR(C53&lt;&gt;"",D53&lt;&gt;"")</f>
        <v/>
      </c>
      <c r="P53">
        <f>AND(C53&lt;&gt;"",E53&lt;&gt;"")</f>
        <v/>
      </c>
      <c r="Q53">
        <f>OR(C53&lt;&gt;"",E53&lt;&gt;"")</f>
        <v/>
      </c>
      <c r="R53">
        <f>AND(D53&lt;&gt;"",E53&lt;&gt;"")</f>
        <v/>
      </c>
      <c r="S53">
        <f>OR(D53&lt;&gt;"",E53&lt;&gt;"")</f>
        <v/>
      </c>
      <c r="V53">
        <f>AND(B53&lt;&gt;"",C53&lt;&gt;"",F53="No")</f>
        <v/>
      </c>
      <c r="W53">
        <f>AND(OR(B53&lt;&gt;"",C53&lt;&gt;""),F53="No")</f>
        <v/>
      </c>
      <c r="X53">
        <f>AND(B53&lt;&gt;"",D53&lt;&gt;"",F53="No")</f>
        <v/>
      </c>
      <c r="Y53">
        <f>AND(OR(B53&lt;&gt;"",D53&lt;&gt;""),F53="No")</f>
        <v/>
      </c>
      <c r="Z53">
        <f>AND(B53&lt;&gt;"",E53&lt;&gt;"",F53="No")</f>
        <v/>
      </c>
      <c r="AA53">
        <f>AND(OR(B53&lt;&gt;"",E53&lt;&gt;""),F53="No")</f>
        <v/>
      </c>
      <c r="AB53">
        <f>AND(C53&lt;&gt;"",D53&lt;&gt;"",F53="No")</f>
        <v/>
      </c>
      <c r="AC53">
        <f>AND(OR(C53&lt;&gt;"",D53&lt;&gt;""),F53="No")</f>
        <v/>
      </c>
      <c r="AD53">
        <f>AND(C53&lt;&gt;"",E53&lt;&gt;"",F53="No")</f>
        <v/>
      </c>
      <c r="AE53">
        <f>AND(OR(C53&lt;&gt;"",E53&lt;&gt;""),F53="No")</f>
        <v/>
      </c>
      <c r="AF53">
        <f>AND(D53&lt;&gt;"",E53&lt;&gt;"",F53="No")</f>
        <v/>
      </c>
      <c r="AG53">
        <f>AND(OR(D53&lt;&gt;"",E53&lt;&gt;""),F53="No")</f>
        <v/>
      </c>
    </row>
    <row r="54">
      <c r="A54" s="44" t="inlineStr">
        <is>
          <t>GS.10.5</t>
        </is>
      </c>
      <c r="C54" s="27" t="inlineStr">
        <is>
          <t>X</t>
        </is>
      </c>
      <c r="D54" s="27" t="inlineStr">
        <is>
          <t>X</t>
        </is>
      </c>
      <c r="E54" s="27" t="inlineStr">
        <is>
          <t>X</t>
        </is>
      </c>
      <c r="F54" s="47" t="inlineStr">
        <is>
          <t>No</t>
        </is>
      </c>
      <c r="H54">
        <f>AND(B54&lt;&gt;"",C54&lt;&gt;"")</f>
        <v/>
      </c>
      <c r="I54">
        <f>OR(B54&lt;&gt;"",C54&lt;&gt;"")</f>
        <v/>
      </c>
      <c r="J54">
        <f>AND(B54&lt;&gt;"",D54&lt;&gt;"")</f>
        <v/>
      </c>
      <c r="K54">
        <f>OR(B54&lt;&gt;"",D54&lt;&gt;"")</f>
        <v/>
      </c>
      <c r="L54">
        <f>AND(B54&lt;&gt;"",E54&lt;&gt;"")</f>
        <v/>
      </c>
      <c r="M54">
        <f>OR(B54&lt;&gt;"",E54&lt;&gt;"")</f>
        <v/>
      </c>
      <c r="N54">
        <f>AND(C54&lt;&gt;"",D54&lt;&gt;"")</f>
        <v/>
      </c>
      <c r="O54">
        <f>OR(C54&lt;&gt;"",D54&lt;&gt;"")</f>
        <v/>
      </c>
      <c r="P54">
        <f>AND(C54&lt;&gt;"",E54&lt;&gt;"")</f>
        <v/>
      </c>
      <c r="Q54">
        <f>OR(C54&lt;&gt;"",E54&lt;&gt;"")</f>
        <v/>
      </c>
      <c r="R54">
        <f>AND(D54&lt;&gt;"",E54&lt;&gt;"")</f>
        <v/>
      </c>
      <c r="S54">
        <f>OR(D54&lt;&gt;"",E54&lt;&gt;"")</f>
        <v/>
      </c>
      <c r="V54">
        <f>AND(B54&lt;&gt;"",C54&lt;&gt;"",F54="No")</f>
        <v/>
      </c>
      <c r="W54">
        <f>AND(OR(B54&lt;&gt;"",C54&lt;&gt;""),F54="No")</f>
        <v/>
      </c>
      <c r="X54">
        <f>AND(B54&lt;&gt;"",D54&lt;&gt;"",F54="No")</f>
        <v/>
      </c>
      <c r="Y54">
        <f>AND(OR(B54&lt;&gt;"",D54&lt;&gt;""),F54="No")</f>
        <v/>
      </c>
      <c r="Z54">
        <f>AND(B54&lt;&gt;"",E54&lt;&gt;"",F54="No")</f>
        <v/>
      </c>
      <c r="AA54">
        <f>AND(OR(B54&lt;&gt;"",E54&lt;&gt;""),F54="No")</f>
        <v/>
      </c>
      <c r="AB54">
        <f>AND(C54&lt;&gt;"",D54&lt;&gt;"",F54="No")</f>
        <v/>
      </c>
      <c r="AC54">
        <f>AND(OR(C54&lt;&gt;"",D54&lt;&gt;""),F54="No")</f>
        <v/>
      </c>
      <c r="AD54">
        <f>AND(C54&lt;&gt;"",E54&lt;&gt;"",F54="No")</f>
        <v/>
      </c>
      <c r="AE54">
        <f>AND(OR(C54&lt;&gt;"",E54&lt;&gt;""),F54="No")</f>
        <v/>
      </c>
      <c r="AF54">
        <f>AND(D54&lt;&gt;"",E54&lt;&gt;"",F54="No")</f>
        <v/>
      </c>
      <c r="AG54">
        <f>AND(OR(D54&lt;&gt;"",E54&lt;&gt;""),F54="No")</f>
        <v/>
      </c>
    </row>
    <row r="55">
      <c r="A55" s="44" t="inlineStr">
        <is>
          <t>GS.10.6</t>
        </is>
      </c>
      <c r="D55" s="27" t="inlineStr">
        <is>
          <t>X</t>
        </is>
      </c>
      <c r="F55" s="47" t="inlineStr">
        <is>
          <t>No</t>
        </is>
      </c>
      <c r="H55">
        <f>AND(B55&lt;&gt;"",C55&lt;&gt;"")</f>
        <v/>
      </c>
      <c r="I55">
        <f>OR(B55&lt;&gt;"",C55&lt;&gt;"")</f>
        <v/>
      </c>
      <c r="J55">
        <f>AND(B55&lt;&gt;"",D55&lt;&gt;"")</f>
        <v/>
      </c>
      <c r="K55">
        <f>OR(B55&lt;&gt;"",D55&lt;&gt;"")</f>
        <v/>
      </c>
      <c r="L55">
        <f>AND(B55&lt;&gt;"",E55&lt;&gt;"")</f>
        <v/>
      </c>
      <c r="M55">
        <f>OR(B55&lt;&gt;"",E55&lt;&gt;"")</f>
        <v/>
      </c>
      <c r="N55">
        <f>AND(C55&lt;&gt;"",D55&lt;&gt;"")</f>
        <v/>
      </c>
      <c r="O55">
        <f>OR(C55&lt;&gt;"",D55&lt;&gt;"")</f>
        <v/>
      </c>
      <c r="P55">
        <f>AND(C55&lt;&gt;"",E55&lt;&gt;"")</f>
        <v/>
      </c>
      <c r="Q55">
        <f>OR(C55&lt;&gt;"",E55&lt;&gt;"")</f>
        <v/>
      </c>
      <c r="R55">
        <f>AND(D55&lt;&gt;"",E55&lt;&gt;"")</f>
        <v/>
      </c>
      <c r="S55">
        <f>OR(D55&lt;&gt;"",E55&lt;&gt;"")</f>
        <v/>
      </c>
      <c r="V55">
        <f>AND(B55&lt;&gt;"",C55&lt;&gt;"",F55="No")</f>
        <v/>
      </c>
      <c r="W55">
        <f>AND(OR(B55&lt;&gt;"",C55&lt;&gt;""),F55="No")</f>
        <v/>
      </c>
      <c r="X55">
        <f>AND(B55&lt;&gt;"",D55&lt;&gt;"",F55="No")</f>
        <v/>
      </c>
      <c r="Y55">
        <f>AND(OR(B55&lt;&gt;"",D55&lt;&gt;""),F55="No")</f>
        <v/>
      </c>
      <c r="Z55">
        <f>AND(B55&lt;&gt;"",E55&lt;&gt;"",F55="No")</f>
        <v/>
      </c>
      <c r="AA55">
        <f>AND(OR(B55&lt;&gt;"",E55&lt;&gt;""),F55="No")</f>
        <v/>
      </c>
      <c r="AB55">
        <f>AND(C55&lt;&gt;"",D55&lt;&gt;"",F55="No")</f>
        <v/>
      </c>
      <c r="AC55">
        <f>AND(OR(C55&lt;&gt;"",D55&lt;&gt;""),F55="No")</f>
        <v/>
      </c>
      <c r="AD55">
        <f>AND(C55&lt;&gt;"",E55&lt;&gt;"",F55="No")</f>
        <v/>
      </c>
      <c r="AE55">
        <f>AND(OR(C55&lt;&gt;"",E55&lt;&gt;""),F55="No")</f>
        <v/>
      </c>
      <c r="AF55">
        <f>AND(D55&lt;&gt;"",E55&lt;&gt;"",F55="No")</f>
        <v/>
      </c>
      <c r="AG55">
        <f>AND(OR(D55&lt;&gt;"",E55&lt;&gt;""),F55="No")</f>
        <v/>
      </c>
    </row>
    <row r="56">
      <c r="A56" s="44" t="inlineStr">
        <is>
          <t>GS.10.11</t>
        </is>
      </c>
      <c r="B56" s="27" t="inlineStr">
        <is>
          <t>X</t>
        </is>
      </c>
      <c r="C56" s="27" t="inlineStr">
        <is>
          <t>X</t>
        </is>
      </c>
      <c r="D56" s="27" t="inlineStr">
        <is>
          <t>X</t>
        </is>
      </c>
      <c r="E56" s="27" t="inlineStr">
        <is>
          <t>X</t>
        </is>
      </c>
      <c r="F56" s="47" t="inlineStr">
        <is>
          <t>No</t>
        </is>
      </c>
      <c r="H56">
        <f>AND(B56&lt;&gt;"",C56&lt;&gt;"")</f>
        <v/>
      </c>
      <c r="I56">
        <f>OR(B56&lt;&gt;"",C56&lt;&gt;"")</f>
        <v/>
      </c>
      <c r="J56">
        <f>AND(B56&lt;&gt;"",D56&lt;&gt;"")</f>
        <v/>
      </c>
      <c r="K56">
        <f>OR(B56&lt;&gt;"",D56&lt;&gt;"")</f>
        <v/>
      </c>
      <c r="L56">
        <f>AND(B56&lt;&gt;"",E56&lt;&gt;"")</f>
        <v/>
      </c>
      <c r="M56">
        <f>OR(B56&lt;&gt;"",E56&lt;&gt;"")</f>
        <v/>
      </c>
      <c r="N56">
        <f>AND(C56&lt;&gt;"",D56&lt;&gt;"")</f>
        <v/>
      </c>
      <c r="O56">
        <f>OR(C56&lt;&gt;"",D56&lt;&gt;"")</f>
        <v/>
      </c>
      <c r="P56">
        <f>AND(C56&lt;&gt;"",E56&lt;&gt;"")</f>
        <v/>
      </c>
      <c r="Q56">
        <f>OR(C56&lt;&gt;"",E56&lt;&gt;"")</f>
        <v/>
      </c>
      <c r="R56">
        <f>AND(D56&lt;&gt;"",E56&lt;&gt;"")</f>
        <v/>
      </c>
      <c r="S56">
        <f>OR(D56&lt;&gt;"",E56&lt;&gt;"")</f>
        <v/>
      </c>
      <c r="V56">
        <f>AND(B56&lt;&gt;"",C56&lt;&gt;"",F56="No")</f>
        <v/>
      </c>
      <c r="W56">
        <f>AND(OR(B56&lt;&gt;"",C56&lt;&gt;""),F56="No")</f>
        <v/>
      </c>
      <c r="X56">
        <f>AND(B56&lt;&gt;"",D56&lt;&gt;"",F56="No")</f>
        <v/>
      </c>
      <c r="Y56">
        <f>AND(OR(B56&lt;&gt;"",D56&lt;&gt;""),F56="No")</f>
        <v/>
      </c>
      <c r="Z56">
        <f>AND(B56&lt;&gt;"",E56&lt;&gt;"",F56="No")</f>
        <v/>
      </c>
      <c r="AA56">
        <f>AND(OR(B56&lt;&gt;"",E56&lt;&gt;""),F56="No")</f>
        <v/>
      </c>
      <c r="AB56">
        <f>AND(C56&lt;&gt;"",D56&lt;&gt;"",F56="No")</f>
        <v/>
      </c>
      <c r="AC56">
        <f>AND(OR(C56&lt;&gt;"",D56&lt;&gt;""),F56="No")</f>
        <v/>
      </c>
      <c r="AD56">
        <f>AND(C56&lt;&gt;"",E56&lt;&gt;"",F56="No")</f>
        <v/>
      </c>
      <c r="AE56">
        <f>AND(OR(C56&lt;&gt;"",E56&lt;&gt;""),F56="No")</f>
        <v/>
      </c>
      <c r="AF56">
        <f>AND(D56&lt;&gt;"",E56&lt;&gt;"",F56="No")</f>
        <v/>
      </c>
      <c r="AG56">
        <f>AND(OR(D56&lt;&gt;"",E56&lt;&gt;""),F56="No")</f>
        <v/>
      </c>
    </row>
    <row r="57" ht="15" customHeight="1" s="54">
      <c r="A57" s="44" t="inlineStr">
        <is>
          <t>GS.10.12</t>
        </is>
      </c>
      <c r="D57" s="27" t="inlineStr">
        <is>
          <t>X</t>
        </is>
      </c>
      <c r="F57" s="47" t="inlineStr">
        <is>
          <t>No</t>
        </is>
      </c>
      <c r="H57">
        <f>AND(B57&lt;&gt;"",C57&lt;&gt;"")</f>
        <v/>
      </c>
      <c r="I57">
        <f>OR(B57&lt;&gt;"",C57&lt;&gt;"")</f>
        <v/>
      </c>
      <c r="J57">
        <f>AND(B57&lt;&gt;"",D57&lt;&gt;"")</f>
        <v/>
      </c>
      <c r="K57">
        <f>OR(B57&lt;&gt;"",D57&lt;&gt;"")</f>
        <v/>
      </c>
      <c r="L57">
        <f>AND(B57&lt;&gt;"",E57&lt;&gt;"")</f>
        <v/>
      </c>
      <c r="M57">
        <f>OR(B57&lt;&gt;"",E57&lt;&gt;"")</f>
        <v/>
      </c>
      <c r="N57">
        <f>AND(C57&lt;&gt;"",D57&lt;&gt;"")</f>
        <v/>
      </c>
      <c r="O57">
        <f>OR(C57&lt;&gt;"",D57&lt;&gt;"")</f>
        <v/>
      </c>
      <c r="P57">
        <f>AND(C57&lt;&gt;"",E57&lt;&gt;"")</f>
        <v/>
      </c>
      <c r="Q57">
        <f>OR(C57&lt;&gt;"",E57&lt;&gt;"")</f>
        <v/>
      </c>
      <c r="R57">
        <f>AND(D57&lt;&gt;"",E57&lt;&gt;"")</f>
        <v/>
      </c>
      <c r="S57">
        <f>OR(D57&lt;&gt;"",E57&lt;&gt;"")</f>
        <v/>
      </c>
      <c r="V57">
        <f>AND(B57&lt;&gt;"",C57&lt;&gt;"",F57="No")</f>
        <v/>
      </c>
      <c r="W57">
        <f>AND(OR(B57&lt;&gt;"",C57&lt;&gt;""),F57="No")</f>
        <v/>
      </c>
      <c r="X57">
        <f>AND(B57&lt;&gt;"",D57&lt;&gt;"",F57="No")</f>
        <v/>
      </c>
      <c r="Y57">
        <f>AND(OR(B57&lt;&gt;"",D57&lt;&gt;""),F57="No")</f>
        <v/>
      </c>
      <c r="Z57">
        <f>AND(B57&lt;&gt;"",E57&lt;&gt;"",F57="No")</f>
        <v/>
      </c>
      <c r="AA57">
        <f>AND(OR(B57&lt;&gt;"",E57&lt;&gt;""),F57="No")</f>
        <v/>
      </c>
      <c r="AB57">
        <f>AND(C57&lt;&gt;"",D57&lt;&gt;"",F57="No")</f>
        <v/>
      </c>
      <c r="AC57">
        <f>AND(OR(C57&lt;&gt;"",D57&lt;&gt;""),F57="No")</f>
        <v/>
      </c>
      <c r="AD57">
        <f>AND(C57&lt;&gt;"",E57&lt;&gt;"",F57="No")</f>
        <v/>
      </c>
      <c r="AE57">
        <f>AND(OR(C57&lt;&gt;"",E57&lt;&gt;""),F57="No")</f>
        <v/>
      </c>
      <c r="AF57">
        <f>AND(D57&lt;&gt;"",E57&lt;&gt;"",F57="No")</f>
        <v/>
      </c>
      <c r="AG57">
        <f>AND(OR(D57&lt;&gt;"",E57&lt;&gt;""),F57="No")</f>
        <v/>
      </c>
    </row>
    <row r="58">
      <c r="A58" t="inlineStr">
        <is>
          <t>L0_iv.10.4</t>
        </is>
      </c>
      <c r="E58" s="27" t="inlineStr">
        <is>
          <t>X</t>
        </is>
      </c>
      <c r="F58" s="47" t="inlineStr">
        <is>
          <t>Yes</t>
        </is>
      </c>
      <c r="H58">
        <f>AND(B58&lt;&gt;"",C58&lt;&gt;"")</f>
        <v/>
      </c>
      <c r="I58">
        <f>OR(B58&lt;&gt;"",C58&lt;&gt;"")</f>
        <v/>
      </c>
      <c r="J58">
        <f>AND(B58&lt;&gt;"",D58&lt;&gt;"")</f>
        <v/>
      </c>
      <c r="K58">
        <f>OR(B58&lt;&gt;"",D58&lt;&gt;"")</f>
        <v/>
      </c>
      <c r="L58">
        <f>AND(B58&lt;&gt;"",E58&lt;&gt;"")</f>
        <v/>
      </c>
      <c r="M58">
        <f>OR(B58&lt;&gt;"",E58&lt;&gt;"")</f>
        <v/>
      </c>
      <c r="N58">
        <f>AND(C58&lt;&gt;"",D58&lt;&gt;"")</f>
        <v/>
      </c>
      <c r="O58">
        <f>OR(C58&lt;&gt;"",D58&lt;&gt;"")</f>
        <v/>
      </c>
      <c r="P58">
        <f>AND(C58&lt;&gt;"",E58&lt;&gt;"")</f>
        <v/>
      </c>
      <c r="Q58">
        <f>OR(C58&lt;&gt;"",E58&lt;&gt;"")</f>
        <v/>
      </c>
      <c r="R58">
        <f>AND(D58&lt;&gt;"",E58&lt;&gt;"")</f>
        <v/>
      </c>
      <c r="S58">
        <f>OR(D58&lt;&gt;"",E58&lt;&gt;"")</f>
        <v/>
      </c>
      <c r="V58">
        <f>AND(B58&lt;&gt;"",C58&lt;&gt;"",F58="No")</f>
        <v/>
      </c>
      <c r="W58">
        <f>AND(OR(B58&lt;&gt;"",C58&lt;&gt;""),F58="No")</f>
        <v/>
      </c>
      <c r="X58">
        <f>AND(B58&lt;&gt;"",D58&lt;&gt;"",F58="No")</f>
        <v/>
      </c>
      <c r="Y58">
        <f>AND(OR(B58&lt;&gt;"",D58&lt;&gt;""),F58="No")</f>
        <v/>
      </c>
      <c r="Z58">
        <f>AND(B58&lt;&gt;"",E58&lt;&gt;"",F58="No")</f>
        <v/>
      </c>
      <c r="AA58">
        <f>AND(OR(B58&lt;&gt;"",E58&lt;&gt;""),F58="No")</f>
        <v/>
      </c>
      <c r="AB58">
        <f>AND(C58&lt;&gt;"",D58&lt;&gt;"",F58="No")</f>
        <v/>
      </c>
      <c r="AC58">
        <f>AND(OR(C58&lt;&gt;"",D58&lt;&gt;""),F58="No")</f>
        <v/>
      </c>
      <c r="AD58">
        <f>AND(C58&lt;&gt;"",E58&lt;&gt;"",F58="No")</f>
        <v/>
      </c>
      <c r="AE58">
        <f>AND(OR(C58&lt;&gt;"",E58&lt;&gt;""),F58="No")</f>
        <v/>
      </c>
      <c r="AF58">
        <f>AND(D58&lt;&gt;"",E58&lt;&gt;"",F58="No")</f>
        <v/>
      </c>
      <c r="AG58">
        <f>AND(OR(D58&lt;&gt;"",E58&lt;&gt;""),F58="No")</f>
        <v/>
      </c>
    </row>
    <row r="59">
      <c r="A59" t="inlineStr">
        <is>
          <t>L0_iv.10.5</t>
        </is>
      </c>
      <c r="E59" s="27" t="inlineStr">
        <is>
          <t>X</t>
        </is>
      </c>
      <c r="F59" s="47" t="inlineStr">
        <is>
          <t>Yes</t>
        </is>
      </c>
      <c r="H59">
        <f>AND(B59&lt;&gt;"",C59&lt;&gt;"")</f>
        <v/>
      </c>
      <c r="I59">
        <f>OR(B59&lt;&gt;"",C59&lt;&gt;"")</f>
        <v/>
      </c>
      <c r="J59">
        <f>AND(B59&lt;&gt;"",D59&lt;&gt;"")</f>
        <v/>
      </c>
      <c r="K59">
        <f>OR(B59&lt;&gt;"",D59&lt;&gt;"")</f>
        <v/>
      </c>
      <c r="L59">
        <f>AND(B59&lt;&gt;"",E59&lt;&gt;"")</f>
        <v/>
      </c>
      <c r="M59">
        <f>OR(B59&lt;&gt;"",E59&lt;&gt;"")</f>
        <v/>
      </c>
      <c r="N59">
        <f>AND(C59&lt;&gt;"",D59&lt;&gt;"")</f>
        <v/>
      </c>
      <c r="O59">
        <f>OR(C59&lt;&gt;"",D59&lt;&gt;"")</f>
        <v/>
      </c>
      <c r="P59">
        <f>AND(C59&lt;&gt;"",E59&lt;&gt;"")</f>
        <v/>
      </c>
      <c r="Q59">
        <f>OR(C59&lt;&gt;"",E59&lt;&gt;"")</f>
        <v/>
      </c>
      <c r="R59">
        <f>AND(D59&lt;&gt;"",E59&lt;&gt;"")</f>
        <v/>
      </c>
      <c r="S59">
        <f>OR(D59&lt;&gt;"",E59&lt;&gt;"")</f>
        <v/>
      </c>
      <c r="V59">
        <f>AND(B59&lt;&gt;"",C59&lt;&gt;"",F59="No")</f>
        <v/>
      </c>
      <c r="W59">
        <f>AND(OR(B59&lt;&gt;"",C59&lt;&gt;""),F59="No")</f>
        <v/>
      </c>
      <c r="X59">
        <f>AND(B59&lt;&gt;"",D59&lt;&gt;"",F59="No")</f>
        <v/>
      </c>
      <c r="Y59">
        <f>AND(OR(B59&lt;&gt;"",D59&lt;&gt;""),F59="No")</f>
        <v/>
      </c>
      <c r="Z59">
        <f>AND(B59&lt;&gt;"",E59&lt;&gt;"",F59="No")</f>
        <v/>
      </c>
      <c r="AA59">
        <f>AND(OR(B59&lt;&gt;"",E59&lt;&gt;""),F59="No")</f>
        <v/>
      </c>
      <c r="AB59">
        <f>AND(C59&lt;&gt;"",D59&lt;&gt;"",F59="No")</f>
        <v/>
      </c>
      <c r="AC59">
        <f>AND(OR(C59&lt;&gt;"",D59&lt;&gt;""),F59="No")</f>
        <v/>
      </c>
      <c r="AD59">
        <f>AND(C59&lt;&gt;"",E59&lt;&gt;"",F59="No")</f>
        <v/>
      </c>
      <c r="AE59">
        <f>AND(OR(C59&lt;&gt;"",E59&lt;&gt;""),F59="No")</f>
        <v/>
      </c>
      <c r="AF59">
        <f>AND(D59&lt;&gt;"",E59&lt;&gt;"",F59="No")</f>
        <v/>
      </c>
      <c r="AG59">
        <f>AND(OR(D59&lt;&gt;"",E59&lt;&gt;""),F59="No")</f>
        <v/>
      </c>
    </row>
    <row r="60">
      <c r="F60" s="47" t="n"/>
    </row>
    <row r="61">
      <c r="A61" s="47" t="inlineStr">
        <is>
          <t>Count</t>
        </is>
      </c>
      <c r="H61">
        <f>COUNTIF(H2:H59,TRUE())</f>
        <v/>
      </c>
      <c r="I61">
        <f>COUNTIF(I2:I59,TRUE())</f>
        <v/>
      </c>
      <c r="J61">
        <f>COUNTIF(J2:J59,TRUE())</f>
        <v/>
      </c>
      <c r="K61">
        <f>COUNTIF(K2:K59,TRUE())</f>
        <v/>
      </c>
      <c r="L61">
        <f>COUNTIF(L2:L59,TRUE())</f>
        <v/>
      </c>
      <c r="M61">
        <f>COUNTIF(M2:M59,TRUE())</f>
        <v/>
      </c>
      <c r="N61">
        <f>COUNTIF(N2:N59,TRUE())</f>
        <v/>
      </c>
      <c r="O61">
        <f>COUNTIF(O2:O59,TRUE())</f>
        <v/>
      </c>
      <c r="P61">
        <f>COUNTIF(P2:P59,TRUE())</f>
        <v/>
      </c>
      <c r="Q61">
        <f>COUNTIF(Q2:Q59,TRUE())</f>
        <v/>
      </c>
      <c r="R61">
        <f>COUNTIF(R2:R59,TRUE())</f>
        <v/>
      </c>
      <c r="S61">
        <f>COUNTIF(S2:S59,TRUE())</f>
        <v/>
      </c>
      <c r="T61" s="16" t="inlineStr">
        <is>
          <t>Avg.</t>
        </is>
      </c>
      <c r="V61">
        <f>COUNTIF(V2:V59,TRUE())</f>
        <v/>
      </c>
      <c r="W61">
        <f>COUNTIF(W2:W59,TRUE())</f>
        <v/>
      </c>
      <c r="X61">
        <f>COUNTIF(X2:X59,TRUE())</f>
        <v/>
      </c>
      <c r="Y61">
        <f>COUNTIF(Y2:Y59,TRUE())</f>
        <v/>
      </c>
      <c r="Z61">
        <f>COUNTIF(Z2:Z59,TRUE())</f>
        <v/>
      </c>
      <c r="AA61">
        <f>COUNTIF(AA2:AA59,TRUE())</f>
        <v/>
      </c>
      <c r="AB61">
        <f>COUNTIF(AB2:AB59,TRUE())</f>
        <v/>
      </c>
      <c r="AC61">
        <f>COUNTIF(AC2:AC59,TRUE())</f>
        <v/>
      </c>
      <c r="AD61">
        <f>COUNTIF(AD2:AD59,TRUE())</f>
        <v/>
      </c>
      <c r="AE61">
        <f>COUNTIF(AE2:AE59,TRUE())</f>
        <v/>
      </c>
      <c r="AF61">
        <f>COUNTIF(AF2:AF59,TRUE())</f>
        <v/>
      </c>
      <c r="AG61">
        <f>COUNTIF(AG2:AG59,TRUE())</f>
        <v/>
      </c>
      <c r="AH61" s="16" t="inlineStr">
        <is>
          <t>Avg.</t>
        </is>
      </c>
    </row>
    <row r="62">
      <c r="G62" s="47" t="inlineStr">
        <is>
          <t>J-index</t>
        </is>
      </c>
      <c r="H62" s="55">
        <f>H61/I61</f>
        <v/>
      </c>
      <c r="J62" s="55">
        <f>J61/K61</f>
        <v/>
      </c>
      <c r="L62" s="55">
        <f>L61/M61</f>
        <v/>
      </c>
      <c r="N62" s="55">
        <f>N61/O61</f>
        <v/>
      </c>
      <c r="P62" s="55">
        <f>P61/Q61</f>
        <v/>
      </c>
      <c r="R62" s="55">
        <f>R61/S61</f>
        <v/>
      </c>
      <c r="T62" s="55">
        <f>AVERAGE(H62:S62)</f>
        <v/>
      </c>
      <c r="U62" s="47" t="inlineStr">
        <is>
          <t>J-index</t>
        </is>
      </c>
      <c r="V62" s="55">
        <f>V61/W61</f>
        <v/>
      </c>
      <c r="X62" s="55">
        <f>X61/Y61</f>
        <v/>
      </c>
      <c r="Z62" s="55">
        <f>Z61/AA61</f>
        <v/>
      </c>
      <c r="AB62" s="55">
        <f>AB61/AC61</f>
        <v/>
      </c>
      <c r="AD62" s="55">
        <f>AD61/AE61</f>
        <v/>
      </c>
      <c r="AF62" s="55">
        <f>AF61/AG61</f>
        <v/>
      </c>
      <c r="AH62" s="55">
        <f>AVERAGE(V62:AG62)</f>
        <v/>
      </c>
    </row>
    <row r="63">
      <c r="T63" s="55">
        <f>GEOMEAN(H62:S62)</f>
        <v/>
      </c>
      <c r="AH63" s="55">
        <f>GEOMEAN(V62:AG62)</f>
        <v/>
      </c>
    </row>
  </sheetData>
  <autoFilter ref="A1:F59"/>
  <mergeCells count="13">
    <mergeCell ref="R62:S62"/>
    <mergeCell ref="A61:G61"/>
    <mergeCell ref="H62:I62"/>
    <mergeCell ref="L62:M62"/>
    <mergeCell ref="J62:K62"/>
    <mergeCell ref="P62:Q62"/>
    <mergeCell ref="N62:O62"/>
    <mergeCell ref="X62:Y62"/>
    <mergeCell ref="V62:W62"/>
    <mergeCell ref="AB62:AC62"/>
    <mergeCell ref="Z62:AA62"/>
    <mergeCell ref="AF62:AG62"/>
    <mergeCell ref="AD62:AE62"/>
  </mergeCells>
  <conditionalFormatting sqref="F2:F60">
    <cfRule type="containsText" priority="6" operator="containsText" dxfId="1" text="No">
      <formula>NOT(ISERROR(SEARCH("No",F2)))</formula>
    </cfRule>
    <cfRule type="containsText" priority="7" operator="containsText" dxfId="0" text="Yes">
      <formula>NOT(ISERROR(SEARCH("Yes",F2)))</formula>
    </cfRule>
  </conditionalFormatting>
  <conditionalFormatting sqref="F58:F60">
    <cfRule type="containsText" priority="3" operator="containsText" dxfId="1" text="No">
      <formula>NOT(ISERROR(SEARCH("No",F58)))</formula>
    </cfRule>
    <cfRule type="containsText" priority="4" operator="containsText" dxfId="0" text="Yes">
      <formula>NOT(ISERROR(SEARCH("Yes",F58)))</formula>
    </cfRule>
  </conditionalFormatting>
  <conditionalFormatting sqref="C58:C60">
    <cfRule type="containsText" priority="1" operator="containsText" dxfId="1" text="No">
      <formula>NOT(ISERROR(SEARCH("No",C58)))</formula>
    </cfRule>
    <cfRule type="containsText" priority="2" operator="containsText" dxfId="0" text="Yes">
      <formula>NOT(ISERROR(SEARCH("Yes",C58)))</formula>
    </cfRule>
  </conditionalFormatting>
  <dataValidations count="1">
    <dataValidation sqref="C58:C60" showDropDown="0" showInputMessage="1" showErrorMessage="1" allowBlank="1" operator="equal">
      <formula1>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5"/>
  <sheetViews>
    <sheetView topLeftCell="A36" zoomScale="85" zoomScaleNormal="85" workbookViewId="0">
      <selection activeCell="A1" sqref="A1:F61"/>
    </sheetView>
  </sheetViews>
  <sheetFormatPr baseColWidth="8" defaultColWidth="8.7109375" defaultRowHeight="14.45"/>
  <cols>
    <col width="27.85546875" customWidth="1" style="54" min="1" max="1"/>
    <col width="9.140625" customWidth="1" style="27" min="2" max="5"/>
    <col width="9.140625" customWidth="1" style="54" min="6" max="6"/>
    <col width="11.7109375" customWidth="1" style="54" min="7" max="7"/>
    <col width="12.7109375" customWidth="1" style="54" min="8" max="34"/>
  </cols>
  <sheetData>
    <row r="1">
      <c r="A1" t="inlineStr">
        <is>
          <t>#</t>
        </is>
      </c>
      <c r="B1" s="27" t="inlineStr">
        <is>
          <t>Q0_i</t>
        </is>
      </c>
      <c r="C1" s="27" t="inlineStr">
        <is>
          <t>Q0_ii</t>
        </is>
      </c>
      <c r="D1" s="27" t="inlineStr">
        <is>
          <t>Q0_iii</t>
        </is>
      </c>
      <c r="E1" s="27" t="inlineStr">
        <is>
          <t>Q0_iv</t>
        </is>
      </c>
      <c r="F1" t="inlineStr">
        <is>
          <t>Hall.</t>
        </is>
      </c>
      <c r="H1" t="inlineStr">
        <is>
          <t>Q0_i &amp;&amp; Q0_ii</t>
        </is>
      </c>
      <c r="I1" t="inlineStr">
        <is>
          <t>Q0_i || Q0_ii</t>
        </is>
      </c>
      <c r="J1" t="inlineStr">
        <is>
          <t>Q0_i &amp;&amp; Q0_iii</t>
        </is>
      </c>
      <c r="K1" t="inlineStr">
        <is>
          <t>Q0_i || Q0_iii</t>
        </is>
      </c>
      <c r="L1" t="inlineStr">
        <is>
          <t>Q0_i &amp;&amp; Q0_iv</t>
        </is>
      </c>
      <c r="M1" t="inlineStr">
        <is>
          <t>Q0_i || Q0_iv</t>
        </is>
      </c>
      <c r="N1" t="inlineStr">
        <is>
          <t>Q0_ii &amp;&amp; Q0_iii</t>
        </is>
      </c>
      <c r="O1" t="inlineStr">
        <is>
          <t>Q0_ii || Q0_iii</t>
        </is>
      </c>
      <c r="P1" t="inlineStr">
        <is>
          <t>Q0_ii &amp;&amp; Q0_iv</t>
        </is>
      </c>
      <c r="Q1" t="inlineStr">
        <is>
          <t>Q0_ii || Q0_iv</t>
        </is>
      </c>
      <c r="R1" t="inlineStr">
        <is>
          <t>Q0_iii &amp;&amp; Q0_iv</t>
        </is>
      </c>
      <c r="S1" t="inlineStr">
        <is>
          <t>Q0_iii || Q0_iv</t>
        </is>
      </c>
      <c r="V1" t="inlineStr">
        <is>
          <t>Q0_i &amp;&amp; Q0_ii</t>
        </is>
      </c>
      <c r="W1" t="inlineStr">
        <is>
          <t>Q0_i || Q0_ii</t>
        </is>
      </c>
      <c r="X1" t="inlineStr">
        <is>
          <t>Q0_i &amp;&amp; Q0_iii</t>
        </is>
      </c>
      <c r="Y1" t="inlineStr">
        <is>
          <t>Q0_i || Q0_iii</t>
        </is>
      </c>
      <c r="Z1" t="inlineStr">
        <is>
          <t>Q0_i &amp;&amp; Q0_iv</t>
        </is>
      </c>
      <c r="AA1" t="inlineStr">
        <is>
          <t>Q0_i || Q0_iv</t>
        </is>
      </c>
      <c r="AB1" t="inlineStr">
        <is>
          <t>Q0_ii &amp;&amp; Q0_iii</t>
        </is>
      </c>
      <c r="AC1" t="inlineStr">
        <is>
          <t>Q0_ii || Q0_iii</t>
        </is>
      </c>
      <c r="AD1" t="inlineStr">
        <is>
          <t>Q0_ii &amp;&amp; Q0_iv</t>
        </is>
      </c>
      <c r="AE1" t="inlineStr">
        <is>
          <t>Q0_ii || Q0_iv</t>
        </is>
      </c>
      <c r="AF1" t="inlineStr">
        <is>
          <t>Q0_iii &amp;&amp; Q0_iv</t>
        </is>
      </c>
      <c r="AG1" t="inlineStr">
        <is>
          <t>Q0_iii || Q0_iv</t>
        </is>
      </c>
    </row>
    <row r="2">
      <c r="A2" s="44" t="inlineStr">
        <is>
          <t>H.1.1</t>
        </is>
      </c>
      <c r="B2" s="27" t="inlineStr">
        <is>
          <t>X</t>
        </is>
      </c>
      <c r="C2" s="27" t="inlineStr">
        <is>
          <t>X</t>
        </is>
      </c>
      <c r="D2" s="27" t="inlineStr">
        <is>
          <t>X</t>
        </is>
      </c>
      <c r="E2" s="27" t="inlineStr">
        <is>
          <t>X</t>
        </is>
      </c>
      <c r="F2" s="47" t="inlineStr">
        <is>
          <t>No</t>
        </is>
      </c>
      <c r="H2">
        <f>AND(B2&lt;&gt;"",C2&lt;&gt;"")</f>
        <v/>
      </c>
      <c r="I2">
        <f>OR(B2&lt;&gt;"",C2&lt;&gt;"")</f>
        <v/>
      </c>
      <c r="J2">
        <f>AND(B2&lt;&gt;"",D2&lt;&gt;"")</f>
        <v/>
      </c>
      <c r="K2">
        <f>OR(B2&lt;&gt;"",D2&lt;&gt;"")</f>
        <v/>
      </c>
      <c r="L2">
        <f>AND(B2&lt;&gt;"",E2&lt;&gt;"")</f>
        <v/>
      </c>
      <c r="M2">
        <f>OR(B2&lt;&gt;"",E2&lt;&gt;"")</f>
        <v/>
      </c>
      <c r="N2">
        <f>AND(C2&lt;&gt;"",D2&lt;&gt;"")</f>
        <v/>
      </c>
      <c r="O2">
        <f>OR(C2&lt;&gt;"",D2&lt;&gt;"")</f>
        <v/>
      </c>
      <c r="P2">
        <f>AND(C2&lt;&gt;"",E2&lt;&gt;"")</f>
        <v/>
      </c>
      <c r="Q2">
        <f>OR(C2&lt;&gt;"",E2&lt;&gt;"")</f>
        <v/>
      </c>
      <c r="R2">
        <f>AND(D2&lt;&gt;"",E2&lt;&gt;"")</f>
        <v/>
      </c>
      <c r="S2">
        <f>OR(D2&lt;&gt;"",E2&lt;&gt;"")</f>
        <v/>
      </c>
      <c r="V2">
        <f>AND(B2&lt;&gt;"",C2&lt;&gt;"",F2="No")</f>
        <v/>
      </c>
      <c r="W2">
        <f>AND(OR(B2&lt;&gt;"",C2&lt;&gt;""),F2="No")</f>
        <v/>
      </c>
      <c r="X2">
        <f>AND(B2&lt;&gt;"",D2&lt;&gt;"",F2="No")</f>
        <v/>
      </c>
      <c r="Y2">
        <f>AND(OR(B2&lt;&gt;"",D2&lt;&gt;""),F2="No")</f>
        <v/>
      </c>
      <c r="Z2">
        <f>AND(B2&lt;&gt;"",E2&lt;&gt;"",F2="No")</f>
        <v/>
      </c>
      <c r="AA2">
        <f>AND(OR(B2&lt;&gt;"",E2&lt;&gt;""),F2="No")</f>
        <v/>
      </c>
      <c r="AB2">
        <f>AND(C2&lt;&gt;"",D2&lt;&gt;"",F2="No")</f>
        <v/>
      </c>
      <c r="AC2">
        <f>AND(OR(C2&lt;&gt;"",D2&lt;&gt;""),F2="No")</f>
        <v/>
      </c>
      <c r="AD2">
        <f>AND(C2&lt;&gt;"",E2&lt;&gt;"",F2="No")</f>
        <v/>
      </c>
      <c r="AE2">
        <f>AND(OR(C2&lt;&gt;"",E2&lt;&gt;""),F2="No")</f>
        <v/>
      </c>
      <c r="AF2">
        <f>AND(D2&lt;&gt;"",E2&lt;&gt;"",F2="No")</f>
        <v/>
      </c>
      <c r="AG2">
        <f>AND(OR(D2&lt;&gt;"",E2&lt;&gt;""),F2="No")</f>
        <v/>
      </c>
    </row>
    <row r="3">
      <c r="A3" s="44" t="inlineStr">
        <is>
          <t>H.1.2</t>
        </is>
      </c>
      <c r="E3" s="27" t="inlineStr">
        <is>
          <t>P</t>
        </is>
      </c>
      <c r="F3" s="47" t="inlineStr">
        <is>
          <t>No</t>
        </is>
      </c>
      <c r="H3">
        <f>AND(B3&lt;&gt;"",C3&lt;&gt;"")</f>
        <v/>
      </c>
      <c r="I3">
        <f>OR(B3&lt;&gt;"",C3&lt;&gt;"")</f>
        <v/>
      </c>
      <c r="J3">
        <f>AND(B3&lt;&gt;"",D3&lt;&gt;"")</f>
        <v/>
      </c>
      <c r="K3">
        <f>OR(B3&lt;&gt;"",D3&lt;&gt;"")</f>
        <v/>
      </c>
      <c r="L3">
        <f>AND(B3&lt;&gt;"",E3&lt;&gt;"")</f>
        <v/>
      </c>
      <c r="M3">
        <f>OR(B3&lt;&gt;"",E3&lt;&gt;"")</f>
        <v/>
      </c>
      <c r="N3">
        <f>AND(C3&lt;&gt;"",D3&lt;&gt;"")</f>
        <v/>
      </c>
      <c r="O3">
        <f>OR(C3&lt;&gt;"",D3&lt;&gt;"")</f>
        <v/>
      </c>
      <c r="P3">
        <f>AND(C3&lt;&gt;"",E3&lt;&gt;"")</f>
        <v/>
      </c>
      <c r="Q3">
        <f>OR(C3&lt;&gt;"",E3&lt;&gt;"")</f>
        <v/>
      </c>
      <c r="R3">
        <f>AND(D3&lt;&gt;"",E3&lt;&gt;"")</f>
        <v/>
      </c>
      <c r="S3">
        <f>OR(D3&lt;&gt;"",E3&lt;&gt;"")</f>
        <v/>
      </c>
      <c r="V3">
        <f>AND(B3&lt;&gt;"",C3&lt;&gt;"",F3="No")</f>
        <v/>
      </c>
      <c r="W3">
        <f>AND(OR(B3&lt;&gt;"",C3&lt;&gt;""),F3="No")</f>
        <v/>
      </c>
      <c r="X3">
        <f>AND(B3&lt;&gt;"",D3&lt;&gt;"",F3="No")</f>
        <v/>
      </c>
      <c r="Y3">
        <f>AND(OR(B3&lt;&gt;"",D3&lt;&gt;""),F3="No")</f>
        <v/>
      </c>
      <c r="Z3">
        <f>AND(B3&lt;&gt;"",E3&lt;&gt;"",F3="No")</f>
        <v/>
      </c>
      <c r="AA3">
        <f>AND(OR(B3&lt;&gt;"",E3&lt;&gt;""),F3="No")</f>
        <v/>
      </c>
      <c r="AB3">
        <f>AND(C3&lt;&gt;"",D3&lt;&gt;"",F3="No")</f>
        <v/>
      </c>
      <c r="AC3">
        <f>AND(OR(C3&lt;&gt;"",D3&lt;&gt;""),F3="No")</f>
        <v/>
      </c>
      <c r="AD3">
        <f>AND(C3&lt;&gt;"",E3&lt;&gt;"",F3="No")</f>
        <v/>
      </c>
      <c r="AE3">
        <f>AND(OR(C3&lt;&gt;"",E3&lt;&gt;""),F3="No")</f>
        <v/>
      </c>
      <c r="AF3">
        <f>AND(D3&lt;&gt;"",E3&lt;&gt;"",F3="No")</f>
        <v/>
      </c>
      <c r="AG3">
        <f>AND(OR(D3&lt;&gt;"",E3&lt;&gt;""),F3="No")</f>
        <v/>
      </c>
    </row>
    <row r="4">
      <c r="A4" s="44" t="inlineStr">
        <is>
          <t>H.2.1</t>
        </is>
      </c>
      <c r="B4" s="27" t="inlineStr">
        <is>
          <t>P</t>
        </is>
      </c>
      <c r="C4" s="27" t="inlineStr">
        <is>
          <t>X</t>
        </is>
      </c>
      <c r="D4" s="27" t="inlineStr">
        <is>
          <t>X</t>
        </is>
      </c>
      <c r="E4" s="27" t="inlineStr">
        <is>
          <t>P</t>
        </is>
      </c>
      <c r="F4" s="47" t="inlineStr">
        <is>
          <t>No</t>
        </is>
      </c>
      <c r="H4">
        <f>AND(B4&lt;&gt;"",C4&lt;&gt;"")</f>
        <v/>
      </c>
      <c r="I4">
        <f>OR(B4&lt;&gt;"",C4&lt;&gt;"")</f>
        <v/>
      </c>
      <c r="J4">
        <f>AND(B4&lt;&gt;"",D4&lt;&gt;"")</f>
        <v/>
      </c>
      <c r="K4">
        <f>OR(B4&lt;&gt;"",D4&lt;&gt;"")</f>
        <v/>
      </c>
      <c r="L4">
        <f>AND(B4&lt;&gt;"",E4&lt;&gt;"")</f>
        <v/>
      </c>
      <c r="M4">
        <f>OR(B4&lt;&gt;"",E4&lt;&gt;"")</f>
        <v/>
      </c>
      <c r="N4">
        <f>AND(C4&lt;&gt;"",D4&lt;&gt;"")</f>
        <v/>
      </c>
      <c r="O4">
        <f>OR(C4&lt;&gt;"",D4&lt;&gt;"")</f>
        <v/>
      </c>
      <c r="P4">
        <f>AND(C4&lt;&gt;"",E4&lt;&gt;"")</f>
        <v/>
      </c>
      <c r="Q4">
        <f>OR(C4&lt;&gt;"",E4&lt;&gt;"")</f>
        <v/>
      </c>
      <c r="R4">
        <f>AND(D4&lt;&gt;"",E4&lt;&gt;"")</f>
        <v/>
      </c>
      <c r="S4">
        <f>OR(D4&lt;&gt;"",E4&lt;&gt;"")</f>
        <v/>
      </c>
      <c r="V4">
        <f>AND(B4&lt;&gt;"",C4&lt;&gt;"",F4="No")</f>
        <v/>
      </c>
      <c r="W4">
        <f>AND(OR(B4&lt;&gt;"",C4&lt;&gt;""),F4="No")</f>
        <v/>
      </c>
      <c r="X4">
        <f>AND(B4&lt;&gt;"",D4&lt;&gt;"",F4="No")</f>
        <v/>
      </c>
      <c r="Y4">
        <f>AND(OR(B4&lt;&gt;"",D4&lt;&gt;""),F4="No")</f>
        <v/>
      </c>
      <c r="Z4">
        <f>AND(B4&lt;&gt;"",E4&lt;&gt;"",F4="No")</f>
        <v/>
      </c>
      <c r="AA4">
        <f>AND(OR(B4&lt;&gt;"",E4&lt;&gt;""),F4="No")</f>
        <v/>
      </c>
      <c r="AB4">
        <f>AND(C4&lt;&gt;"",D4&lt;&gt;"",F4="No")</f>
        <v/>
      </c>
      <c r="AC4">
        <f>AND(OR(C4&lt;&gt;"",D4&lt;&gt;""),F4="No")</f>
        <v/>
      </c>
      <c r="AD4">
        <f>AND(C4&lt;&gt;"",E4&lt;&gt;"",F4="No")</f>
        <v/>
      </c>
      <c r="AE4">
        <f>AND(OR(C4&lt;&gt;"",E4&lt;&gt;""),F4="No")</f>
        <v/>
      </c>
      <c r="AF4">
        <f>AND(D4&lt;&gt;"",E4&lt;&gt;"",F4="No")</f>
        <v/>
      </c>
      <c r="AG4">
        <f>AND(OR(D4&lt;&gt;"",E4&lt;&gt;""),F4="No")</f>
        <v/>
      </c>
    </row>
    <row r="5">
      <c r="A5" t="inlineStr">
        <is>
          <t>Q0_iii.2.4</t>
        </is>
      </c>
      <c r="D5" s="27" t="inlineStr">
        <is>
          <t>X</t>
        </is>
      </c>
      <c r="F5" s="47" t="inlineStr">
        <is>
          <t>Yes</t>
        </is>
      </c>
      <c r="H5">
        <f>AND(B5&lt;&gt;"",C5&lt;&gt;"")</f>
        <v/>
      </c>
      <c r="I5">
        <f>OR(B5&lt;&gt;"",C5&lt;&gt;"")</f>
        <v/>
      </c>
      <c r="J5">
        <f>AND(B5&lt;&gt;"",D5&lt;&gt;"")</f>
        <v/>
      </c>
      <c r="K5">
        <f>OR(B5&lt;&gt;"",D5&lt;&gt;"")</f>
        <v/>
      </c>
      <c r="L5">
        <f>AND(B5&lt;&gt;"",E5&lt;&gt;"")</f>
        <v/>
      </c>
      <c r="M5">
        <f>OR(B5&lt;&gt;"",E5&lt;&gt;"")</f>
        <v/>
      </c>
      <c r="N5">
        <f>AND(C5&lt;&gt;"",D5&lt;&gt;"")</f>
        <v/>
      </c>
      <c r="O5">
        <f>OR(C5&lt;&gt;"",D5&lt;&gt;"")</f>
        <v/>
      </c>
      <c r="P5">
        <f>AND(C5&lt;&gt;"",E5&lt;&gt;"")</f>
        <v/>
      </c>
      <c r="Q5">
        <f>OR(C5&lt;&gt;"",E5&lt;&gt;"")</f>
        <v/>
      </c>
      <c r="R5">
        <f>AND(D5&lt;&gt;"",E5&lt;&gt;"")</f>
        <v/>
      </c>
      <c r="S5">
        <f>OR(D5&lt;&gt;"",E5&lt;&gt;"")</f>
        <v/>
      </c>
      <c r="V5">
        <f>AND(B5&lt;&gt;"",C5&lt;&gt;"",F5="No")</f>
        <v/>
      </c>
      <c r="W5">
        <f>AND(OR(B5&lt;&gt;"",C5&lt;&gt;""),F5="No")</f>
        <v/>
      </c>
      <c r="X5">
        <f>AND(B5&lt;&gt;"",D5&lt;&gt;"",F5="No")</f>
        <v/>
      </c>
      <c r="Y5">
        <f>AND(OR(B5&lt;&gt;"",D5&lt;&gt;""),F5="No")</f>
        <v/>
      </c>
      <c r="Z5">
        <f>AND(B5&lt;&gt;"",E5&lt;&gt;"",F5="No")</f>
        <v/>
      </c>
      <c r="AA5">
        <f>AND(OR(B5&lt;&gt;"",E5&lt;&gt;""),F5="No")</f>
        <v/>
      </c>
      <c r="AB5">
        <f>AND(C5&lt;&gt;"",D5&lt;&gt;"",F5="No")</f>
        <v/>
      </c>
      <c r="AC5">
        <f>AND(OR(C5&lt;&gt;"",D5&lt;&gt;""),F5="No")</f>
        <v/>
      </c>
      <c r="AD5">
        <f>AND(C5&lt;&gt;"",E5&lt;&gt;"",F5="No")</f>
        <v/>
      </c>
      <c r="AE5">
        <f>AND(OR(C5&lt;&gt;"",E5&lt;&gt;""),F5="No")</f>
        <v/>
      </c>
      <c r="AF5">
        <f>AND(D5&lt;&gt;"",E5&lt;&gt;"",F5="No")</f>
        <v/>
      </c>
      <c r="AG5">
        <f>AND(OR(D5&lt;&gt;"",E5&lt;&gt;""),F5="No")</f>
        <v/>
      </c>
    </row>
    <row r="6">
      <c r="A6" s="44" t="inlineStr">
        <is>
          <t>H.3.1</t>
        </is>
      </c>
      <c r="B6" s="27" t="inlineStr">
        <is>
          <t>P</t>
        </is>
      </c>
      <c r="C6" s="27" t="inlineStr">
        <is>
          <t>X</t>
        </is>
      </c>
      <c r="D6" s="27" t="inlineStr">
        <is>
          <t>X</t>
        </is>
      </c>
      <c r="E6" s="27" t="inlineStr">
        <is>
          <t>P</t>
        </is>
      </c>
      <c r="F6" s="47" t="inlineStr">
        <is>
          <t>No</t>
        </is>
      </c>
      <c r="H6">
        <f>AND(B6&lt;&gt;"",C6&lt;&gt;"")</f>
        <v/>
      </c>
      <c r="I6">
        <f>OR(B6&lt;&gt;"",C6&lt;&gt;"")</f>
        <v/>
      </c>
      <c r="J6">
        <f>AND(B6&lt;&gt;"",D6&lt;&gt;"")</f>
        <v/>
      </c>
      <c r="K6">
        <f>OR(B6&lt;&gt;"",D6&lt;&gt;"")</f>
        <v/>
      </c>
      <c r="L6">
        <f>AND(B6&lt;&gt;"",E6&lt;&gt;"")</f>
        <v/>
      </c>
      <c r="M6">
        <f>OR(B6&lt;&gt;"",E6&lt;&gt;"")</f>
        <v/>
      </c>
      <c r="N6">
        <f>AND(C6&lt;&gt;"",D6&lt;&gt;"")</f>
        <v/>
      </c>
      <c r="O6">
        <f>OR(C6&lt;&gt;"",D6&lt;&gt;"")</f>
        <v/>
      </c>
      <c r="P6">
        <f>AND(C6&lt;&gt;"",E6&lt;&gt;"")</f>
        <v/>
      </c>
      <c r="Q6">
        <f>OR(C6&lt;&gt;"",E6&lt;&gt;"")</f>
        <v/>
      </c>
      <c r="R6">
        <f>AND(D6&lt;&gt;"",E6&lt;&gt;"")</f>
        <v/>
      </c>
      <c r="S6">
        <f>OR(D6&lt;&gt;"",E6&lt;&gt;"")</f>
        <v/>
      </c>
      <c r="V6">
        <f>AND(B6&lt;&gt;"",C6&lt;&gt;"",F6="No")</f>
        <v/>
      </c>
      <c r="W6">
        <f>AND(OR(B6&lt;&gt;"",C6&lt;&gt;""),F6="No")</f>
        <v/>
      </c>
      <c r="X6">
        <f>AND(B6&lt;&gt;"",D6&lt;&gt;"",F6="No")</f>
        <v/>
      </c>
      <c r="Y6">
        <f>AND(OR(B6&lt;&gt;"",D6&lt;&gt;""),F6="No")</f>
        <v/>
      </c>
      <c r="Z6">
        <f>AND(B6&lt;&gt;"",E6&lt;&gt;"",F6="No")</f>
        <v/>
      </c>
      <c r="AA6">
        <f>AND(OR(B6&lt;&gt;"",E6&lt;&gt;""),F6="No")</f>
        <v/>
      </c>
      <c r="AB6">
        <f>AND(C6&lt;&gt;"",D6&lt;&gt;"",F6="No")</f>
        <v/>
      </c>
      <c r="AC6">
        <f>AND(OR(C6&lt;&gt;"",D6&lt;&gt;""),F6="No")</f>
        <v/>
      </c>
      <c r="AD6">
        <f>AND(C6&lt;&gt;"",E6&lt;&gt;"",F6="No")</f>
        <v/>
      </c>
      <c r="AE6">
        <f>AND(OR(C6&lt;&gt;"",E6&lt;&gt;""),F6="No")</f>
        <v/>
      </c>
      <c r="AF6">
        <f>AND(D6&lt;&gt;"",E6&lt;&gt;"",F6="No")</f>
        <v/>
      </c>
      <c r="AG6">
        <f>AND(OR(D6&lt;&gt;"",E6&lt;&gt;""),F6="No")</f>
        <v/>
      </c>
    </row>
    <row r="7">
      <c r="A7" s="44" t="inlineStr">
        <is>
          <t>H.3.4</t>
        </is>
      </c>
      <c r="B7" s="27" t="inlineStr">
        <is>
          <t>X</t>
        </is>
      </c>
      <c r="C7" s="27" t="inlineStr">
        <is>
          <t>X</t>
        </is>
      </c>
      <c r="D7" s="27" t="inlineStr">
        <is>
          <t>X</t>
        </is>
      </c>
      <c r="E7" s="27" t="inlineStr">
        <is>
          <t>P</t>
        </is>
      </c>
      <c r="F7" s="47" t="inlineStr">
        <is>
          <t>No</t>
        </is>
      </c>
      <c r="H7">
        <f>AND(B7&lt;&gt;"",C7&lt;&gt;"")</f>
        <v/>
      </c>
      <c r="I7">
        <f>OR(B7&lt;&gt;"",C7&lt;&gt;"")</f>
        <v/>
      </c>
      <c r="J7">
        <f>AND(B7&lt;&gt;"",D7&lt;&gt;"")</f>
        <v/>
      </c>
      <c r="K7">
        <f>OR(B7&lt;&gt;"",D7&lt;&gt;"")</f>
        <v/>
      </c>
      <c r="L7">
        <f>AND(B7&lt;&gt;"",E7&lt;&gt;"")</f>
        <v/>
      </c>
      <c r="M7">
        <f>OR(B7&lt;&gt;"",E7&lt;&gt;"")</f>
        <v/>
      </c>
      <c r="N7">
        <f>AND(C7&lt;&gt;"",D7&lt;&gt;"")</f>
        <v/>
      </c>
      <c r="O7">
        <f>OR(C7&lt;&gt;"",D7&lt;&gt;"")</f>
        <v/>
      </c>
      <c r="P7">
        <f>AND(C7&lt;&gt;"",E7&lt;&gt;"")</f>
        <v/>
      </c>
      <c r="Q7">
        <f>OR(C7&lt;&gt;"",E7&lt;&gt;"")</f>
        <v/>
      </c>
      <c r="R7">
        <f>AND(D7&lt;&gt;"",E7&lt;&gt;"")</f>
        <v/>
      </c>
      <c r="S7">
        <f>OR(D7&lt;&gt;"",E7&lt;&gt;"")</f>
        <v/>
      </c>
      <c r="V7">
        <f>AND(B7&lt;&gt;"",C7&lt;&gt;"",F7="No")</f>
        <v/>
      </c>
      <c r="W7">
        <f>AND(OR(B7&lt;&gt;"",C7&lt;&gt;""),F7="No")</f>
        <v/>
      </c>
      <c r="X7">
        <f>AND(B7&lt;&gt;"",D7&lt;&gt;"",F7="No")</f>
        <v/>
      </c>
      <c r="Y7">
        <f>AND(OR(B7&lt;&gt;"",D7&lt;&gt;""),F7="No")</f>
        <v/>
      </c>
      <c r="Z7">
        <f>AND(B7&lt;&gt;"",E7&lt;&gt;"",F7="No")</f>
        <v/>
      </c>
      <c r="AA7">
        <f>AND(OR(B7&lt;&gt;"",E7&lt;&gt;""),F7="No")</f>
        <v/>
      </c>
      <c r="AB7">
        <f>AND(C7&lt;&gt;"",D7&lt;&gt;"",F7="No")</f>
        <v/>
      </c>
      <c r="AC7">
        <f>AND(OR(C7&lt;&gt;"",D7&lt;&gt;""),F7="No")</f>
        <v/>
      </c>
      <c r="AD7">
        <f>AND(C7&lt;&gt;"",E7&lt;&gt;"",F7="No")</f>
        <v/>
      </c>
      <c r="AE7">
        <f>AND(OR(C7&lt;&gt;"",E7&lt;&gt;""),F7="No")</f>
        <v/>
      </c>
      <c r="AF7">
        <f>AND(D7&lt;&gt;"",E7&lt;&gt;"",F7="No")</f>
        <v/>
      </c>
      <c r="AG7">
        <f>AND(OR(D7&lt;&gt;"",E7&lt;&gt;""),F7="No")</f>
        <v/>
      </c>
    </row>
    <row r="8">
      <c r="A8" s="44" t="inlineStr">
        <is>
          <t>GS.3.6</t>
        </is>
      </c>
      <c r="B8" s="27" t="inlineStr">
        <is>
          <t>X</t>
        </is>
      </c>
      <c r="F8" s="47" t="inlineStr">
        <is>
          <t>No</t>
        </is>
      </c>
      <c r="H8">
        <f>AND(B8&lt;&gt;"",C8&lt;&gt;"")</f>
        <v/>
      </c>
      <c r="I8">
        <f>OR(B8&lt;&gt;"",C8&lt;&gt;"")</f>
        <v/>
      </c>
      <c r="J8">
        <f>AND(B8&lt;&gt;"",D8&lt;&gt;"")</f>
        <v/>
      </c>
      <c r="K8">
        <f>OR(B8&lt;&gt;"",D8&lt;&gt;"")</f>
        <v/>
      </c>
      <c r="L8">
        <f>AND(B8&lt;&gt;"",E8&lt;&gt;"")</f>
        <v/>
      </c>
      <c r="M8">
        <f>OR(B8&lt;&gt;"",E8&lt;&gt;"")</f>
        <v/>
      </c>
      <c r="N8">
        <f>AND(C8&lt;&gt;"",D8&lt;&gt;"")</f>
        <v/>
      </c>
      <c r="O8">
        <f>OR(C8&lt;&gt;"",D8&lt;&gt;"")</f>
        <v/>
      </c>
      <c r="P8">
        <f>AND(C8&lt;&gt;"",E8&lt;&gt;"")</f>
        <v/>
      </c>
      <c r="Q8">
        <f>OR(C8&lt;&gt;"",E8&lt;&gt;"")</f>
        <v/>
      </c>
      <c r="R8">
        <f>AND(D8&lt;&gt;"",E8&lt;&gt;"")</f>
        <v/>
      </c>
      <c r="S8">
        <f>OR(D8&lt;&gt;"",E8&lt;&gt;"")</f>
        <v/>
      </c>
      <c r="V8">
        <f>AND(B8&lt;&gt;"",C8&lt;&gt;"",F8="No")</f>
        <v/>
      </c>
      <c r="W8">
        <f>AND(OR(B8&lt;&gt;"",C8&lt;&gt;""),F8="No")</f>
        <v/>
      </c>
      <c r="X8">
        <f>AND(B8&lt;&gt;"",D8&lt;&gt;"",F8="No")</f>
        <v/>
      </c>
      <c r="Y8">
        <f>AND(OR(B8&lt;&gt;"",D8&lt;&gt;""),F8="No")</f>
        <v/>
      </c>
      <c r="Z8">
        <f>AND(B8&lt;&gt;"",E8&lt;&gt;"",F8="No")</f>
        <v/>
      </c>
      <c r="AA8">
        <f>AND(OR(B8&lt;&gt;"",E8&lt;&gt;""),F8="No")</f>
        <v/>
      </c>
      <c r="AB8">
        <f>AND(C8&lt;&gt;"",D8&lt;&gt;"",F8="No")</f>
        <v/>
      </c>
      <c r="AC8">
        <f>AND(OR(C8&lt;&gt;"",D8&lt;&gt;""),F8="No")</f>
        <v/>
      </c>
      <c r="AD8">
        <f>AND(C8&lt;&gt;"",E8&lt;&gt;"",F8="No")</f>
        <v/>
      </c>
      <c r="AE8">
        <f>AND(OR(C8&lt;&gt;"",E8&lt;&gt;""),F8="No")</f>
        <v/>
      </c>
      <c r="AF8">
        <f>AND(D8&lt;&gt;"",E8&lt;&gt;"",F8="No")</f>
        <v/>
      </c>
      <c r="AG8">
        <f>AND(OR(D8&lt;&gt;"",E8&lt;&gt;""),F8="No")</f>
        <v/>
      </c>
    </row>
    <row r="9">
      <c r="A9" t="inlineStr">
        <is>
          <t>Q0.3.2</t>
        </is>
      </c>
      <c r="B9" s="27" t="inlineStr">
        <is>
          <t>X</t>
        </is>
      </c>
      <c r="F9" s="47" t="inlineStr">
        <is>
          <t>Yes</t>
        </is>
      </c>
      <c r="H9">
        <f>AND(B9&lt;&gt;"",C9&lt;&gt;"")</f>
        <v/>
      </c>
      <c r="I9">
        <f>OR(B9&lt;&gt;"",C9&lt;&gt;"")</f>
        <v/>
      </c>
      <c r="J9">
        <f>AND(B9&lt;&gt;"",D9&lt;&gt;"")</f>
        <v/>
      </c>
      <c r="K9">
        <f>OR(B9&lt;&gt;"",D9&lt;&gt;"")</f>
        <v/>
      </c>
      <c r="L9">
        <f>AND(B9&lt;&gt;"",E9&lt;&gt;"")</f>
        <v/>
      </c>
      <c r="M9">
        <f>OR(B9&lt;&gt;"",E9&lt;&gt;"")</f>
        <v/>
      </c>
      <c r="N9">
        <f>AND(C9&lt;&gt;"",D9&lt;&gt;"")</f>
        <v/>
      </c>
      <c r="O9">
        <f>OR(C9&lt;&gt;"",D9&lt;&gt;"")</f>
        <v/>
      </c>
      <c r="P9">
        <f>AND(C9&lt;&gt;"",E9&lt;&gt;"")</f>
        <v/>
      </c>
      <c r="Q9">
        <f>OR(C9&lt;&gt;"",E9&lt;&gt;"")</f>
        <v/>
      </c>
      <c r="R9">
        <f>AND(D9&lt;&gt;"",E9&lt;&gt;"")</f>
        <v/>
      </c>
      <c r="S9">
        <f>OR(D9&lt;&gt;"",E9&lt;&gt;"")</f>
        <v/>
      </c>
      <c r="V9">
        <f>AND(B9&lt;&gt;"",C9&lt;&gt;"",F9="No")</f>
        <v/>
      </c>
      <c r="W9">
        <f>AND(OR(B9&lt;&gt;"",C9&lt;&gt;""),F9="No")</f>
        <v/>
      </c>
      <c r="X9">
        <f>AND(B9&lt;&gt;"",D9&lt;&gt;"",F9="No")</f>
        <v/>
      </c>
      <c r="Y9">
        <f>AND(OR(B9&lt;&gt;"",D9&lt;&gt;""),F9="No")</f>
        <v/>
      </c>
      <c r="Z9">
        <f>AND(B9&lt;&gt;"",E9&lt;&gt;"",F9="No")</f>
        <v/>
      </c>
      <c r="AA9">
        <f>AND(OR(B9&lt;&gt;"",E9&lt;&gt;""),F9="No")</f>
        <v/>
      </c>
      <c r="AB9">
        <f>AND(C9&lt;&gt;"",D9&lt;&gt;"",F9="No")</f>
        <v/>
      </c>
      <c r="AC9">
        <f>AND(OR(C9&lt;&gt;"",D9&lt;&gt;""),F9="No")</f>
        <v/>
      </c>
      <c r="AD9">
        <f>AND(C9&lt;&gt;"",E9&lt;&gt;"",F9="No")</f>
        <v/>
      </c>
      <c r="AE9">
        <f>AND(OR(C9&lt;&gt;"",E9&lt;&gt;""),F9="No")</f>
        <v/>
      </c>
      <c r="AF9">
        <f>AND(D9&lt;&gt;"",E9&lt;&gt;"",F9="No")</f>
        <v/>
      </c>
      <c r="AG9">
        <f>AND(OR(D9&lt;&gt;"",E9&lt;&gt;""),F9="No")</f>
        <v/>
      </c>
    </row>
    <row r="10">
      <c r="A10" t="inlineStr">
        <is>
          <t>Q0.3.7</t>
        </is>
      </c>
      <c r="B10" s="27" t="inlineStr">
        <is>
          <t>X</t>
        </is>
      </c>
      <c r="F10" s="47" t="inlineStr">
        <is>
          <t>Yes</t>
        </is>
      </c>
      <c r="H10">
        <f>AND(B10&lt;&gt;"",C10&lt;&gt;"")</f>
        <v/>
      </c>
      <c r="I10">
        <f>OR(B10&lt;&gt;"",C10&lt;&gt;"")</f>
        <v/>
      </c>
      <c r="J10">
        <f>AND(B10&lt;&gt;"",D10&lt;&gt;"")</f>
        <v/>
      </c>
      <c r="K10">
        <f>OR(B10&lt;&gt;"",D10&lt;&gt;"")</f>
        <v/>
      </c>
      <c r="L10">
        <f>AND(B10&lt;&gt;"",E10&lt;&gt;"")</f>
        <v/>
      </c>
      <c r="M10">
        <f>OR(B10&lt;&gt;"",E10&lt;&gt;"")</f>
        <v/>
      </c>
      <c r="N10">
        <f>AND(C10&lt;&gt;"",D10&lt;&gt;"")</f>
        <v/>
      </c>
      <c r="O10">
        <f>OR(C10&lt;&gt;"",D10&lt;&gt;"")</f>
        <v/>
      </c>
      <c r="P10">
        <f>AND(C10&lt;&gt;"",E10&lt;&gt;"")</f>
        <v/>
      </c>
      <c r="Q10">
        <f>OR(C10&lt;&gt;"",E10&lt;&gt;"")</f>
        <v/>
      </c>
      <c r="R10">
        <f>AND(D10&lt;&gt;"",E10&lt;&gt;"")</f>
        <v/>
      </c>
      <c r="S10">
        <f>OR(D10&lt;&gt;"",E10&lt;&gt;"")</f>
        <v/>
      </c>
      <c r="V10">
        <f>AND(B10&lt;&gt;"",C10&lt;&gt;"",F10="No")</f>
        <v/>
      </c>
      <c r="W10">
        <f>AND(OR(B10&lt;&gt;"",C10&lt;&gt;""),F10="No")</f>
        <v/>
      </c>
      <c r="X10">
        <f>AND(B10&lt;&gt;"",D10&lt;&gt;"",F10="No")</f>
        <v/>
      </c>
      <c r="Y10">
        <f>AND(OR(B10&lt;&gt;"",D10&lt;&gt;""),F10="No")</f>
        <v/>
      </c>
      <c r="Z10">
        <f>AND(B10&lt;&gt;"",E10&lt;&gt;"",F10="No")</f>
        <v/>
      </c>
      <c r="AA10">
        <f>AND(OR(B10&lt;&gt;"",E10&lt;&gt;""),F10="No")</f>
        <v/>
      </c>
      <c r="AB10">
        <f>AND(C10&lt;&gt;"",D10&lt;&gt;"",F10="No")</f>
        <v/>
      </c>
      <c r="AC10">
        <f>AND(OR(C10&lt;&gt;"",D10&lt;&gt;""),F10="No")</f>
        <v/>
      </c>
      <c r="AD10">
        <f>AND(C10&lt;&gt;"",E10&lt;&gt;"",F10="No")</f>
        <v/>
      </c>
      <c r="AE10">
        <f>AND(OR(C10&lt;&gt;"",E10&lt;&gt;""),F10="No")</f>
        <v/>
      </c>
      <c r="AF10">
        <f>AND(D10&lt;&gt;"",E10&lt;&gt;"",F10="No")</f>
        <v/>
      </c>
      <c r="AG10">
        <f>AND(OR(D10&lt;&gt;"",E10&lt;&gt;""),F10="No")</f>
        <v/>
      </c>
    </row>
    <row r="11">
      <c r="A11" t="inlineStr">
        <is>
          <t>Q0.3.8</t>
        </is>
      </c>
      <c r="B11" s="27" t="inlineStr">
        <is>
          <t>X</t>
        </is>
      </c>
      <c r="F11" s="47" t="inlineStr">
        <is>
          <t>Yes</t>
        </is>
      </c>
      <c r="H11">
        <f>AND(B11&lt;&gt;"",C11&lt;&gt;"")</f>
        <v/>
      </c>
      <c r="I11">
        <f>OR(B11&lt;&gt;"",C11&lt;&gt;"")</f>
        <v/>
      </c>
      <c r="J11">
        <f>AND(B11&lt;&gt;"",D11&lt;&gt;"")</f>
        <v/>
      </c>
      <c r="K11">
        <f>OR(B11&lt;&gt;"",D11&lt;&gt;"")</f>
        <v/>
      </c>
      <c r="L11">
        <f>AND(B11&lt;&gt;"",E11&lt;&gt;"")</f>
        <v/>
      </c>
      <c r="M11">
        <f>OR(B11&lt;&gt;"",E11&lt;&gt;"")</f>
        <v/>
      </c>
      <c r="N11">
        <f>AND(C11&lt;&gt;"",D11&lt;&gt;"")</f>
        <v/>
      </c>
      <c r="O11">
        <f>OR(C11&lt;&gt;"",D11&lt;&gt;"")</f>
        <v/>
      </c>
      <c r="P11">
        <f>AND(C11&lt;&gt;"",E11&lt;&gt;"")</f>
        <v/>
      </c>
      <c r="Q11">
        <f>OR(C11&lt;&gt;"",E11&lt;&gt;"")</f>
        <v/>
      </c>
      <c r="R11">
        <f>AND(D11&lt;&gt;"",E11&lt;&gt;"")</f>
        <v/>
      </c>
      <c r="S11">
        <f>OR(D11&lt;&gt;"",E11&lt;&gt;"")</f>
        <v/>
      </c>
      <c r="V11">
        <f>AND(B11&lt;&gt;"",C11&lt;&gt;"",F11="No")</f>
        <v/>
      </c>
      <c r="W11">
        <f>AND(OR(B11&lt;&gt;"",C11&lt;&gt;""),F11="No")</f>
        <v/>
      </c>
      <c r="X11">
        <f>AND(B11&lt;&gt;"",D11&lt;&gt;"",F11="No")</f>
        <v/>
      </c>
      <c r="Y11">
        <f>AND(OR(B11&lt;&gt;"",D11&lt;&gt;""),F11="No")</f>
        <v/>
      </c>
      <c r="Z11">
        <f>AND(B11&lt;&gt;"",E11&lt;&gt;"",F11="No")</f>
        <v/>
      </c>
      <c r="AA11">
        <f>AND(OR(B11&lt;&gt;"",E11&lt;&gt;""),F11="No")</f>
        <v/>
      </c>
      <c r="AB11">
        <f>AND(C11&lt;&gt;"",D11&lt;&gt;"",F11="No")</f>
        <v/>
      </c>
      <c r="AC11">
        <f>AND(OR(C11&lt;&gt;"",D11&lt;&gt;""),F11="No")</f>
        <v/>
      </c>
      <c r="AD11">
        <f>AND(C11&lt;&gt;"",E11&lt;&gt;"",F11="No")</f>
        <v/>
      </c>
      <c r="AE11">
        <f>AND(OR(C11&lt;&gt;"",E11&lt;&gt;""),F11="No")</f>
        <v/>
      </c>
      <c r="AF11">
        <f>AND(D11&lt;&gt;"",E11&lt;&gt;"",F11="No")</f>
        <v/>
      </c>
      <c r="AG11">
        <f>AND(OR(D11&lt;&gt;"",E11&lt;&gt;""),F11="No")</f>
        <v/>
      </c>
    </row>
    <row r="12">
      <c r="A12" t="inlineStr">
        <is>
          <t>Q0.3.9</t>
        </is>
      </c>
      <c r="B12" s="27" t="inlineStr">
        <is>
          <t>X</t>
        </is>
      </c>
      <c r="F12" s="47" t="inlineStr">
        <is>
          <t>Yes</t>
        </is>
      </c>
      <c r="H12">
        <f>AND(B12&lt;&gt;"",C12&lt;&gt;"")</f>
        <v/>
      </c>
      <c r="I12">
        <f>OR(B12&lt;&gt;"",C12&lt;&gt;"")</f>
        <v/>
      </c>
      <c r="J12">
        <f>AND(B12&lt;&gt;"",D12&lt;&gt;"")</f>
        <v/>
      </c>
      <c r="K12">
        <f>OR(B12&lt;&gt;"",D12&lt;&gt;"")</f>
        <v/>
      </c>
      <c r="L12">
        <f>AND(B12&lt;&gt;"",E12&lt;&gt;"")</f>
        <v/>
      </c>
      <c r="M12">
        <f>OR(B12&lt;&gt;"",E12&lt;&gt;"")</f>
        <v/>
      </c>
      <c r="N12">
        <f>AND(C12&lt;&gt;"",D12&lt;&gt;"")</f>
        <v/>
      </c>
      <c r="O12">
        <f>OR(C12&lt;&gt;"",D12&lt;&gt;"")</f>
        <v/>
      </c>
      <c r="P12">
        <f>AND(C12&lt;&gt;"",E12&lt;&gt;"")</f>
        <v/>
      </c>
      <c r="Q12">
        <f>OR(C12&lt;&gt;"",E12&lt;&gt;"")</f>
        <v/>
      </c>
      <c r="R12">
        <f>AND(D12&lt;&gt;"",E12&lt;&gt;"")</f>
        <v/>
      </c>
      <c r="S12">
        <f>OR(D12&lt;&gt;"",E12&lt;&gt;"")</f>
        <v/>
      </c>
      <c r="V12">
        <f>AND(B12&lt;&gt;"",C12&lt;&gt;"",F12="No")</f>
        <v/>
      </c>
      <c r="W12">
        <f>AND(OR(B12&lt;&gt;"",C12&lt;&gt;""),F12="No")</f>
        <v/>
      </c>
      <c r="X12">
        <f>AND(B12&lt;&gt;"",D12&lt;&gt;"",F12="No")</f>
        <v/>
      </c>
      <c r="Y12">
        <f>AND(OR(B12&lt;&gt;"",D12&lt;&gt;""),F12="No")</f>
        <v/>
      </c>
      <c r="Z12">
        <f>AND(B12&lt;&gt;"",E12&lt;&gt;"",F12="No")</f>
        <v/>
      </c>
      <c r="AA12">
        <f>AND(OR(B12&lt;&gt;"",E12&lt;&gt;""),F12="No")</f>
        <v/>
      </c>
      <c r="AB12">
        <f>AND(C12&lt;&gt;"",D12&lt;&gt;"",F12="No")</f>
        <v/>
      </c>
      <c r="AC12">
        <f>AND(OR(C12&lt;&gt;"",D12&lt;&gt;""),F12="No")</f>
        <v/>
      </c>
      <c r="AD12">
        <f>AND(C12&lt;&gt;"",E12&lt;&gt;"",F12="No")</f>
        <v/>
      </c>
      <c r="AE12">
        <f>AND(OR(C12&lt;&gt;"",E12&lt;&gt;""),F12="No")</f>
        <v/>
      </c>
      <c r="AF12">
        <f>AND(D12&lt;&gt;"",E12&lt;&gt;"",F12="No")</f>
        <v/>
      </c>
      <c r="AG12">
        <f>AND(OR(D12&lt;&gt;"",E12&lt;&gt;""),F12="No")</f>
        <v/>
      </c>
    </row>
    <row r="13">
      <c r="A13" t="inlineStr">
        <is>
          <t>Q0_ii.3.2; Q0_iii.3.3; Q0_iv.3.1</t>
        </is>
      </c>
      <c r="C13" s="27" t="inlineStr">
        <is>
          <t>X</t>
        </is>
      </c>
      <c r="D13" s="27" t="inlineStr">
        <is>
          <t>X</t>
        </is>
      </c>
      <c r="E13" s="27" t="inlineStr">
        <is>
          <t>X</t>
        </is>
      </c>
      <c r="F13" s="47" t="inlineStr">
        <is>
          <t>Yes</t>
        </is>
      </c>
      <c r="H13">
        <f>AND(B13&lt;&gt;"",C13&lt;&gt;"")</f>
        <v/>
      </c>
      <c r="I13">
        <f>OR(B13&lt;&gt;"",C13&lt;&gt;"")</f>
        <v/>
      </c>
      <c r="J13">
        <f>AND(B13&lt;&gt;"",D13&lt;&gt;"")</f>
        <v/>
      </c>
      <c r="K13">
        <f>OR(B13&lt;&gt;"",D13&lt;&gt;"")</f>
        <v/>
      </c>
      <c r="L13">
        <f>AND(B13&lt;&gt;"",E13&lt;&gt;"")</f>
        <v/>
      </c>
      <c r="M13">
        <f>OR(B13&lt;&gt;"",E13&lt;&gt;"")</f>
        <v/>
      </c>
      <c r="N13">
        <f>AND(C13&lt;&gt;"",D13&lt;&gt;"")</f>
        <v/>
      </c>
      <c r="O13">
        <f>OR(C13&lt;&gt;"",D13&lt;&gt;"")</f>
        <v/>
      </c>
      <c r="P13">
        <f>AND(C13&lt;&gt;"",E13&lt;&gt;"")</f>
        <v/>
      </c>
      <c r="Q13">
        <f>OR(C13&lt;&gt;"",E13&lt;&gt;"")</f>
        <v/>
      </c>
      <c r="R13">
        <f>AND(D13&lt;&gt;"",E13&lt;&gt;"")</f>
        <v/>
      </c>
      <c r="S13">
        <f>OR(D13&lt;&gt;"",E13&lt;&gt;"")</f>
        <v/>
      </c>
      <c r="V13">
        <f>AND(B13&lt;&gt;"",C13&lt;&gt;"",F13="No")</f>
        <v/>
      </c>
      <c r="W13">
        <f>AND(OR(B13&lt;&gt;"",C13&lt;&gt;""),F13="No")</f>
        <v/>
      </c>
      <c r="X13">
        <f>AND(B13&lt;&gt;"",D13&lt;&gt;"",F13="No")</f>
        <v/>
      </c>
      <c r="Y13">
        <f>AND(OR(B13&lt;&gt;"",D13&lt;&gt;""),F13="No")</f>
        <v/>
      </c>
      <c r="Z13">
        <f>AND(B13&lt;&gt;"",E13&lt;&gt;"",F13="No")</f>
        <v/>
      </c>
      <c r="AA13">
        <f>AND(OR(B13&lt;&gt;"",E13&lt;&gt;""),F13="No")</f>
        <v/>
      </c>
      <c r="AB13">
        <f>AND(C13&lt;&gt;"",D13&lt;&gt;"",F13="No")</f>
        <v/>
      </c>
      <c r="AC13">
        <f>AND(OR(C13&lt;&gt;"",D13&lt;&gt;""),F13="No")</f>
        <v/>
      </c>
      <c r="AD13">
        <f>AND(C13&lt;&gt;"",E13&lt;&gt;"",F13="No")</f>
        <v/>
      </c>
      <c r="AE13">
        <f>AND(OR(C13&lt;&gt;"",E13&lt;&gt;""),F13="No")</f>
        <v/>
      </c>
      <c r="AF13">
        <f>AND(D13&lt;&gt;"",E13&lt;&gt;"",F13="No")</f>
        <v/>
      </c>
      <c r="AG13">
        <f>AND(OR(D13&lt;&gt;"",E13&lt;&gt;""),F13="No")</f>
        <v/>
      </c>
    </row>
    <row r="14">
      <c r="A14" t="inlineStr">
        <is>
          <t>Q0_ii.3.3</t>
        </is>
      </c>
      <c r="C14" s="27" t="inlineStr">
        <is>
          <t>X</t>
        </is>
      </c>
      <c r="F14" s="47" t="inlineStr">
        <is>
          <t>Yes</t>
        </is>
      </c>
      <c r="H14">
        <f>AND(B14&lt;&gt;"",C14&lt;&gt;"")</f>
        <v/>
      </c>
      <c r="I14">
        <f>OR(B14&lt;&gt;"",C14&lt;&gt;"")</f>
        <v/>
      </c>
      <c r="J14">
        <f>AND(B14&lt;&gt;"",D14&lt;&gt;"")</f>
        <v/>
      </c>
      <c r="K14">
        <f>OR(B14&lt;&gt;"",D14&lt;&gt;"")</f>
        <v/>
      </c>
      <c r="L14">
        <f>AND(B14&lt;&gt;"",E14&lt;&gt;"")</f>
        <v/>
      </c>
      <c r="M14">
        <f>OR(B14&lt;&gt;"",E14&lt;&gt;"")</f>
        <v/>
      </c>
      <c r="N14">
        <f>AND(C14&lt;&gt;"",D14&lt;&gt;"")</f>
        <v/>
      </c>
      <c r="O14">
        <f>OR(C14&lt;&gt;"",D14&lt;&gt;"")</f>
        <v/>
      </c>
      <c r="P14">
        <f>AND(C14&lt;&gt;"",E14&lt;&gt;"")</f>
        <v/>
      </c>
      <c r="Q14">
        <f>OR(C14&lt;&gt;"",E14&lt;&gt;"")</f>
        <v/>
      </c>
      <c r="R14">
        <f>AND(D14&lt;&gt;"",E14&lt;&gt;"")</f>
        <v/>
      </c>
      <c r="S14">
        <f>OR(D14&lt;&gt;"",E14&lt;&gt;"")</f>
        <v/>
      </c>
      <c r="V14">
        <f>AND(B14&lt;&gt;"",C14&lt;&gt;"",F14="No")</f>
        <v/>
      </c>
      <c r="W14">
        <f>AND(OR(B14&lt;&gt;"",C14&lt;&gt;""),F14="No")</f>
        <v/>
      </c>
      <c r="X14">
        <f>AND(B14&lt;&gt;"",D14&lt;&gt;"",F14="No")</f>
        <v/>
      </c>
      <c r="Y14">
        <f>AND(OR(B14&lt;&gt;"",D14&lt;&gt;""),F14="No")</f>
        <v/>
      </c>
      <c r="Z14">
        <f>AND(B14&lt;&gt;"",E14&lt;&gt;"",F14="No")</f>
        <v/>
      </c>
      <c r="AA14">
        <f>AND(OR(B14&lt;&gt;"",E14&lt;&gt;""),F14="No")</f>
        <v/>
      </c>
      <c r="AB14">
        <f>AND(C14&lt;&gt;"",D14&lt;&gt;"",F14="No")</f>
        <v/>
      </c>
      <c r="AC14">
        <f>AND(OR(C14&lt;&gt;"",D14&lt;&gt;""),F14="No")</f>
        <v/>
      </c>
      <c r="AD14">
        <f>AND(C14&lt;&gt;"",E14&lt;&gt;"",F14="No")</f>
        <v/>
      </c>
      <c r="AE14">
        <f>AND(OR(C14&lt;&gt;"",E14&lt;&gt;""),F14="No")</f>
        <v/>
      </c>
      <c r="AF14">
        <f>AND(D14&lt;&gt;"",E14&lt;&gt;"",F14="No")</f>
        <v/>
      </c>
      <c r="AG14">
        <f>AND(OR(D14&lt;&gt;"",E14&lt;&gt;""),F14="No")</f>
        <v/>
      </c>
    </row>
    <row r="15">
      <c r="A15" t="inlineStr">
        <is>
          <t>Q0_iii.3.4</t>
        </is>
      </c>
      <c r="D15" s="27" t="inlineStr">
        <is>
          <t>X</t>
        </is>
      </c>
      <c r="F15" s="47" t="inlineStr">
        <is>
          <t>Yes</t>
        </is>
      </c>
      <c r="H15">
        <f>AND(B15&lt;&gt;"",C15&lt;&gt;"")</f>
        <v/>
      </c>
      <c r="I15">
        <f>OR(B15&lt;&gt;"",C15&lt;&gt;"")</f>
        <v/>
      </c>
      <c r="J15">
        <f>AND(B15&lt;&gt;"",D15&lt;&gt;"")</f>
        <v/>
      </c>
      <c r="K15">
        <f>OR(B15&lt;&gt;"",D15&lt;&gt;"")</f>
        <v/>
      </c>
      <c r="L15">
        <f>AND(B15&lt;&gt;"",E15&lt;&gt;"")</f>
        <v/>
      </c>
      <c r="M15">
        <f>OR(B15&lt;&gt;"",E15&lt;&gt;"")</f>
        <v/>
      </c>
      <c r="N15">
        <f>AND(C15&lt;&gt;"",D15&lt;&gt;"")</f>
        <v/>
      </c>
      <c r="O15">
        <f>OR(C15&lt;&gt;"",D15&lt;&gt;"")</f>
        <v/>
      </c>
      <c r="P15">
        <f>AND(C15&lt;&gt;"",E15&lt;&gt;"")</f>
        <v/>
      </c>
      <c r="Q15">
        <f>OR(C15&lt;&gt;"",E15&lt;&gt;"")</f>
        <v/>
      </c>
      <c r="R15">
        <f>AND(D15&lt;&gt;"",E15&lt;&gt;"")</f>
        <v/>
      </c>
      <c r="S15">
        <f>OR(D15&lt;&gt;"",E15&lt;&gt;"")</f>
        <v/>
      </c>
      <c r="V15">
        <f>AND(B15&lt;&gt;"",C15&lt;&gt;"",F15="No")</f>
        <v/>
      </c>
      <c r="W15">
        <f>AND(OR(B15&lt;&gt;"",C15&lt;&gt;""),F15="No")</f>
        <v/>
      </c>
      <c r="X15">
        <f>AND(B15&lt;&gt;"",D15&lt;&gt;"",F15="No")</f>
        <v/>
      </c>
      <c r="Y15">
        <f>AND(OR(B15&lt;&gt;"",D15&lt;&gt;""),F15="No")</f>
        <v/>
      </c>
      <c r="Z15">
        <f>AND(B15&lt;&gt;"",E15&lt;&gt;"",F15="No")</f>
        <v/>
      </c>
      <c r="AA15">
        <f>AND(OR(B15&lt;&gt;"",E15&lt;&gt;""),F15="No")</f>
        <v/>
      </c>
      <c r="AB15">
        <f>AND(C15&lt;&gt;"",D15&lt;&gt;"",F15="No")</f>
        <v/>
      </c>
      <c r="AC15">
        <f>AND(OR(C15&lt;&gt;"",D15&lt;&gt;""),F15="No")</f>
        <v/>
      </c>
      <c r="AD15">
        <f>AND(C15&lt;&gt;"",E15&lt;&gt;"",F15="No")</f>
        <v/>
      </c>
      <c r="AE15">
        <f>AND(OR(C15&lt;&gt;"",E15&lt;&gt;""),F15="No")</f>
        <v/>
      </c>
      <c r="AF15">
        <f>AND(D15&lt;&gt;"",E15&lt;&gt;"",F15="No")</f>
        <v/>
      </c>
      <c r="AG15">
        <f>AND(OR(D15&lt;&gt;"",E15&lt;&gt;""),F15="No")</f>
        <v/>
      </c>
    </row>
    <row r="16">
      <c r="A16" t="inlineStr">
        <is>
          <t>Q0_iii.3.5</t>
        </is>
      </c>
      <c r="D16" s="27" t="inlineStr">
        <is>
          <t>X</t>
        </is>
      </c>
      <c r="F16" s="47" t="inlineStr">
        <is>
          <t>Yes</t>
        </is>
      </c>
      <c r="H16">
        <f>AND(B16&lt;&gt;"",C16&lt;&gt;"")</f>
        <v/>
      </c>
      <c r="I16">
        <f>OR(B16&lt;&gt;"",C16&lt;&gt;"")</f>
        <v/>
      </c>
      <c r="J16">
        <f>AND(B16&lt;&gt;"",D16&lt;&gt;"")</f>
        <v/>
      </c>
      <c r="K16">
        <f>OR(B16&lt;&gt;"",D16&lt;&gt;"")</f>
        <v/>
      </c>
      <c r="L16">
        <f>AND(B16&lt;&gt;"",E16&lt;&gt;"")</f>
        <v/>
      </c>
      <c r="M16">
        <f>OR(B16&lt;&gt;"",E16&lt;&gt;"")</f>
        <v/>
      </c>
      <c r="N16">
        <f>AND(C16&lt;&gt;"",D16&lt;&gt;"")</f>
        <v/>
      </c>
      <c r="O16">
        <f>OR(C16&lt;&gt;"",D16&lt;&gt;"")</f>
        <v/>
      </c>
      <c r="P16">
        <f>AND(C16&lt;&gt;"",E16&lt;&gt;"")</f>
        <v/>
      </c>
      <c r="Q16">
        <f>OR(C16&lt;&gt;"",E16&lt;&gt;"")</f>
        <v/>
      </c>
      <c r="R16">
        <f>AND(D16&lt;&gt;"",E16&lt;&gt;"")</f>
        <v/>
      </c>
      <c r="S16">
        <f>OR(D16&lt;&gt;"",E16&lt;&gt;"")</f>
        <v/>
      </c>
      <c r="V16">
        <f>AND(B16&lt;&gt;"",C16&lt;&gt;"",F16="No")</f>
        <v/>
      </c>
      <c r="W16">
        <f>AND(OR(B16&lt;&gt;"",C16&lt;&gt;""),F16="No")</f>
        <v/>
      </c>
      <c r="X16">
        <f>AND(B16&lt;&gt;"",D16&lt;&gt;"",F16="No")</f>
        <v/>
      </c>
      <c r="Y16">
        <f>AND(OR(B16&lt;&gt;"",D16&lt;&gt;""),F16="No")</f>
        <v/>
      </c>
      <c r="Z16">
        <f>AND(B16&lt;&gt;"",E16&lt;&gt;"",F16="No")</f>
        <v/>
      </c>
      <c r="AA16">
        <f>AND(OR(B16&lt;&gt;"",E16&lt;&gt;""),F16="No")</f>
        <v/>
      </c>
      <c r="AB16">
        <f>AND(C16&lt;&gt;"",D16&lt;&gt;"",F16="No")</f>
        <v/>
      </c>
      <c r="AC16">
        <f>AND(OR(C16&lt;&gt;"",D16&lt;&gt;""),F16="No")</f>
        <v/>
      </c>
      <c r="AD16">
        <f>AND(C16&lt;&gt;"",E16&lt;&gt;"",F16="No")</f>
        <v/>
      </c>
      <c r="AE16">
        <f>AND(OR(C16&lt;&gt;"",E16&lt;&gt;""),F16="No")</f>
        <v/>
      </c>
      <c r="AF16">
        <f>AND(D16&lt;&gt;"",E16&lt;&gt;"",F16="No")</f>
        <v/>
      </c>
      <c r="AG16">
        <f>AND(OR(D16&lt;&gt;"",E16&lt;&gt;""),F16="No")</f>
        <v/>
      </c>
    </row>
    <row r="17">
      <c r="A17" t="inlineStr">
        <is>
          <t>Q0_iii.3.6</t>
        </is>
      </c>
      <c r="D17" s="27" t="inlineStr">
        <is>
          <t>X</t>
        </is>
      </c>
      <c r="F17" s="47" t="inlineStr">
        <is>
          <t>Yes</t>
        </is>
      </c>
      <c r="H17">
        <f>AND(B17&lt;&gt;"",C17&lt;&gt;"")</f>
        <v/>
      </c>
      <c r="I17">
        <f>OR(B17&lt;&gt;"",C17&lt;&gt;"")</f>
        <v/>
      </c>
      <c r="J17">
        <f>AND(B17&lt;&gt;"",D17&lt;&gt;"")</f>
        <v/>
      </c>
      <c r="K17">
        <f>OR(B17&lt;&gt;"",D17&lt;&gt;"")</f>
        <v/>
      </c>
      <c r="L17">
        <f>AND(B17&lt;&gt;"",E17&lt;&gt;"")</f>
        <v/>
      </c>
      <c r="M17">
        <f>OR(B17&lt;&gt;"",E17&lt;&gt;"")</f>
        <v/>
      </c>
      <c r="N17">
        <f>AND(C17&lt;&gt;"",D17&lt;&gt;"")</f>
        <v/>
      </c>
      <c r="O17">
        <f>OR(C17&lt;&gt;"",D17&lt;&gt;"")</f>
        <v/>
      </c>
      <c r="P17">
        <f>AND(C17&lt;&gt;"",E17&lt;&gt;"")</f>
        <v/>
      </c>
      <c r="Q17">
        <f>OR(C17&lt;&gt;"",E17&lt;&gt;"")</f>
        <v/>
      </c>
      <c r="R17">
        <f>AND(D17&lt;&gt;"",E17&lt;&gt;"")</f>
        <v/>
      </c>
      <c r="S17">
        <f>OR(D17&lt;&gt;"",E17&lt;&gt;"")</f>
        <v/>
      </c>
      <c r="V17">
        <f>AND(B17&lt;&gt;"",C17&lt;&gt;"",F17="No")</f>
        <v/>
      </c>
      <c r="W17">
        <f>AND(OR(B17&lt;&gt;"",C17&lt;&gt;""),F17="No")</f>
        <v/>
      </c>
      <c r="X17">
        <f>AND(B17&lt;&gt;"",D17&lt;&gt;"",F17="No")</f>
        <v/>
      </c>
      <c r="Y17">
        <f>AND(OR(B17&lt;&gt;"",D17&lt;&gt;""),F17="No")</f>
        <v/>
      </c>
      <c r="Z17">
        <f>AND(B17&lt;&gt;"",E17&lt;&gt;"",F17="No")</f>
        <v/>
      </c>
      <c r="AA17">
        <f>AND(OR(B17&lt;&gt;"",E17&lt;&gt;""),F17="No")</f>
        <v/>
      </c>
      <c r="AB17">
        <f>AND(C17&lt;&gt;"",D17&lt;&gt;"",F17="No")</f>
        <v/>
      </c>
      <c r="AC17">
        <f>AND(OR(C17&lt;&gt;"",D17&lt;&gt;""),F17="No")</f>
        <v/>
      </c>
      <c r="AD17">
        <f>AND(C17&lt;&gt;"",E17&lt;&gt;"",F17="No")</f>
        <v/>
      </c>
      <c r="AE17">
        <f>AND(OR(C17&lt;&gt;"",E17&lt;&gt;""),F17="No")</f>
        <v/>
      </c>
      <c r="AF17">
        <f>AND(D17&lt;&gt;"",E17&lt;&gt;"",F17="No")</f>
        <v/>
      </c>
      <c r="AG17">
        <f>AND(OR(D17&lt;&gt;"",E17&lt;&gt;""),F17="No")</f>
        <v/>
      </c>
    </row>
    <row r="18">
      <c r="A18" s="44" t="inlineStr">
        <is>
          <t>H.4.1</t>
        </is>
      </c>
      <c r="B18" s="27" t="inlineStr">
        <is>
          <t>X</t>
        </is>
      </c>
      <c r="C18" s="27" t="inlineStr">
        <is>
          <t>P</t>
        </is>
      </c>
      <c r="D18" s="27" t="inlineStr">
        <is>
          <t>P</t>
        </is>
      </c>
      <c r="E18" s="27" t="inlineStr">
        <is>
          <t>P</t>
        </is>
      </c>
      <c r="F18" s="47" t="inlineStr">
        <is>
          <t>No</t>
        </is>
      </c>
      <c r="H18">
        <f>AND(B18&lt;&gt;"",C18&lt;&gt;"")</f>
        <v/>
      </c>
      <c r="I18">
        <f>OR(B18&lt;&gt;"",C18&lt;&gt;"")</f>
        <v/>
      </c>
      <c r="J18">
        <f>AND(B18&lt;&gt;"",D18&lt;&gt;"")</f>
        <v/>
      </c>
      <c r="K18">
        <f>OR(B18&lt;&gt;"",D18&lt;&gt;"")</f>
        <v/>
      </c>
      <c r="L18">
        <f>AND(B18&lt;&gt;"",E18&lt;&gt;"")</f>
        <v/>
      </c>
      <c r="M18">
        <f>OR(B18&lt;&gt;"",E18&lt;&gt;"")</f>
        <v/>
      </c>
      <c r="N18">
        <f>AND(C18&lt;&gt;"",D18&lt;&gt;"")</f>
        <v/>
      </c>
      <c r="O18">
        <f>OR(C18&lt;&gt;"",D18&lt;&gt;"")</f>
        <v/>
      </c>
      <c r="P18">
        <f>AND(C18&lt;&gt;"",E18&lt;&gt;"")</f>
        <v/>
      </c>
      <c r="Q18">
        <f>OR(C18&lt;&gt;"",E18&lt;&gt;"")</f>
        <v/>
      </c>
      <c r="R18">
        <f>AND(D18&lt;&gt;"",E18&lt;&gt;"")</f>
        <v/>
      </c>
      <c r="S18">
        <f>OR(D18&lt;&gt;"",E18&lt;&gt;"")</f>
        <v/>
      </c>
      <c r="V18">
        <f>AND(B18&lt;&gt;"",C18&lt;&gt;"",F18="No")</f>
        <v/>
      </c>
      <c r="W18">
        <f>AND(OR(B18&lt;&gt;"",C18&lt;&gt;""),F18="No")</f>
        <v/>
      </c>
      <c r="X18">
        <f>AND(B18&lt;&gt;"",D18&lt;&gt;"",F18="No")</f>
        <v/>
      </c>
      <c r="Y18">
        <f>AND(OR(B18&lt;&gt;"",D18&lt;&gt;""),F18="No")</f>
        <v/>
      </c>
      <c r="Z18">
        <f>AND(B18&lt;&gt;"",E18&lt;&gt;"",F18="No")</f>
        <v/>
      </c>
      <c r="AA18">
        <f>AND(OR(B18&lt;&gt;"",E18&lt;&gt;""),F18="No")</f>
        <v/>
      </c>
      <c r="AB18">
        <f>AND(C18&lt;&gt;"",D18&lt;&gt;"",F18="No")</f>
        <v/>
      </c>
      <c r="AC18">
        <f>AND(OR(C18&lt;&gt;"",D18&lt;&gt;""),F18="No")</f>
        <v/>
      </c>
      <c r="AD18">
        <f>AND(C18&lt;&gt;"",E18&lt;&gt;"",F18="No")</f>
        <v/>
      </c>
      <c r="AE18">
        <f>AND(OR(C18&lt;&gt;"",E18&lt;&gt;""),F18="No")</f>
        <v/>
      </c>
      <c r="AF18">
        <f>AND(D18&lt;&gt;"",E18&lt;&gt;"",F18="No")</f>
        <v/>
      </c>
      <c r="AG18">
        <f>AND(OR(D18&lt;&gt;"",E18&lt;&gt;""),F18="No")</f>
        <v/>
      </c>
    </row>
    <row r="19">
      <c r="A19" s="44" t="inlineStr">
        <is>
          <t>H.4.2</t>
        </is>
      </c>
      <c r="C19" s="27" t="inlineStr">
        <is>
          <t>P</t>
        </is>
      </c>
      <c r="D19" s="27" t="inlineStr">
        <is>
          <t>P</t>
        </is>
      </c>
      <c r="E19" s="27" t="inlineStr">
        <is>
          <t>P</t>
        </is>
      </c>
      <c r="F19" s="47" t="inlineStr">
        <is>
          <t>No</t>
        </is>
      </c>
      <c r="H19">
        <f>AND(B19&lt;&gt;"",C19&lt;&gt;"")</f>
        <v/>
      </c>
      <c r="I19">
        <f>OR(B19&lt;&gt;"",C19&lt;&gt;"")</f>
        <v/>
      </c>
      <c r="J19">
        <f>AND(B19&lt;&gt;"",D19&lt;&gt;"")</f>
        <v/>
      </c>
      <c r="K19">
        <f>OR(B19&lt;&gt;"",D19&lt;&gt;"")</f>
        <v/>
      </c>
      <c r="L19">
        <f>AND(B19&lt;&gt;"",E19&lt;&gt;"")</f>
        <v/>
      </c>
      <c r="M19">
        <f>OR(B19&lt;&gt;"",E19&lt;&gt;"")</f>
        <v/>
      </c>
      <c r="N19">
        <f>AND(C19&lt;&gt;"",D19&lt;&gt;"")</f>
        <v/>
      </c>
      <c r="O19">
        <f>OR(C19&lt;&gt;"",D19&lt;&gt;"")</f>
        <v/>
      </c>
      <c r="P19">
        <f>AND(C19&lt;&gt;"",E19&lt;&gt;"")</f>
        <v/>
      </c>
      <c r="Q19">
        <f>OR(C19&lt;&gt;"",E19&lt;&gt;"")</f>
        <v/>
      </c>
      <c r="R19">
        <f>AND(D19&lt;&gt;"",E19&lt;&gt;"")</f>
        <v/>
      </c>
      <c r="S19">
        <f>OR(D19&lt;&gt;"",E19&lt;&gt;"")</f>
        <v/>
      </c>
      <c r="V19">
        <f>AND(B19&lt;&gt;"",C19&lt;&gt;"",F19="No")</f>
        <v/>
      </c>
      <c r="W19">
        <f>AND(OR(B19&lt;&gt;"",C19&lt;&gt;""),F19="No")</f>
        <v/>
      </c>
      <c r="X19">
        <f>AND(B19&lt;&gt;"",D19&lt;&gt;"",F19="No")</f>
        <v/>
      </c>
      <c r="Y19">
        <f>AND(OR(B19&lt;&gt;"",D19&lt;&gt;""),F19="No")</f>
        <v/>
      </c>
      <c r="Z19">
        <f>AND(B19&lt;&gt;"",E19&lt;&gt;"",F19="No")</f>
        <v/>
      </c>
      <c r="AA19">
        <f>AND(OR(B19&lt;&gt;"",E19&lt;&gt;""),F19="No")</f>
        <v/>
      </c>
      <c r="AB19">
        <f>AND(C19&lt;&gt;"",D19&lt;&gt;"",F19="No")</f>
        <v/>
      </c>
      <c r="AC19">
        <f>AND(OR(C19&lt;&gt;"",D19&lt;&gt;""),F19="No")</f>
        <v/>
      </c>
      <c r="AD19">
        <f>AND(C19&lt;&gt;"",E19&lt;&gt;"",F19="No")</f>
        <v/>
      </c>
      <c r="AE19">
        <f>AND(OR(C19&lt;&gt;"",E19&lt;&gt;""),F19="No")</f>
        <v/>
      </c>
      <c r="AF19">
        <f>AND(D19&lt;&gt;"",E19&lt;&gt;"",F19="No")</f>
        <v/>
      </c>
      <c r="AG19">
        <f>AND(OR(D19&lt;&gt;"",E19&lt;&gt;""),F19="No")</f>
        <v/>
      </c>
    </row>
    <row r="20">
      <c r="A20" s="44" t="inlineStr">
        <is>
          <t>H.4.3</t>
        </is>
      </c>
      <c r="B20" s="27" t="inlineStr">
        <is>
          <t>P</t>
        </is>
      </c>
      <c r="C20" s="27" t="inlineStr">
        <is>
          <t>P</t>
        </is>
      </c>
      <c r="D20" s="27" t="inlineStr">
        <is>
          <t>P</t>
        </is>
      </c>
      <c r="E20" s="27" t="inlineStr">
        <is>
          <t>P</t>
        </is>
      </c>
      <c r="F20" s="47" t="inlineStr">
        <is>
          <t>No</t>
        </is>
      </c>
      <c r="H20">
        <f>AND(B20&lt;&gt;"",C20&lt;&gt;"")</f>
        <v/>
      </c>
      <c r="I20">
        <f>OR(B20&lt;&gt;"",C20&lt;&gt;"")</f>
        <v/>
      </c>
      <c r="J20">
        <f>AND(B20&lt;&gt;"",D20&lt;&gt;"")</f>
        <v/>
      </c>
      <c r="K20">
        <f>OR(B20&lt;&gt;"",D20&lt;&gt;"")</f>
        <v/>
      </c>
      <c r="L20">
        <f>AND(B20&lt;&gt;"",E20&lt;&gt;"")</f>
        <v/>
      </c>
      <c r="M20">
        <f>OR(B20&lt;&gt;"",E20&lt;&gt;"")</f>
        <v/>
      </c>
      <c r="N20">
        <f>AND(C20&lt;&gt;"",D20&lt;&gt;"")</f>
        <v/>
      </c>
      <c r="O20">
        <f>OR(C20&lt;&gt;"",D20&lt;&gt;"")</f>
        <v/>
      </c>
      <c r="P20">
        <f>AND(C20&lt;&gt;"",E20&lt;&gt;"")</f>
        <v/>
      </c>
      <c r="Q20">
        <f>OR(C20&lt;&gt;"",E20&lt;&gt;"")</f>
        <v/>
      </c>
      <c r="R20">
        <f>AND(D20&lt;&gt;"",E20&lt;&gt;"")</f>
        <v/>
      </c>
      <c r="S20">
        <f>OR(D20&lt;&gt;"",E20&lt;&gt;"")</f>
        <v/>
      </c>
      <c r="V20">
        <f>AND(B20&lt;&gt;"",C20&lt;&gt;"",F20="No")</f>
        <v/>
      </c>
      <c r="W20">
        <f>AND(OR(B20&lt;&gt;"",C20&lt;&gt;""),F20="No")</f>
        <v/>
      </c>
      <c r="X20">
        <f>AND(B20&lt;&gt;"",D20&lt;&gt;"",F20="No")</f>
        <v/>
      </c>
      <c r="Y20">
        <f>AND(OR(B20&lt;&gt;"",D20&lt;&gt;""),F20="No")</f>
        <v/>
      </c>
      <c r="Z20">
        <f>AND(B20&lt;&gt;"",E20&lt;&gt;"",F20="No")</f>
        <v/>
      </c>
      <c r="AA20">
        <f>AND(OR(B20&lt;&gt;"",E20&lt;&gt;""),F20="No")</f>
        <v/>
      </c>
      <c r="AB20">
        <f>AND(C20&lt;&gt;"",D20&lt;&gt;"",F20="No")</f>
        <v/>
      </c>
      <c r="AC20">
        <f>AND(OR(C20&lt;&gt;"",D20&lt;&gt;""),F20="No")</f>
        <v/>
      </c>
      <c r="AD20">
        <f>AND(C20&lt;&gt;"",E20&lt;&gt;"",F20="No")</f>
        <v/>
      </c>
      <c r="AE20">
        <f>AND(OR(C20&lt;&gt;"",E20&lt;&gt;""),F20="No")</f>
        <v/>
      </c>
      <c r="AF20">
        <f>AND(D20&lt;&gt;"",E20&lt;&gt;"",F20="No")</f>
        <v/>
      </c>
      <c r="AG20">
        <f>AND(OR(D20&lt;&gt;"",E20&lt;&gt;""),F20="No")</f>
        <v/>
      </c>
    </row>
    <row r="21">
      <c r="A21" s="44" t="inlineStr">
        <is>
          <t>H.4.4</t>
        </is>
      </c>
      <c r="B21" s="27" t="inlineStr">
        <is>
          <t>X</t>
        </is>
      </c>
      <c r="D21" s="27" t="inlineStr">
        <is>
          <t>P</t>
        </is>
      </c>
      <c r="E21" s="27" t="inlineStr">
        <is>
          <t>P</t>
        </is>
      </c>
      <c r="F21" s="47" t="inlineStr">
        <is>
          <t>No</t>
        </is>
      </c>
      <c r="H21">
        <f>AND(B21&lt;&gt;"",C21&lt;&gt;"")</f>
        <v/>
      </c>
      <c r="I21">
        <f>OR(B21&lt;&gt;"",C21&lt;&gt;"")</f>
        <v/>
      </c>
      <c r="J21">
        <f>AND(B21&lt;&gt;"",D21&lt;&gt;"")</f>
        <v/>
      </c>
      <c r="K21">
        <f>OR(B21&lt;&gt;"",D21&lt;&gt;"")</f>
        <v/>
      </c>
      <c r="L21">
        <f>AND(B21&lt;&gt;"",E21&lt;&gt;"")</f>
        <v/>
      </c>
      <c r="M21">
        <f>OR(B21&lt;&gt;"",E21&lt;&gt;"")</f>
        <v/>
      </c>
      <c r="N21">
        <f>AND(C21&lt;&gt;"",D21&lt;&gt;"")</f>
        <v/>
      </c>
      <c r="O21">
        <f>OR(C21&lt;&gt;"",D21&lt;&gt;"")</f>
        <v/>
      </c>
      <c r="P21">
        <f>AND(C21&lt;&gt;"",E21&lt;&gt;"")</f>
        <v/>
      </c>
      <c r="Q21">
        <f>OR(C21&lt;&gt;"",E21&lt;&gt;"")</f>
        <v/>
      </c>
      <c r="R21">
        <f>AND(D21&lt;&gt;"",E21&lt;&gt;"")</f>
        <v/>
      </c>
      <c r="S21">
        <f>OR(D21&lt;&gt;"",E21&lt;&gt;"")</f>
        <v/>
      </c>
      <c r="V21">
        <f>AND(B21&lt;&gt;"",C21&lt;&gt;"",F21="No")</f>
        <v/>
      </c>
      <c r="W21">
        <f>AND(OR(B21&lt;&gt;"",C21&lt;&gt;""),F21="No")</f>
        <v/>
      </c>
      <c r="X21">
        <f>AND(B21&lt;&gt;"",D21&lt;&gt;"",F21="No")</f>
        <v/>
      </c>
      <c r="Y21">
        <f>AND(OR(B21&lt;&gt;"",D21&lt;&gt;""),F21="No")</f>
        <v/>
      </c>
      <c r="Z21">
        <f>AND(B21&lt;&gt;"",E21&lt;&gt;"",F21="No")</f>
        <v/>
      </c>
      <c r="AA21">
        <f>AND(OR(B21&lt;&gt;"",E21&lt;&gt;""),F21="No")</f>
        <v/>
      </c>
      <c r="AB21">
        <f>AND(C21&lt;&gt;"",D21&lt;&gt;"",F21="No")</f>
        <v/>
      </c>
      <c r="AC21">
        <f>AND(OR(C21&lt;&gt;"",D21&lt;&gt;""),F21="No")</f>
        <v/>
      </c>
      <c r="AD21">
        <f>AND(C21&lt;&gt;"",E21&lt;&gt;"",F21="No")</f>
        <v/>
      </c>
      <c r="AE21">
        <f>AND(OR(C21&lt;&gt;"",E21&lt;&gt;""),F21="No")</f>
        <v/>
      </c>
      <c r="AF21">
        <f>AND(D21&lt;&gt;"",E21&lt;&gt;"",F21="No")</f>
        <v/>
      </c>
      <c r="AG21">
        <f>AND(OR(D21&lt;&gt;"",E21&lt;&gt;""),F21="No")</f>
        <v/>
      </c>
    </row>
    <row r="22">
      <c r="A22" s="44" t="inlineStr">
        <is>
          <t>H.4.5</t>
        </is>
      </c>
      <c r="B22" s="27" t="inlineStr">
        <is>
          <t>X</t>
        </is>
      </c>
      <c r="D22" s="27" t="inlineStr">
        <is>
          <t>P</t>
        </is>
      </c>
      <c r="E22" s="27" t="inlineStr">
        <is>
          <t>P</t>
        </is>
      </c>
      <c r="F22" s="47" t="inlineStr">
        <is>
          <t>No</t>
        </is>
      </c>
      <c r="H22">
        <f>AND(B22&lt;&gt;"",C22&lt;&gt;"")</f>
        <v/>
      </c>
      <c r="I22">
        <f>OR(B22&lt;&gt;"",C22&lt;&gt;"")</f>
        <v/>
      </c>
      <c r="J22">
        <f>AND(B22&lt;&gt;"",D22&lt;&gt;"")</f>
        <v/>
      </c>
      <c r="K22">
        <f>OR(B22&lt;&gt;"",D22&lt;&gt;"")</f>
        <v/>
      </c>
      <c r="L22">
        <f>AND(B22&lt;&gt;"",E22&lt;&gt;"")</f>
        <v/>
      </c>
      <c r="M22">
        <f>OR(B22&lt;&gt;"",E22&lt;&gt;"")</f>
        <v/>
      </c>
      <c r="N22">
        <f>AND(C22&lt;&gt;"",D22&lt;&gt;"")</f>
        <v/>
      </c>
      <c r="O22">
        <f>OR(C22&lt;&gt;"",D22&lt;&gt;"")</f>
        <v/>
      </c>
      <c r="P22">
        <f>AND(C22&lt;&gt;"",E22&lt;&gt;"")</f>
        <v/>
      </c>
      <c r="Q22">
        <f>OR(C22&lt;&gt;"",E22&lt;&gt;"")</f>
        <v/>
      </c>
      <c r="R22">
        <f>AND(D22&lt;&gt;"",E22&lt;&gt;"")</f>
        <v/>
      </c>
      <c r="S22">
        <f>OR(D22&lt;&gt;"",E22&lt;&gt;"")</f>
        <v/>
      </c>
      <c r="V22">
        <f>AND(B22&lt;&gt;"",C22&lt;&gt;"",F22="No")</f>
        <v/>
      </c>
      <c r="W22">
        <f>AND(OR(B22&lt;&gt;"",C22&lt;&gt;""),F22="No")</f>
        <v/>
      </c>
      <c r="X22">
        <f>AND(B22&lt;&gt;"",D22&lt;&gt;"",F22="No")</f>
        <v/>
      </c>
      <c r="Y22">
        <f>AND(OR(B22&lt;&gt;"",D22&lt;&gt;""),F22="No")</f>
        <v/>
      </c>
      <c r="Z22">
        <f>AND(B22&lt;&gt;"",E22&lt;&gt;"",F22="No")</f>
        <v/>
      </c>
      <c r="AA22">
        <f>AND(OR(B22&lt;&gt;"",E22&lt;&gt;""),F22="No")</f>
        <v/>
      </c>
      <c r="AB22">
        <f>AND(C22&lt;&gt;"",D22&lt;&gt;"",F22="No")</f>
        <v/>
      </c>
      <c r="AC22">
        <f>AND(OR(C22&lt;&gt;"",D22&lt;&gt;""),F22="No")</f>
        <v/>
      </c>
      <c r="AD22">
        <f>AND(C22&lt;&gt;"",E22&lt;&gt;"",F22="No")</f>
        <v/>
      </c>
      <c r="AE22">
        <f>AND(OR(C22&lt;&gt;"",E22&lt;&gt;""),F22="No")</f>
        <v/>
      </c>
      <c r="AF22">
        <f>AND(D22&lt;&gt;"",E22&lt;&gt;"",F22="No")</f>
        <v/>
      </c>
      <c r="AG22">
        <f>AND(OR(D22&lt;&gt;"",E22&lt;&gt;""),F22="No")</f>
        <v/>
      </c>
    </row>
    <row r="23">
      <c r="A23" s="44" t="inlineStr">
        <is>
          <t>H.4.6</t>
        </is>
      </c>
      <c r="C23" s="27" t="inlineStr">
        <is>
          <t>X</t>
        </is>
      </c>
      <c r="E23" s="27" t="inlineStr">
        <is>
          <t>X</t>
        </is>
      </c>
      <c r="F23" s="47" t="inlineStr">
        <is>
          <t>No</t>
        </is>
      </c>
      <c r="H23">
        <f>AND(B23&lt;&gt;"",C23&lt;&gt;"")</f>
        <v/>
      </c>
      <c r="I23">
        <f>OR(B23&lt;&gt;"",C23&lt;&gt;"")</f>
        <v/>
      </c>
      <c r="J23">
        <f>AND(B23&lt;&gt;"",D23&lt;&gt;"")</f>
        <v/>
      </c>
      <c r="K23">
        <f>OR(B23&lt;&gt;"",D23&lt;&gt;"")</f>
        <v/>
      </c>
      <c r="L23">
        <f>AND(B23&lt;&gt;"",E23&lt;&gt;"")</f>
        <v/>
      </c>
      <c r="M23">
        <f>OR(B23&lt;&gt;"",E23&lt;&gt;"")</f>
        <v/>
      </c>
      <c r="N23">
        <f>AND(C23&lt;&gt;"",D23&lt;&gt;"")</f>
        <v/>
      </c>
      <c r="O23">
        <f>OR(C23&lt;&gt;"",D23&lt;&gt;"")</f>
        <v/>
      </c>
      <c r="P23">
        <f>AND(C23&lt;&gt;"",E23&lt;&gt;"")</f>
        <v/>
      </c>
      <c r="Q23">
        <f>OR(C23&lt;&gt;"",E23&lt;&gt;"")</f>
        <v/>
      </c>
      <c r="R23">
        <f>AND(D23&lt;&gt;"",E23&lt;&gt;"")</f>
        <v/>
      </c>
      <c r="S23">
        <f>OR(D23&lt;&gt;"",E23&lt;&gt;"")</f>
        <v/>
      </c>
      <c r="V23">
        <f>AND(B23&lt;&gt;"",C23&lt;&gt;"",F23="No")</f>
        <v/>
      </c>
      <c r="W23">
        <f>AND(OR(B23&lt;&gt;"",C23&lt;&gt;""),F23="No")</f>
        <v/>
      </c>
      <c r="X23">
        <f>AND(B23&lt;&gt;"",D23&lt;&gt;"",F23="No")</f>
        <v/>
      </c>
      <c r="Y23">
        <f>AND(OR(B23&lt;&gt;"",D23&lt;&gt;""),F23="No")</f>
        <v/>
      </c>
      <c r="Z23">
        <f>AND(B23&lt;&gt;"",E23&lt;&gt;"",F23="No")</f>
        <v/>
      </c>
      <c r="AA23">
        <f>AND(OR(B23&lt;&gt;"",E23&lt;&gt;""),F23="No")</f>
        <v/>
      </c>
      <c r="AB23">
        <f>AND(C23&lt;&gt;"",D23&lt;&gt;"",F23="No")</f>
        <v/>
      </c>
      <c r="AC23">
        <f>AND(OR(C23&lt;&gt;"",D23&lt;&gt;""),F23="No")</f>
        <v/>
      </c>
      <c r="AD23">
        <f>AND(C23&lt;&gt;"",E23&lt;&gt;"",F23="No")</f>
        <v/>
      </c>
      <c r="AE23">
        <f>AND(OR(C23&lt;&gt;"",E23&lt;&gt;""),F23="No")</f>
        <v/>
      </c>
      <c r="AF23">
        <f>AND(D23&lt;&gt;"",E23&lt;&gt;"",F23="No")</f>
        <v/>
      </c>
      <c r="AG23">
        <f>AND(OR(D23&lt;&gt;"",E23&lt;&gt;""),F23="No")</f>
        <v/>
      </c>
    </row>
    <row r="24">
      <c r="A24" s="44" t="inlineStr">
        <is>
          <t>H.4.7</t>
        </is>
      </c>
      <c r="B24" s="27" t="inlineStr">
        <is>
          <t>X</t>
        </is>
      </c>
      <c r="C24" s="27" t="inlineStr">
        <is>
          <t>X</t>
        </is>
      </c>
      <c r="D24" s="27" t="inlineStr">
        <is>
          <t>X</t>
        </is>
      </c>
      <c r="E24" s="27" t="inlineStr">
        <is>
          <t>X</t>
        </is>
      </c>
      <c r="F24" s="47" t="inlineStr">
        <is>
          <t>No</t>
        </is>
      </c>
      <c r="H24">
        <f>AND(B24&lt;&gt;"",C24&lt;&gt;"")</f>
        <v/>
      </c>
      <c r="I24">
        <f>OR(B24&lt;&gt;"",C24&lt;&gt;"")</f>
        <v/>
      </c>
      <c r="J24">
        <f>AND(B24&lt;&gt;"",D24&lt;&gt;"")</f>
        <v/>
      </c>
      <c r="K24">
        <f>OR(B24&lt;&gt;"",D24&lt;&gt;"")</f>
        <v/>
      </c>
      <c r="L24">
        <f>AND(B24&lt;&gt;"",E24&lt;&gt;"")</f>
        <v/>
      </c>
      <c r="M24">
        <f>OR(B24&lt;&gt;"",E24&lt;&gt;"")</f>
        <v/>
      </c>
      <c r="N24">
        <f>AND(C24&lt;&gt;"",D24&lt;&gt;"")</f>
        <v/>
      </c>
      <c r="O24">
        <f>OR(C24&lt;&gt;"",D24&lt;&gt;"")</f>
        <v/>
      </c>
      <c r="P24">
        <f>AND(C24&lt;&gt;"",E24&lt;&gt;"")</f>
        <v/>
      </c>
      <c r="Q24">
        <f>OR(C24&lt;&gt;"",E24&lt;&gt;"")</f>
        <v/>
      </c>
      <c r="R24">
        <f>AND(D24&lt;&gt;"",E24&lt;&gt;"")</f>
        <v/>
      </c>
      <c r="S24">
        <f>OR(D24&lt;&gt;"",E24&lt;&gt;"")</f>
        <v/>
      </c>
      <c r="V24">
        <f>AND(B24&lt;&gt;"",C24&lt;&gt;"",F24="No")</f>
        <v/>
      </c>
      <c r="W24">
        <f>AND(OR(B24&lt;&gt;"",C24&lt;&gt;""),F24="No")</f>
        <v/>
      </c>
      <c r="X24">
        <f>AND(B24&lt;&gt;"",D24&lt;&gt;"",F24="No")</f>
        <v/>
      </c>
      <c r="Y24">
        <f>AND(OR(B24&lt;&gt;"",D24&lt;&gt;""),F24="No")</f>
        <v/>
      </c>
      <c r="Z24">
        <f>AND(B24&lt;&gt;"",E24&lt;&gt;"",F24="No")</f>
        <v/>
      </c>
      <c r="AA24">
        <f>AND(OR(B24&lt;&gt;"",E24&lt;&gt;""),F24="No")</f>
        <v/>
      </c>
      <c r="AB24">
        <f>AND(C24&lt;&gt;"",D24&lt;&gt;"",F24="No")</f>
        <v/>
      </c>
      <c r="AC24">
        <f>AND(OR(C24&lt;&gt;"",D24&lt;&gt;""),F24="No")</f>
        <v/>
      </c>
      <c r="AD24">
        <f>AND(C24&lt;&gt;"",E24&lt;&gt;"",F24="No")</f>
        <v/>
      </c>
      <c r="AE24">
        <f>AND(OR(C24&lt;&gt;"",E24&lt;&gt;""),F24="No")</f>
        <v/>
      </c>
      <c r="AF24">
        <f>AND(D24&lt;&gt;"",E24&lt;&gt;"",F24="No")</f>
        <v/>
      </c>
      <c r="AG24">
        <f>AND(OR(D24&lt;&gt;"",E24&lt;&gt;""),F24="No")</f>
        <v/>
      </c>
    </row>
    <row r="25">
      <c r="A25" s="44" t="inlineStr">
        <is>
          <t>H.4.8</t>
        </is>
      </c>
      <c r="B25" s="27" t="inlineStr">
        <is>
          <t>P</t>
        </is>
      </c>
      <c r="C25" s="27" t="inlineStr">
        <is>
          <t>P</t>
        </is>
      </c>
      <c r="D25" s="27" t="inlineStr">
        <is>
          <t>P</t>
        </is>
      </c>
      <c r="E25" s="27" t="inlineStr">
        <is>
          <t>P</t>
        </is>
      </c>
      <c r="F25" s="47" t="inlineStr">
        <is>
          <t>No</t>
        </is>
      </c>
      <c r="H25">
        <f>AND(B25&lt;&gt;"",C25&lt;&gt;"")</f>
        <v/>
      </c>
      <c r="I25">
        <f>OR(B25&lt;&gt;"",C25&lt;&gt;"")</f>
        <v/>
      </c>
      <c r="J25">
        <f>AND(B25&lt;&gt;"",D25&lt;&gt;"")</f>
        <v/>
      </c>
      <c r="K25">
        <f>OR(B25&lt;&gt;"",D25&lt;&gt;"")</f>
        <v/>
      </c>
      <c r="L25">
        <f>AND(B25&lt;&gt;"",E25&lt;&gt;"")</f>
        <v/>
      </c>
      <c r="M25">
        <f>OR(B25&lt;&gt;"",E25&lt;&gt;"")</f>
        <v/>
      </c>
      <c r="N25">
        <f>AND(C25&lt;&gt;"",D25&lt;&gt;"")</f>
        <v/>
      </c>
      <c r="O25">
        <f>OR(C25&lt;&gt;"",D25&lt;&gt;"")</f>
        <v/>
      </c>
      <c r="P25">
        <f>AND(C25&lt;&gt;"",E25&lt;&gt;"")</f>
        <v/>
      </c>
      <c r="Q25">
        <f>OR(C25&lt;&gt;"",E25&lt;&gt;"")</f>
        <v/>
      </c>
      <c r="R25">
        <f>AND(D25&lt;&gt;"",E25&lt;&gt;"")</f>
        <v/>
      </c>
      <c r="S25">
        <f>OR(D25&lt;&gt;"",E25&lt;&gt;"")</f>
        <v/>
      </c>
      <c r="V25">
        <f>AND(B25&lt;&gt;"",C25&lt;&gt;"",F25="No")</f>
        <v/>
      </c>
      <c r="W25">
        <f>AND(OR(B25&lt;&gt;"",C25&lt;&gt;""),F25="No")</f>
        <v/>
      </c>
      <c r="X25">
        <f>AND(B25&lt;&gt;"",D25&lt;&gt;"",F25="No")</f>
        <v/>
      </c>
      <c r="Y25">
        <f>AND(OR(B25&lt;&gt;"",D25&lt;&gt;""),F25="No")</f>
        <v/>
      </c>
      <c r="Z25">
        <f>AND(B25&lt;&gt;"",E25&lt;&gt;"",F25="No")</f>
        <v/>
      </c>
      <c r="AA25">
        <f>AND(OR(B25&lt;&gt;"",E25&lt;&gt;""),F25="No")</f>
        <v/>
      </c>
      <c r="AB25">
        <f>AND(C25&lt;&gt;"",D25&lt;&gt;"",F25="No")</f>
        <v/>
      </c>
      <c r="AC25">
        <f>AND(OR(C25&lt;&gt;"",D25&lt;&gt;""),F25="No")</f>
        <v/>
      </c>
      <c r="AD25">
        <f>AND(C25&lt;&gt;"",E25&lt;&gt;"",F25="No")</f>
        <v/>
      </c>
      <c r="AE25">
        <f>AND(OR(C25&lt;&gt;"",E25&lt;&gt;""),F25="No")</f>
        <v/>
      </c>
      <c r="AF25">
        <f>AND(D25&lt;&gt;"",E25&lt;&gt;"",F25="No")</f>
        <v/>
      </c>
      <c r="AG25">
        <f>AND(OR(D25&lt;&gt;"",E25&lt;&gt;""),F25="No")</f>
        <v/>
      </c>
    </row>
    <row r="26">
      <c r="A26" s="44" t="inlineStr">
        <is>
          <t>GS.4.15</t>
        </is>
      </c>
      <c r="B26" s="27" t="inlineStr">
        <is>
          <t>X</t>
        </is>
      </c>
      <c r="C26" s="27" t="inlineStr">
        <is>
          <t>X</t>
        </is>
      </c>
      <c r="D26" s="27" t="inlineStr">
        <is>
          <t>X</t>
        </is>
      </c>
      <c r="E26" s="27" t="inlineStr">
        <is>
          <t>X</t>
        </is>
      </c>
      <c r="F26" s="47" t="inlineStr">
        <is>
          <t>No</t>
        </is>
      </c>
      <c r="H26">
        <f>AND(B26&lt;&gt;"",C26&lt;&gt;"")</f>
        <v/>
      </c>
      <c r="I26">
        <f>OR(B26&lt;&gt;"",C26&lt;&gt;"")</f>
        <v/>
      </c>
      <c r="J26">
        <f>AND(B26&lt;&gt;"",D26&lt;&gt;"")</f>
        <v/>
      </c>
      <c r="K26">
        <f>OR(B26&lt;&gt;"",D26&lt;&gt;"")</f>
        <v/>
      </c>
      <c r="L26">
        <f>AND(B26&lt;&gt;"",E26&lt;&gt;"")</f>
        <v/>
      </c>
      <c r="M26">
        <f>OR(B26&lt;&gt;"",E26&lt;&gt;"")</f>
        <v/>
      </c>
      <c r="N26">
        <f>AND(C26&lt;&gt;"",D26&lt;&gt;"")</f>
        <v/>
      </c>
      <c r="O26">
        <f>OR(C26&lt;&gt;"",D26&lt;&gt;"")</f>
        <v/>
      </c>
      <c r="P26">
        <f>AND(C26&lt;&gt;"",E26&lt;&gt;"")</f>
        <v/>
      </c>
      <c r="Q26">
        <f>OR(C26&lt;&gt;"",E26&lt;&gt;"")</f>
        <v/>
      </c>
      <c r="R26">
        <f>AND(D26&lt;&gt;"",E26&lt;&gt;"")</f>
        <v/>
      </c>
      <c r="S26">
        <f>OR(D26&lt;&gt;"",E26&lt;&gt;"")</f>
        <v/>
      </c>
      <c r="V26">
        <f>AND(B26&lt;&gt;"",C26&lt;&gt;"",F26="No")</f>
        <v/>
      </c>
      <c r="W26">
        <f>AND(OR(B26&lt;&gt;"",C26&lt;&gt;""),F26="No")</f>
        <v/>
      </c>
      <c r="X26">
        <f>AND(B26&lt;&gt;"",D26&lt;&gt;"",F26="No")</f>
        <v/>
      </c>
      <c r="Y26">
        <f>AND(OR(B26&lt;&gt;"",D26&lt;&gt;""),F26="No")</f>
        <v/>
      </c>
      <c r="Z26">
        <f>AND(B26&lt;&gt;"",E26&lt;&gt;"",F26="No")</f>
        <v/>
      </c>
      <c r="AA26">
        <f>AND(OR(B26&lt;&gt;"",E26&lt;&gt;""),F26="No")</f>
        <v/>
      </c>
      <c r="AB26">
        <f>AND(C26&lt;&gt;"",D26&lt;&gt;"",F26="No")</f>
        <v/>
      </c>
      <c r="AC26">
        <f>AND(OR(C26&lt;&gt;"",D26&lt;&gt;""),F26="No")</f>
        <v/>
      </c>
      <c r="AD26">
        <f>AND(C26&lt;&gt;"",E26&lt;&gt;"",F26="No")</f>
        <v/>
      </c>
      <c r="AE26">
        <f>AND(OR(C26&lt;&gt;"",E26&lt;&gt;""),F26="No")</f>
        <v/>
      </c>
      <c r="AF26">
        <f>AND(D26&lt;&gt;"",E26&lt;&gt;"",F26="No")</f>
        <v/>
      </c>
      <c r="AG26">
        <f>AND(OR(D26&lt;&gt;"",E26&lt;&gt;""),F26="No")</f>
        <v/>
      </c>
    </row>
    <row r="27">
      <c r="A27" s="44" t="inlineStr">
        <is>
          <t>GS.4.16</t>
        </is>
      </c>
      <c r="B27" s="27" t="inlineStr">
        <is>
          <t>X</t>
        </is>
      </c>
      <c r="C27" s="27" t="inlineStr">
        <is>
          <t>X</t>
        </is>
      </c>
      <c r="D27" s="27" t="inlineStr">
        <is>
          <t>X</t>
        </is>
      </c>
      <c r="E27" s="27" t="inlineStr">
        <is>
          <t>X</t>
        </is>
      </c>
      <c r="F27" s="47" t="inlineStr">
        <is>
          <t>No</t>
        </is>
      </c>
      <c r="H27">
        <f>AND(B27&lt;&gt;"",C27&lt;&gt;"")</f>
        <v/>
      </c>
      <c r="I27">
        <f>OR(B27&lt;&gt;"",C27&lt;&gt;"")</f>
        <v/>
      </c>
      <c r="J27">
        <f>AND(B27&lt;&gt;"",D27&lt;&gt;"")</f>
        <v/>
      </c>
      <c r="K27">
        <f>OR(B27&lt;&gt;"",D27&lt;&gt;"")</f>
        <v/>
      </c>
      <c r="L27">
        <f>AND(B27&lt;&gt;"",E27&lt;&gt;"")</f>
        <v/>
      </c>
      <c r="M27">
        <f>OR(B27&lt;&gt;"",E27&lt;&gt;"")</f>
        <v/>
      </c>
      <c r="N27">
        <f>AND(C27&lt;&gt;"",D27&lt;&gt;"")</f>
        <v/>
      </c>
      <c r="O27">
        <f>OR(C27&lt;&gt;"",D27&lt;&gt;"")</f>
        <v/>
      </c>
      <c r="P27">
        <f>AND(C27&lt;&gt;"",E27&lt;&gt;"")</f>
        <v/>
      </c>
      <c r="Q27">
        <f>OR(C27&lt;&gt;"",E27&lt;&gt;"")</f>
        <v/>
      </c>
      <c r="R27">
        <f>AND(D27&lt;&gt;"",E27&lt;&gt;"")</f>
        <v/>
      </c>
      <c r="S27">
        <f>OR(D27&lt;&gt;"",E27&lt;&gt;"")</f>
        <v/>
      </c>
      <c r="V27">
        <f>AND(B27&lt;&gt;"",C27&lt;&gt;"",F27="No")</f>
        <v/>
      </c>
      <c r="W27">
        <f>AND(OR(B27&lt;&gt;"",C27&lt;&gt;""),F27="No")</f>
        <v/>
      </c>
      <c r="X27">
        <f>AND(B27&lt;&gt;"",D27&lt;&gt;"",F27="No")</f>
        <v/>
      </c>
      <c r="Y27">
        <f>AND(OR(B27&lt;&gt;"",D27&lt;&gt;""),F27="No")</f>
        <v/>
      </c>
      <c r="Z27">
        <f>AND(B27&lt;&gt;"",E27&lt;&gt;"",F27="No")</f>
        <v/>
      </c>
      <c r="AA27">
        <f>AND(OR(B27&lt;&gt;"",E27&lt;&gt;""),F27="No")</f>
        <v/>
      </c>
      <c r="AB27">
        <f>AND(C27&lt;&gt;"",D27&lt;&gt;"",F27="No")</f>
        <v/>
      </c>
      <c r="AC27">
        <f>AND(OR(C27&lt;&gt;"",D27&lt;&gt;""),F27="No")</f>
        <v/>
      </c>
      <c r="AD27">
        <f>AND(C27&lt;&gt;"",E27&lt;&gt;"",F27="No")</f>
        <v/>
      </c>
      <c r="AE27">
        <f>AND(OR(C27&lt;&gt;"",E27&lt;&gt;""),F27="No")</f>
        <v/>
      </c>
      <c r="AF27">
        <f>AND(D27&lt;&gt;"",E27&lt;&gt;"",F27="No")</f>
        <v/>
      </c>
      <c r="AG27">
        <f>AND(OR(D27&lt;&gt;"",E27&lt;&gt;""),F27="No")</f>
        <v/>
      </c>
    </row>
    <row r="28">
      <c r="A28" s="44" t="inlineStr">
        <is>
          <t>GS.4.17</t>
        </is>
      </c>
      <c r="B28" s="27" t="inlineStr">
        <is>
          <t>X</t>
        </is>
      </c>
      <c r="C28" s="27" t="inlineStr">
        <is>
          <t>X</t>
        </is>
      </c>
      <c r="D28" s="27" t="inlineStr">
        <is>
          <t>X</t>
        </is>
      </c>
      <c r="E28" s="27" t="inlineStr">
        <is>
          <t>X</t>
        </is>
      </c>
      <c r="F28" s="47" t="inlineStr">
        <is>
          <t>No</t>
        </is>
      </c>
      <c r="H28">
        <f>AND(B28&lt;&gt;"",C28&lt;&gt;"")</f>
        <v/>
      </c>
      <c r="I28">
        <f>OR(B28&lt;&gt;"",C28&lt;&gt;"")</f>
        <v/>
      </c>
      <c r="J28">
        <f>AND(B28&lt;&gt;"",D28&lt;&gt;"")</f>
        <v/>
      </c>
      <c r="K28">
        <f>OR(B28&lt;&gt;"",D28&lt;&gt;"")</f>
        <v/>
      </c>
      <c r="L28">
        <f>AND(B28&lt;&gt;"",E28&lt;&gt;"")</f>
        <v/>
      </c>
      <c r="M28">
        <f>OR(B28&lt;&gt;"",E28&lt;&gt;"")</f>
        <v/>
      </c>
      <c r="N28">
        <f>AND(C28&lt;&gt;"",D28&lt;&gt;"")</f>
        <v/>
      </c>
      <c r="O28">
        <f>OR(C28&lt;&gt;"",D28&lt;&gt;"")</f>
        <v/>
      </c>
      <c r="P28">
        <f>AND(C28&lt;&gt;"",E28&lt;&gt;"")</f>
        <v/>
      </c>
      <c r="Q28">
        <f>OR(C28&lt;&gt;"",E28&lt;&gt;"")</f>
        <v/>
      </c>
      <c r="R28">
        <f>AND(D28&lt;&gt;"",E28&lt;&gt;"")</f>
        <v/>
      </c>
      <c r="S28">
        <f>OR(D28&lt;&gt;"",E28&lt;&gt;"")</f>
        <v/>
      </c>
      <c r="V28">
        <f>AND(B28&lt;&gt;"",C28&lt;&gt;"",F28="No")</f>
        <v/>
      </c>
      <c r="W28">
        <f>AND(OR(B28&lt;&gt;"",C28&lt;&gt;""),F28="No")</f>
        <v/>
      </c>
      <c r="X28">
        <f>AND(B28&lt;&gt;"",D28&lt;&gt;"",F28="No")</f>
        <v/>
      </c>
      <c r="Y28">
        <f>AND(OR(B28&lt;&gt;"",D28&lt;&gt;""),F28="No")</f>
        <v/>
      </c>
      <c r="Z28">
        <f>AND(B28&lt;&gt;"",E28&lt;&gt;"",F28="No")</f>
        <v/>
      </c>
      <c r="AA28">
        <f>AND(OR(B28&lt;&gt;"",E28&lt;&gt;""),F28="No")</f>
        <v/>
      </c>
      <c r="AB28">
        <f>AND(C28&lt;&gt;"",D28&lt;&gt;"",F28="No")</f>
        <v/>
      </c>
      <c r="AC28">
        <f>AND(OR(C28&lt;&gt;"",D28&lt;&gt;""),F28="No")</f>
        <v/>
      </c>
      <c r="AD28">
        <f>AND(C28&lt;&gt;"",E28&lt;&gt;"",F28="No")</f>
        <v/>
      </c>
      <c r="AE28">
        <f>AND(OR(C28&lt;&gt;"",E28&lt;&gt;""),F28="No")</f>
        <v/>
      </c>
      <c r="AF28">
        <f>AND(D28&lt;&gt;"",E28&lt;&gt;"",F28="No")</f>
        <v/>
      </c>
      <c r="AG28">
        <f>AND(OR(D28&lt;&gt;"",E28&lt;&gt;""),F28="No")</f>
        <v/>
      </c>
    </row>
    <row r="29">
      <c r="A29" s="44" t="inlineStr">
        <is>
          <t>GS.4.18</t>
        </is>
      </c>
      <c r="E29" s="27" t="inlineStr">
        <is>
          <t>X</t>
        </is>
      </c>
      <c r="F29" s="47" t="inlineStr">
        <is>
          <t>No</t>
        </is>
      </c>
      <c r="H29">
        <f>AND(B29&lt;&gt;"",C29&lt;&gt;"")</f>
        <v/>
      </c>
      <c r="I29">
        <f>OR(B29&lt;&gt;"",C29&lt;&gt;"")</f>
        <v/>
      </c>
      <c r="J29">
        <f>AND(B29&lt;&gt;"",D29&lt;&gt;"")</f>
        <v/>
      </c>
      <c r="K29">
        <f>OR(B29&lt;&gt;"",D29&lt;&gt;"")</f>
        <v/>
      </c>
      <c r="L29">
        <f>AND(B29&lt;&gt;"",E29&lt;&gt;"")</f>
        <v/>
      </c>
      <c r="M29">
        <f>OR(B29&lt;&gt;"",E29&lt;&gt;"")</f>
        <v/>
      </c>
      <c r="N29">
        <f>AND(C29&lt;&gt;"",D29&lt;&gt;"")</f>
        <v/>
      </c>
      <c r="O29">
        <f>OR(C29&lt;&gt;"",D29&lt;&gt;"")</f>
        <v/>
      </c>
      <c r="P29">
        <f>AND(C29&lt;&gt;"",E29&lt;&gt;"")</f>
        <v/>
      </c>
      <c r="Q29">
        <f>OR(C29&lt;&gt;"",E29&lt;&gt;"")</f>
        <v/>
      </c>
      <c r="R29">
        <f>AND(D29&lt;&gt;"",E29&lt;&gt;"")</f>
        <v/>
      </c>
      <c r="S29">
        <f>OR(D29&lt;&gt;"",E29&lt;&gt;"")</f>
        <v/>
      </c>
      <c r="V29">
        <f>AND(B29&lt;&gt;"",C29&lt;&gt;"",F29="No")</f>
        <v/>
      </c>
      <c r="W29">
        <f>AND(OR(B29&lt;&gt;"",C29&lt;&gt;""),F29="No")</f>
        <v/>
      </c>
      <c r="X29">
        <f>AND(B29&lt;&gt;"",D29&lt;&gt;"",F29="No")</f>
        <v/>
      </c>
      <c r="Y29">
        <f>AND(OR(B29&lt;&gt;"",D29&lt;&gt;""),F29="No")</f>
        <v/>
      </c>
      <c r="Z29">
        <f>AND(B29&lt;&gt;"",E29&lt;&gt;"",F29="No")</f>
        <v/>
      </c>
      <c r="AA29">
        <f>AND(OR(B29&lt;&gt;"",E29&lt;&gt;""),F29="No")</f>
        <v/>
      </c>
      <c r="AB29">
        <f>AND(C29&lt;&gt;"",D29&lt;&gt;"",F29="No")</f>
        <v/>
      </c>
      <c r="AC29">
        <f>AND(OR(C29&lt;&gt;"",D29&lt;&gt;""),F29="No")</f>
        <v/>
      </c>
      <c r="AD29">
        <f>AND(C29&lt;&gt;"",E29&lt;&gt;"",F29="No")</f>
        <v/>
      </c>
      <c r="AE29">
        <f>AND(OR(C29&lt;&gt;"",E29&lt;&gt;""),F29="No")</f>
        <v/>
      </c>
      <c r="AF29">
        <f>AND(D29&lt;&gt;"",E29&lt;&gt;"",F29="No")</f>
        <v/>
      </c>
      <c r="AG29">
        <f>AND(OR(D29&lt;&gt;"",E29&lt;&gt;""),F29="No")</f>
        <v/>
      </c>
    </row>
    <row r="30">
      <c r="A30" t="inlineStr">
        <is>
          <t>Q0.4.2</t>
        </is>
      </c>
      <c r="B30" s="27" t="inlineStr">
        <is>
          <t>X</t>
        </is>
      </c>
      <c r="F30" s="47" t="inlineStr">
        <is>
          <t>Yes</t>
        </is>
      </c>
      <c r="H30">
        <f>AND(B30&lt;&gt;"",C30&lt;&gt;"")</f>
        <v/>
      </c>
      <c r="I30">
        <f>OR(B30&lt;&gt;"",C30&lt;&gt;"")</f>
        <v/>
      </c>
      <c r="J30">
        <f>AND(B30&lt;&gt;"",D30&lt;&gt;"")</f>
        <v/>
      </c>
      <c r="K30">
        <f>OR(B30&lt;&gt;"",D30&lt;&gt;"")</f>
        <v/>
      </c>
      <c r="L30">
        <f>AND(B30&lt;&gt;"",E30&lt;&gt;"")</f>
        <v/>
      </c>
      <c r="M30">
        <f>OR(B30&lt;&gt;"",E30&lt;&gt;"")</f>
        <v/>
      </c>
      <c r="N30">
        <f>AND(C30&lt;&gt;"",D30&lt;&gt;"")</f>
        <v/>
      </c>
      <c r="O30">
        <f>OR(C30&lt;&gt;"",D30&lt;&gt;"")</f>
        <v/>
      </c>
      <c r="P30">
        <f>AND(C30&lt;&gt;"",E30&lt;&gt;"")</f>
        <v/>
      </c>
      <c r="Q30">
        <f>OR(C30&lt;&gt;"",E30&lt;&gt;"")</f>
        <v/>
      </c>
      <c r="R30">
        <f>AND(D30&lt;&gt;"",E30&lt;&gt;"")</f>
        <v/>
      </c>
      <c r="S30">
        <f>OR(D30&lt;&gt;"",E30&lt;&gt;"")</f>
        <v/>
      </c>
      <c r="V30">
        <f>AND(B30&lt;&gt;"",C30&lt;&gt;"",F30="No")</f>
        <v/>
      </c>
      <c r="W30">
        <f>AND(OR(B30&lt;&gt;"",C30&lt;&gt;""),F30="No")</f>
        <v/>
      </c>
      <c r="X30">
        <f>AND(B30&lt;&gt;"",D30&lt;&gt;"",F30="No")</f>
        <v/>
      </c>
      <c r="Y30">
        <f>AND(OR(B30&lt;&gt;"",D30&lt;&gt;""),F30="No")</f>
        <v/>
      </c>
      <c r="Z30">
        <f>AND(B30&lt;&gt;"",E30&lt;&gt;"",F30="No")</f>
        <v/>
      </c>
      <c r="AA30">
        <f>AND(OR(B30&lt;&gt;"",E30&lt;&gt;""),F30="No")</f>
        <v/>
      </c>
      <c r="AB30">
        <f>AND(C30&lt;&gt;"",D30&lt;&gt;"",F30="No")</f>
        <v/>
      </c>
      <c r="AC30">
        <f>AND(OR(C30&lt;&gt;"",D30&lt;&gt;""),F30="No")</f>
        <v/>
      </c>
      <c r="AD30">
        <f>AND(C30&lt;&gt;"",E30&lt;&gt;"",F30="No")</f>
        <v/>
      </c>
      <c r="AE30">
        <f>AND(OR(C30&lt;&gt;"",E30&lt;&gt;""),F30="No")</f>
        <v/>
      </c>
      <c r="AF30">
        <f>AND(D30&lt;&gt;"",E30&lt;&gt;"",F30="No")</f>
        <v/>
      </c>
      <c r="AG30">
        <f>AND(OR(D30&lt;&gt;"",E30&lt;&gt;""),F30="No")</f>
        <v/>
      </c>
    </row>
    <row r="31">
      <c r="A31" t="inlineStr">
        <is>
          <t>Q0.4.7</t>
        </is>
      </c>
      <c r="B31" s="27" t="inlineStr">
        <is>
          <t>X</t>
        </is>
      </c>
      <c r="F31" s="47" t="inlineStr">
        <is>
          <t>Yes</t>
        </is>
      </c>
      <c r="H31">
        <f>AND(B31&lt;&gt;"",C31&lt;&gt;"")</f>
        <v/>
      </c>
      <c r="I31">
        <f>OR(B31&lt;&gt;"",C31&lt;&gt;"")</f>
        <v/>
      </c>
      <c r="J31">
        <f>AND(B31&lt;&gt;"",D31&lt;&gt;"")</f>
        <v/>
      </c>
      <c r="K31">
        <f>OR(B31&lt;&gt;"",D31&lt;&gt;"")</f>
        <v/>
      </c>
      <c r="L31">
        <f>AND(B31&lt;&gt;"",E31&lt;&gt;"")</f>
        <v/>
      </c>
      <c r="M31">
        <f>OR(B31&lt;&gt;"",E31&lt;&gt;"")</f>
        <v/>
      </c>
      <c r="N31">
        <f>AND(C31&lt;&gt;"",D31&lt;&gt;"")</f>
        <v/>
      </c>
      <c r="O31">
        <f>OR(C31&lt;&gt;"",D31&lt;&gt;"")</f>
        <v/>
      </c>
      <c r="P31">
        <f>AND(C31&lt;&gt;"",E31&lt;&gt;"")</f>
        <v/>
      </c>
      <c r="Q31">
        <f>OR(C31&lt;&gt;"",E31&lt;&gt;"")</f>
        <v/>
      </c>
      <c r="R31">
        <f>AND(D31&lt;&gt;"",E31&lt;&gt;"")</f>
        <v/>
      </c>
      <c r="S31">
        <f>OR(D31&lt;&gt;"",E31&lt;&gt;"")</f>
        <v/>
      </c>
      <c r="V31">
        <f>AND(B31&lt;&gt;"",C31&lt;&gt;"",F31="No")</f>
        <v/>
      </c>
      <c r="W31">
        <f>AND(OR(B31&lt;&gt;"",C31&lt;&gt;""),F31="No")</f>
        <v/>
      </c>
      <c r="X31">
        <f>AND(B31&lt;&gt;"",D31&lt;&gt;"",F31="No")</f>
        <v/>
      </c>
      <c r="Y31">
        <f>AND(OR(B31&lt;&gt;"",D31&lt;&gt;""),F31="No")</f>
        <v/>
      </c>
      <c r="Z31">
        <f>AND(B31&lt;&gt;"",E31&lt;&gt;"",F31="No")</f>
        <v/>
      </c>
      <c r="AA31">
        <f>AND(OR(B31&lt;&gt;"",E31&lt;&gt;""),F31="No")</f>
        <v/>
      </c>
      <c r="AB31">
        <f>AND(C31&lt;&gt;"",D31&lt;&gt;"",F31="No")</f>
        <v/>
      </c>
      <c r="AC31">
        <f>AND(OR(C31&lt;&gt;"",D31&lt;&gt;""),F31="No")</f>
        <v/>
      </c>
      <c r="AD31">
        <f>AND(C31&lt;&gt;"",E31&lt;&gt;"",F31="No")</f>
        <v/>
      </c>
      <c r="AE31">
        <f>AND(OR(C31&lt;&gt;"",E31&lt;&gt;""),F31="No")</f>
        <v/>
      </c>
      <c r="AF31">
        <f>AND(D31&lt;&gt;"",E31&lt;&gt;"",F31="No")</f>
        <v/>
      </c>
      <c r="AG31">
        <f>AND(OR(D31&lt;&gt;"",E31&lt;&gt;""),F31="No")</f>
        <v/>
      </c>
    </row>
    <row r="32">
      <c r="A32" t="inlineStr">
        <is>
          <t>Q0.4.11</t>
        </is>
      </c>
      <c r="B32" s="27" t="inlineStr">
        <is>
          <t>X</t>
        </is>
      </c>
      <c r="F32" s="47" t="inlineStr">
        <is>
          <t>Yes</t>
        </is>
      </c>
      <c r="H32">
        <f>AND(B32&lt;&gt;"",C32&lt;&gt;"")</f>
        <v/>
      </c>
      <c r="I32">
        <f>OR(B32&lt;&gt;"",C32&lt;&gt;"")</f>
        <v/>
      </c>
      <c r="J32">
        <f>AND(B32&lt;&gt;"",D32&lt;&gt;"")</f>
        <v/>
      </c>
      <c r="K32">
        <f>OR(B32&lt;&gt;"",D32&lt;&gt;"")</f>
        <v/>
      </c>
      <c r="L32">
        <f>AND(B32&lt;&gt;"",E32&lt;&gt;"")</f>
        <v/>
      </c>
      <c r="M32">
        <f>OR(B32&lt;&gt;"",E32&lt;&gt;"")</f>
        <v/>
      </c>
      <c r="N32">
        <f>AND(C32&lt;&gt;"",D32&lt;&gt;"")</f>
        <v/>
      </c>
      <c r="O32">
        <f>OR(C32&lt;&gt;"",D32&lt;&gt;"")</f>
        <v/>
      </c>
      <c r="P32">
        <f>AND(C32&lt;&gt;"",E32&lt;&gt;"")</f>
        <v/>
      </c>
      <c r="Q32">
        <f>OR(C32&lt;&gt;"",E32&lt;&gt;"")</f>
        <v/>
      </c>
      <c r="R32">
        <f>AND(D32&lt;&gt;"",E32&lt;&gt;"")</f>
        <v/>
      </c>
      <c r="S32">
        <f>OR(D32&lt;&gt;"",E32&lt;&gt;"")</f>
        <v/>
      </c>
      <c r="V32">
        <f>AND(B32&lt;&gt;"",C32&lt;&gt;"",F32="No")</f>
        <v/>
      </c>
      <c r="W32">
        <f>AND(OR(B32&lt;&gt;"",C32&lt;&gt;""),F32="No")</f>
        <v/>
      </c>
      <c r="X32">
        <f>AND(B32&lt;&gt;"",D32&lt;&gt;"",F32="No")</f>
        <v/>
      </c>
      <c r="Y32">
        <f>AND(OR(B32&lt;&gt;"",D32&lt;&gt;""),F32="No")</f>
        <v/>
      </c>
      <c r="Z32">
        <f>AND(B32&lt;&gt;"",E32&lt;&gt;"",F32="No")</f>
        <v/>
      </c>
      <c r="AA32">
        <f>AND(OR(B32&lt;&gt;"",E32&lt;&gt;""),F32="No")</f>
        <v/>
      </c>
      <c r="AB32">
        <f>AND(C32&lt;&gt;"",D32&lt;&gt;"",F32="No")</f>
        <v/>
      </c>
      <c r="AC32">
        <f>AND(OR(C32&lt;&gt;"",D32&lt;&gt;""),F32="No")</f>
        <v/>
      </c>
      <c r="AD32">
        <f>AND(C32&lt;&gt;"",E32&lt;&gt;"",F32="No")</f>
        <v/>
      </c>
      <c r="AE32">
        <f>AND(OR(C32&lt;&gt;"",E32&lt;&gt;""),F32="No")</f>
        <v/>
      </c>
      <c r="AF32">
        <f>AND(D32&lt;&gt;"",E32&lt;&gt;"",F32="No")</f>
        <v/>
      </c>
      <c r="AG32">
        <f>AND(OR(D32&lt;&gt;"",E32&lt;&gt;""),F32="No")</f>
        <v/>
      </c>
    </row>
    <row r="33">
      <c r="A33" t="inlineStr">
        <is>
          <t>Q0.4.12</t>
        </is>
      </c>
      <c r="B33" s="27" t="inlineStr">
        <is>
          <t>X</t>
        </is>
      </c>
      <c r="F33" s="47" t="inlineStr">
        <is>
          <t>Yes</t>
        </is>
      </c>
      <c r="H33">
        <f>AND(B33&lt;&gt;"",C33&lt;&gt;"")</f>
        <v/>
      </c>
      <c r="I33">
        <f>OR(B33&lt;&gt;"",C33&lt;&gt;"")</f>
        <v/>
      </c>
      <c r="J33">
        <f>AND(B33&lt;&gt;"",D33&lt;&gt;"")</f>
        <v/>
      </c>
      <c r="K33">
        <f>OR(B33&lt;&gt;"",D33&lt;&gt;"")</f>
        <v/>
      </c>
      <c r="L33">
        <f>AND(B33&lt;&gt;"",E33&lt;&gt;"")</f>
        <v/>
      </c>
      <c r="M33">
        <f>OR(B33&lt;&gt;"",E33&lt;&gt;"")</f>
        <v/>
      </c>
      <c r="N33">
        <f>AND(C33&lt;&gt;"",D33&lt;&gt;"")</f>
        <v/>
      </c>
      <c r="O33">
        <f>OR(C33&lt;&gt;"",D33&lt;&gt;"")</f>
        <v/>
      </c>
      <c r="P33">
        <f>AND(C33&lt;&gt;"",E33&lt;&gt;"")</f>
        <v/>
      </c>
      <c r="Q33">
        <f>OR(C33&lt;&gt;"",E33&lt;&gt;"")</f>
        <v/>
      </c>
      <c r="R33">
        <f>AND(D33&lt;&gt;"",E33&lt;&gt;"")</f>
        <v/>
      </c>
      <c r="S33">
        <f>OR(D33&lt;&gt;"",E33&lt;&gt;"")</f>
        <v/>
      </c>
      <c r="V33">
        <f>AND(B33&lt;&gt;"",C33&lt;&gt;"",F33="No")</f>
        <v/>
      </c>
      <c r="W33">
        <f>AND(OR(B33&lt;&gt;"",C33&lt;&gt;""),F33="No")</f>
        <v/>
      </c>
      <c r="X33">
        <f>AND(B33&lt;&gt;"",D33&lt;&gt;"",F33="No")</f>
        <v/>
      </c>
      <c r="Y33">
        <f>AND(OR(B33&lt;&gt;"",D33&lt;&gt;""),F33="No")</f>
        <v/>
      </c>
      <c r="Z33">
        <f>AND(B33&lt;&gt;"",E33&lt;&gt;"",F33="No")</f>
        <v/>
      </c>
      <c r="AA33">
        <f>AND(OR(B33&lt;&gt;"",E33&lt;&gt;""),F33="No")</f>
        <v/>
      </c>
      <c r="AB33">
        <f>AND(C33&lt;&gt;"",D33&lt;&gt;"",F33="No")</f>
        <v/>
      </c>
      <c r="AC33">
        <f>AND(OR(C33&lt;&gt;"",D33&lt;&gt;""),F33="No")</f>
        <v/>
      </c>
      <c r="AD33">
        <f>AND(C33&lt;&gt;"",E33&lt;&gt;"",F33="No")</f>
        <v/>
      </c>
      <c r="AE33">
        <f>AND(OR(C33&lt;&gt;"",E33&lt;&gt;""),F33="No")</f>
        <v/>
      </c>
      <c r="AF33">
        <f>AND(D33&lt;&gt;"",E33&lt;&gt;"",F33="No")</f>
        <v/>
      </c>
      <c r="AG33">
        <f>AND(OR(D33&lt;&gt;"",E33&lt;&gt;""),F33="No")</f>
        <v/>
      </c>
    </row>
    <row r="34">
      <c r="A34" t="inlineStr">
        <is>
          <t>Q0_ii.4.2</t>
        </is>
      </c>
      <c r="C34" s="27" t="inlineStr">
        <is>
          <t>X</t>
        </is>
      </c>
      <c r="F34" s="47" t="inlineStr">
        <is>
          <t>Yes</t>
        </is>
      </c>
      <c r="H34">
        <f>AND(B34&lt;&gt;"",C34&lt;&gt;"")</f>
        <v/>
      </c>
      <c r="I34">
        <f>OR(B34&lt;&gt;"",C34&lt;&gt;"")</f>
        <v/>
      </c>
      <c r="J34">
        <f>AND(B34&lt;&gt;"",D34&lt;&gt;"")</f>
        <v/>
      </c>
      <c r="K34">
        <f>OR(B34&lt;&gt;"",D34&lt;&gt;"")</f>
        <v/>
      </c>
      <c r="L34">
        <f>AND(B34&lt;&gt;"",E34&lt;&gt;"")</f>
        <v/>
      </c>
      <c r="M34">
        <f>OR(B34&lt;&gt;"",E34&lt;&gt;"")</f>
        <v/>
      </c>
      <c r="N34">
        <f>AND(C34&lt;&gt;"",D34&lt;&gt;"")</f>
        <v/>
      </c>
      <c r="O34">
        <f>OR(C34&lt;&gt;"",D34&lt;&gt;"")</f>
        <v/>
      </c>
      <c r="P34">
        <f>AND(C34&lt;&gt;"",E34&lt;&gt;"")</f>
        <v/>
      </c>
      <c r="Q34">
        <f>OR(C34&lt;&gt;"",E34&lt;&gt;"")</f>
        <v/>
      </c>
      <c r="R34">
        <f>AND(D34&lt;&gt;"",E34&lt;&gt;"")</f>
        <v/>
      </c>
      <c r="S34">
        <f>OR(D34&lt;&gt;"",E34&lt;&gt;"")</f>
        <v/>
      </c>
      <c r="V34">
        <f>AND(B34&lt;&gt;"",C34&lt;&gt;"",F34="No")</f>
        <v/>
      </c>
      <c r="W34">
        <f>AND(OR(B34&lt;&gt;"",C34&lt;&gt;""),F34="No")</f>
        <v/>
      </c>
      <c r="X34">
        <f>AND(B34&lt;&gt;"",D34&lt;&gt;"",F34="No")</f>
        <v/>
      </c>
      <c r="Y34">
        <f>AND(OR(B34&lt;&gt;"",D34&lt;&gt;""),F34="No")</f>
        <v/>
      </c>
      <c r="Z34">
        <f>AND(B34&lt;&gt;"",E34&lt;&gt;"",F34="No")</f>
        <v/>
      </c>
      <c r="AA34">
        <f>AND(OR(B34&lt;&gt;"",E34&lt;&gt;""),F34="No")</f>
        <v/>
      </c>
      <c r="AB34">
        <f>AND(C34&lt;&gt;"",D34&lt;&gt;"",F34="No")</f>
        <v/>
      </c>
      <c r="AC34">
        <f>AND(OR(C34&lt;&gt;"",D34&lt;&gt;""),F34="No")</f>
        <v/>
      </c>
      <c r="AD34">
        <f>AND(C34&lt;&gt;"",E34&lt;&gt;"",F34="No")</f>
        <v/>
      </c>
      <c r="AE34">
        <f>AND(OR(C34&lt;&gt;"",E34&lt;&gt;""),F34="No")</f>
        <v/>
      </c>
      <c r="AF34">
        <f>AND(D34&lt;&gt;"",E34&lt;&gt;"",F34="No")</f>
        <v/>
      </c>
      <c r="AG34">
        <f>AND(OR(D34&lt;&gt;"",E34&lt;&gt;""),F34="No")</f>
        <v/>
      </c>
    </row>
    <row r="35">
      <c r="A35" t="inlineStr">
        <is>
          <t>Q0_iii.4.3</t>
        </is>
      </c>
      <c r="D35" s="27" t="inlineStr">
        <is>
          <t>X</t>
        </is>
      </c>
      <c r="F35" s="47" t="inlineStr">
        <is>
          <t>Yes</t>
        </is>
      </c>
      <c r="H35">
        <f>AND(B35&lt;&gt;"",C35&lt;&gt;"")</f>
        <v/>
      </c>
      <c r="I35">
        <f>OR(B35&lt;&gt;"",C35&lt;&gt;"")</f>
        <v/>
      </c>
      <c r="J35">
        <f>AND(B35&lt;&gt;"",D35&lt;&gt;"")</f>
        <v/>
      </c>
      <c r="K35">
        <f>OR(B35&lt;&gt;"",D35&lt;&gt;"")</f>
        <v/>
      </c>
      <c r="L35">
        <f>AND(B35&lt;&gt;"",E35&lt;&gt;"")</f>
        <v/>
      </c>
      <c r="M35">
        <f>OR(B35&lt;&gt;"",E35&lt;&gt;"")</f>
        <v/>
      </c>
      <c r="N35">
        <f>AND(C35&lt;&gt;"",D35&lt;&gt;"")</f>
        <v/>
      </c>
      <c r="O35">
        <f>OR(C35&lt;&gt;"",D35&lt;&gt;"")</f>
        <v/>
      </c>
      <c r="P35">
        <f>AND(C35&lt;&gt;"",E35&lt;&gt;"")</f>
        <v/>
      </c>
      <c r="Q35">
        <f>OR(C35&lt;&gt;"",E35&lt;&gt;"")</f>
        <v/>
      </c>
      <c r="R35">
        <f>AND(D35&lt;&gt;"",E35&lt;&gt;"")</f>
        <v/>
      </c>
      <c r="S35">
        <f>OR(D35&lt;&gt;"",E35&lt;&gt;"")</f>
        <v/>
      </c>
      <c r="V35">
        <f>AND(B35&lt;&gt;"",C35&lt;&gt;"",F35="No")</f>
        <v/>
      </c>
      <c r="W35">
        <f>AND(OR(B35&lt;&gt;"",C35&lt;&gt;""),F35="No")</f>
        <v/>
      </c>
      <c r="X35">
        <f>AND(B35&lt;&gt;"",D35&lt;&gt;"",F35="No")</f>
        <v/>
      </c>
      <c r="Y35">
        <f>AND(OR(B35&lt;&gt;"",D35&lt;&gt;""),F35="No")</f>
        <v/>
      </c>
      <c r="Z35">
        <f>AND(B35&lt;&gt;"",E35&lt;&gt;"",F35="No")</f>
        <v/>
      </c>
      <c r="AA35">
        <f>AND(OR(B35&lt;&gt;"",E35&lt;&gt;""),F35="No")</f>
        <v/>
      </c>
      <c r="AB35">
        <f>AND(C35&lt;&gt;"",D35&lt;&gt;"",F35="No")</f>
        <v/>
      </c>
      <c r="AC35">
        <f>AND(OR(C35&lt;&gt;"",D35&lt;&gt;""),F35="No")</f>
        <v/>
      </c>
      <c r="AD35">
        <f>AND(C35&lt;&gt;"",E35&lt;&gt;"",F35="No")</f>
        <v/>
      </c>
      <c r="AE35">
        <f>AND(OR(C35&lt;&gt;"",E35&lt;&gt;""),F35="No")</f>
        <v/>
      </c>
      <c r="AF35">
        <f>AND(D35&lt;&gt;"",E35&lt;&gt;"",F35="No")</f>
        <v/>
      </c>
      <c r="AG35">
        <f>AND(OR(D35&lt;&gt;"",E35&lt;&gt;""),F35="No")</f>
        <v/>
      </c>
    </row>
    <row r="36">
      <c r="A36" t="inlineStr">
        <is>
          <t>Q0_iii.4.4</t>
        </is>
      </c>
      <c r="D36" s="27" t="inlineStr">
        <is>
          <t>X</t>
        </is>
      </c>
      <c r="F36" s="47" t="inlineStr">
        <is>
          <t>Yes</t>
        </is>
      </c>
      <c r="H36">
        <f>AND(B36&lt;&gt;"",C36&lt;&gt;"")</f>
        <v/>
      </c>
      <c r="I36">
        <f>OR(B36&lt;&gt;"",C36&lt;&gt;"")</f>
        <v/>
      </c>
      <c r="J36">
        <f>AND(B36&lt;&gt;"",D36&lt;&gt;"")</f>
        <v/>
      </c>
      <c r="K36">
        <f>OR(B36&lt;&gt;"",D36&lt;&gt;"")</f>
        <v/>
      </c>
      <c r="L36">
        <f>AND(B36&lt;&gt;"",E36&lt;&gt;"")</f>
        <v/>
      </c>
      <c r="M36">
        <f>OR(B36&lt;&gt;"",E36&lt;&gt;"")</f>
        <v/>
      </c>
      <c r="N36">
        <f>AND(C36&lt;&gt;"",D36&lt;&gt;"")</f>
        <v/>
      </c>
      <c r="O36">
        <f>OR(C36&lt;&gt;"",D36&lt;&gt;"")</f>
        <v/>
      </c>
      <c r="P36">
        <f>AND(C36&lt;&gt;"",E36&lt;&gt;"")</f>
        <v/>
      </c>
      <c r="Q36">
        <f>OR(C36&lt;&gt;"",E36&lt;&gt;"")</f>
        <v/>
      </c>
      <c r="R36">
        <f>AND(D36&lt;&gt;"",E36&lt;&gt;"")</f>
        <v/>
      </c>
      <c r="S36">
        <f>OR(D36&lt;&gt;"",E36&lt;&gt;"")</f>
        <v/>
      </c>
      <c r="V36">
        <f>AND(B36&lt;&gt;"",C36&lt;&gt;"",F36="No")</f>
        <v/>
      </c>
      <c r="W36">
        <f>AND(OR(B36&lt;&gt;"",C36&lt;&gt;""),F36="No")</f>
        <v/>
      </c>
      <c r="X36">
        <f>AND(B36&lt;&gt;"",D36&lt;&gt;"",F36="No")</f>
        <v/>
      </c>
      <c r="Y36">
        <f>AND(OR(B36&lt;&gt;"",D36&lt;&gt;""),F36="No")</f>
        <v/>
      </c>
      <c r="Z36">
        <f>AND(B36&lt;&gt;"",E36&lt;&gt;"",F36="No")</f>
        <v/>
      </c>
      <c r="AA36">
        <f>AND(OR(B36&lt;&gt;"",E36&lt;&gt;""),F36="No")</f>
        <v/>
      </c>
      <c r="AB36">
        <f>AND(C36&lt;&gt;"",D36&lt;&gt;"",F36="No")</f>
        <v/>
      </c>
      <c r="AC36">
        <f>AND(OR(C36&lt;&gt;"",D36&lt;&gt;""),F36="No")</f>
        <v/>
      </c>
      <c r="AD36">
        <f>AND(C36&lt;&gt;"",E36&lt;&gt;"",F36="No")</f>
        <v/>
      </c>
      <c r="AE36">
        <f>AND(OR(C36&lt;&gt;"",E36&lt;&gt;""),F36="No")</f>
        <v/>
      </c>
      <c r="AF36">
        <f>AND(D36&lt;&gt;"",E36&lt;&gt;"",F36="No")</f>
        <v/>
      </c>
      <c r="AG36">
        <f>AND(OR(D36&lt;&gt;"",E36&lt;&gt;""),F36="No")</f>
        <v/>
      </c>
    </row>
    <row r="37">
      <c r="A37" t="inlineStr">
        <is>
          <t>Q0_iv.4.4</t>
        </is>
      </c>
      <c r="E37" s="27" t="inlineStr">
        <is>
          <t>X</t>
        </is>
      </c>
      <c r="F37" s="47" t="inlineStr">
        <is>
          <t>Yes</t>
        </is>
      </c>
      <c r="H37">
        <f>AND(B37&lt;&gt;"",C37&lt;&gt;"")</f>
        <v/>
      </c>
      <c r="I37">
        <f>OR(B37&lt;&gt;"",C37&lt;&gt;"")</f>
        <v/>
      </c>
      <c r="J37">
        <f>AND(B37&lt;&gt;"",D37&lt;&gt;"")</f>
        <v/>
      </c>
      <c r="K37">
        <f>OR(B37&lt;&gt;"",D37&lt;&gt;"")</f>
        <v/>
      </c>
      <c r="L37">
        <f>AND(B37&lt;&gt;"",E37&lt;&gt;"")</f>
        <v/>
      </c>
      <c r="M37">
        <f>OR(B37&lt;&gt;"",E37&lt;&gt;"")</f>
        <v/>
      </c>
      <c r="N37">
        <f>AND(C37&lt;&gt;"",D37&lt;&gt;"")</f>
        <v/>
      </c>
      <c r="O37">
        <f>OR(C37&lt;&gt;"",D37&lt;&gt;"")</f>
        <v/>
      </c>
      <c r="P37">
        <f>AND(C37&lt;&gt;"",E37&lt;&gt;"")</f>
        <v/>
      </c>
      <c r="Q37">
        <f>OR(C37&lt;&gt;"",E37&lt;&gt;"")</f>
        <v/>
      </c>
      <c r="R37">
        <f>AND(D37&lt;&gt;"",E37&lt;&gt;"")</f>
        <v/>
      </c>
      <c r="S37">
        <f>OR(D37&lt;&gt;"",E37&lt;&gt;"")</f>
        <v/>
      </c>
      <c r="V37">
        <f>AND(B37&lt;&gt;"",C37&lt;&gt;"",F37="No")</f>
        <v/>
      </c>
      <c r="W37">
        <f>AND(OR(B37&lt;&gt;"",C37&lt;&gt;""),F37="No")</f>
        <v/>
      </c>
      <c r="X37">
        <f>AND(B37&lt;&gt;"",D37&lt;&gt;"",F37="No")</f>
        <v/>
      </c>
      <c r="Y37">
        <f>AND(OR(B37&lt;&gt;"",D37&lt;&gt;""),F37="No")</f>
        <v/>
      </c>
      <c r="Z37">
        <f>AND(B37&lt;&gt;"",E37&lt;&gt;"",F37="No")</f>
        <v/>
      </c>
      <c r="AA37">
        <f>AND(OR(B37&lt;&gt;"",E37&lt;&gt;""),F37="No")</f>
        <v/>
      </c>
      <c r="AB37">
        <f>AND(C37&lt;&gt;"",D37&lt;&gt;"",F37="No")</f>
        <v/>
      </c>
      <c r="AC37">
        <f>AND(OR(C37&lt;&gt;"",D37&lt;&gt;""),F37="No")</f>
        <v/>
      </c>
      <c r="AD37">
        <f>AND(C37&lt;&gt;"",E37&lt;&gt;"",F37="No")</f>
        <v/>
      </c>
      <c r="AE37">
        <f>AND(OR(C37&lt;&gt;"",E37&lt;&gt;""),F37="No")</f>
        <v/>
      </c>
      <c r="AF37">
        <f>AND(D37&lt;&gt;"",E37&lt;&gt;"",F37="No")</f>
        <v/>
      </c>
      <c r="AG37">
        <f>AND(OR(D37&lt;&gt;"",E37&lt;&gt;""),F37="No")</f>
        <v/>
      </c>
    </row>
    <row r="38">
      <c r="A38" s="44" t="inlineStr">
        <is>
          <t>H.5.1</t>
        </is>
      </c>
      <c r="B38" s="27" t="inlineStr">
        <is>
          <t>X</t>
        </is>
      </c>
      <c r="C38" s="27" t="inlineStr">
        <is>
          <t>X</t>
        </is>
      </c>
      <c r="D38" s="27" t="inlineStr">
        <is>
          <t>X</t>
        </is>
      </c>
      <c r="E38" s="27" t="inlineStr">
        <is>
          <t>X</t>
        </is>
      </c>
      <c r="F38" s="47" t="inlineStr">
        <is>
          <t>No</t>
        </is>
      </c>
      <c r="H38">
        <f>AND(B38&lt;&gt;"",C38&lt;&gt;"")</f>
        <v/>
      </c>
      <c r="I38">
        <f>OR(B38&lt;&gt;"",C38&lt;&gt;"")</f>
        <v/>
      </c>
      <c r="J38">
        <f>AND(B38&lt;&gt;"",D38&lt;&gt;"")</f>
        <v/>
      </c>
      <c r="K38">
        <f>OR(B38&lt;&gt;"",D38&lt;&gt;"")</f>
        <v/>
      </c>
      <c r="L38">
        <f>AND(B38&lt;&gt;"",E38&lt;&gt;"")</f>
        <v/>
      </c>
      <c r="M38">
        <f>OR(B38&lt;&gt;"",E38&lt;&gt;"")</f>
        <v/>
      </c>
      <c r="N38">
        <f>AND(C38&lt;&gt;"",D38&lt;&gt;"")</f>
        <v/>
      </c>
      <c r="O38">
        <f>OR(C38&lt;&gt;"",D38&lt;&gt;"")</f>
        <v/>
      </c>
      <c r="P38">
        <f>AND(C38&lt;&gt;"",E38&lt;&gt;"")</f>
        <v/>
      </c>
      <c r="Q38">
        <f>OR(C38&lt;&gt;"",E38&lt;&gt;"")</f>
        <v/>
      </c>
      <c r="R38">
        <f>AND(D38&lt;&gt;"",E38&lt;&gt;"")</f>
        <v/>
      </c>
      <c r="S38">
        <f>OR(D38&lt;&gt;"",E38&lt;&gt;"")</f>
        <v/>
      </c>
      <c r="V38">
        <f>AND(B38&lt;&gt;"",C38&lt;&gt;"",F38="No")</f>
        <v/>
      </c>
      <c r="W38">
        <f>AND(OR(B38&lt;&gt;"",C38&lt;&gt;""),F38="No")</f>
        <v/>
      </c>
      <c r="X38">
        <f>AND(B38&lt;&gt;"",D38&lt;&gt;"",F38="No")</f>
        <v/>
      </c>
      <c r="Y38">
        <f>AND(OR(B38&lt;&gt;"",D38&lt;&gt;""),F38="No")</f>
        <v/>
      </c>
      <c r="Z38">
        <f>AND(B38&lt;&gt;"",E38&lt;&gt;"",F38="No")</f>
        <v/>
      </c>
      <c r="AA38">
        <f>AND(OR(B38&lt;&gt;"",E38&lt;&gt;""),F38="No")</f>
        <v/>
      </c>
      <c r="AB38">
        <f>AND(C38&lt;&gt;"",D38&lt;&gt;"",F38="No")</f>
        <v/>
      </c>
      <c r="AC38">
        <f>AND(OR(C38&lt;&gt;"",D38&lt;&gt;""),F38="No")</f>
        <v/>
      </c>
      <c r="AD38">
        <f>AND(C38&lt;&gt;"",E38&lt;&gt;"",F38="No")</f>
        <v/>
      </c>
      <c r="AE38">
        <f>AND(OR(C38&lt;&gt;"",E38&lt;&gt;""),F38="No")</f>
        <v/>
      </c>
      <c r="AF38">
        <f>AND(D38&lt;&gt;"",E38&lt;&gt;"",F38="No")</f>
        <v/>
      </c>
      <c r="AG38">
        <f>AND(OR(D38&lt;&gt;"",E38&lt;&gt;""),F38="No")</f>
        <v/>
      </c>
    </row>
    <row r="39">
      <c r="A39" s="44" t="inlineStr">
        <is>
          <t>H.5.2</t>
        </is>
      </c>
      <c r="B39" s="27" t="inlineStr">
        <is>
          <t>X</t>
        </is>
      </c>
      <c r="C39" s="27" t="inlineStr">
        <is>
          <t>X</t>
        </is>
      </c>
      <c r="D39" s="27" t="inlineStr">
        <is>
          <t>X</t>
        </is>
      </c>
      <c r="E39" s="27" t="inlineStr">
        <is>
          <t>X</t>
        </is>
      </c>
      <c r="F39" s="47" t="inlineStr">
        <is>
          <t>No</t>
        </is>
      </c>
      <c r="H39">
        <f>AND(B39&lt;&gt;"",C39&lt;&gt;"")</f>
        <v/>
      </c>
      <c r="I39">
        <f>OR(B39&lt;&gt;"",C39&lt;&gt;"")</f>
        <v/>
      </c>
      <c r="J39">
        <f>AND(B39&lt;&gt;"",D39&lt;&gt;"")</f>
        <v/>
      </c>
      <c r="K39">
        <f>OR(B39&lt;&gt;"",D39&lt;&gt;"")</f>
        <v/>
      </c>
      <c r="L39">
        <f>AND(B39&lt;&gt;"",E39&lt;&gt;"")</f>
        <v/>
      </c>
      <c r="M39">
        <f>OR(B39&lt;&gt;"",E39&lt;&gt;"")</f>
        <v/>
      </c>
      <c r="N39">
        <f>AND(C39&lt;&gt;"",D39&lt;&gt;"")</f>
        <v/>
      </c>
      <c r="O39">
        <f>OR(C39&lt;&gt;"",D39&lt;&gt;"")</f>
        <v/>
      </c>
      <c r="P39">
        <f>AND(C39&lt;&gt;"",E39&lt;&gt;"")</f>
        <v/>
      </c>
      <c r="Q39">
        <f>OR(C39&lt;&gt;"",E39&lt;&gt;"")</f>
        <v/>
      </c>
      <c r="R39">
        <f>AND(D39&lt;&gt;"",E39&lt;&gt;"")</f>
        <v/>
      </c>
      <c r="S39">
        <f>OR(D39&lt;&gt;"",E39&lt;&gt;"")</f>
        <v/>
      </c>
      <c r="V39">
        <f>AND(B39&lt;&gt;"",C39&lt;&gt;"",F39="No")</f>
        <v/>
      </c>
      <c r="W39">
        <f>AND(OR(B39&lt;&gt;"",C39&lt;&gt;""),F39="No")</f>
        <v/>
      </c>
      <c r="X39">
        <f>AND(B39&lt;&gt;"",D39&lt;&gt;"",F39="No")</f>
        <v/>
      </c>
      <c r="Y39">
        <f>AND(OR(B39&lt;&gt;"",D39&lt;&gt;""),F39="No")</f>
        <v/>
      </c>
      <c r="Z39">
        <f>AND(B39&lt;&gt;"",E39&lt;&gt;"",F39="No")</f>
        <v/>
      </c>
      <c r="AA39">
        <f>AND(OR(B39&lt;&gt;"",E39&lt;&gt;""),F39="No")</f>
        <v/>
      </c>
      <c r="AB39">
        <f>AND(C39&lt;&gt;"",D39&lt;&gt;"",F39="No")</f>
        <v/>
      </c>
      <c r="AC39">
        <f>AND(OR(C39&lt;&gt;"",D39&lt;&gt;""),F39="No")</f>
        <v/>
      </c>
      <c r="AD39">
        <f>AND(C39&lt;&gt;"",E39&lt;&gt;"",F39="No")</f>
        <v/>
      </c>
      <c r="AE39">
        <f>AND(OR(C39&lt;&gt;"",E39&lt;&gt;""),F39="No")</f>
        <v/>
      </c>
      <c r="AF39">
        <f>AND(D39&lt;&gt;"",E39&lt;&gt;"",F39="No")</f>
        <v/>
      </c>
      <c r="AG39">
        <f>AND(OR(D39&lt;&gt;"",E39&lt;&gt;""),F39="No")</f>
        <v/>
      </c>
    </row>
    <row r="40">
      <c r="A40" s="44" t="inlineStr">
        <is>
          <t>GS.5.6</t>
        </is>
      </c>
      <c r="C40" s="27" t="inlineStr">
        <is>
          <t>X</t>
        </is>
      </c>
      <c r="D40" s="27" t="inlineStr">
        <is>
          <t>X</t>
        </is>
      </c>
      <c r="F40" s="47" t="inlineStr">
        <is>
          <t>No</t>
        </is>
      </c>
      <c r="H40">
        <f>AND(B40&lt;&gt;"",C40&lt;&gt;"")</f>
        <v/>
      </c>
      <c r="I40">
        <f>OR(B40&lt;&gt;"",C40&lt;&gt;"")</f>
        <v/>
      </c>
      <c r="J40">
        <f>AND(B40&lt;&gt;"",D40&lt;&gt;"")</f>
        <v/>
      </c>
      <c r="K40">
        <f>OR(B40&lt;&gt;"",D40&lt;&gt;"")</f>
        <v/>
      </c>
      <c r="L40">
        <f>AND(B40&lt;&gt;"",E40&lt;&gt;"")</f>
        <v/>
      </c>
      <c r="M40">
        <f>OR(B40&lt;&gt;"",E40&lt;&gt;"")</f>
        <v/>
      </c>
      <c r="N40">
        <f>AND(C40&lt;&gt;"",D40&lt;&gt;"")</f>
        <v/>
      </c>
      <c r="O40">
        <f>OR(C40&lt;&gt;"",D40&lt;&gt;"")</f>
        <v/>
      </c>
      <c r="P40">
        <f>AND(C40&lt;&gt;"",E40&lt;&gt;"")</f>
        <v/>
      </c>
      <c r="Q40">
        <f>OR(C40&lt;&gt;"",E40&lt;&gt;"")</f>
        <v/>
      </c>
      <c r="R40">
        <f>AND(D40&lt;&gt;"",E40&lt;&gt;"")</f>
        <v/>
      </c>
      <c r="S40">
        <f>OR(D40&lt;&gt;"",E40&lt;&gt;"")</f>
        <v/>
      </c>
      <c r="V40">
        <f>AND(B40&lt;&gt;"",C40&lt;&gt;"",F40="No")</f>
        <v/>
      </c>
      <c r="W40">
        <f>AND(OR(B40&lt;&gt;"",C40&lt;&gt;""),F40="No")</f>
        <v/>
      </c>
      <c r="X40">
        <f>AND(B40&lt;&gt;"",D40&lt;&gt;"",F40="No")</f>
        <v/>
      </c>
      <c r="Y40">
        <f>AND(OR(B40&lt;&gt;"",D40&lt;&gt;""),F40="No")</f>
        <v/>
      </c>
      <c r="Z40">
        <f>AND(B40&lt;&gt;"",E40&lt;&gt;"",F40="No")</f>
        <v/>
      </c>
      <c r="AA40">
        <f>AND(OR(B40&lt;&gt;"",E40&lt;&gt;""),F40="No")</f>
        <v/>
      </c>
      <c r="AB40">
        <f>AND(C40&lt;&gt;"",D40&lt;&gt;"",F40="No")</f>
        <v/>
      </c>
      <c r="AC40">
        <f>AND(OR(C40&lt;&gt;"",D40&lt;&gt;""),F40="No")</f>
        <v/>
      </c>
      <c r="AD40">
        <f>AND(C40&lt;&gt;"",E40&lt;&gt;"",F40="No")</f>
        <v/>
      </c>
      <c r="AE40">
        <f>AND(OR(C40&lt;&gt;"",E40&lt;&gt;""),F40="No")</f>
        <v/>
      </c>
      <c r="AF40">
        <f>AND(D40&lt;&gt;"",E40&lt;&gt;"",F40="No")</f>
        <v/>
      </c>
      <c r="AG40">
        <f>AND(OR(D40&lt;&gt;"",E40&lt;&gt;""),F40="No")</f>
        <v/>
      </c>
    </row>
    <row r="41">
      <c r="A41" s="44" t="inlineStr">
        <is>
          <t>H.6.1</t>
        </is>
      </c>
      <c r="B41" s="27" t="inlineStr">
        <is>
          <t>X</t>
        </is>
      </c>
      <c r="C41" s="27" t="inlineStr">
        <is>
          <t>X</t>
        </is>
      </c>
      <c r="D41" s="27" t="inlineStr">
        <is>
          <t>X</t>
        </is>
      </c>
      <c r="E41" s="27" t="inlineStr">
        <is>
          <t>X</t>
        </is>
      </c>
      <c r="F41" s="47" t="inlineStr">
        <is>
          <t>No</t>
        </is>
      </c>
      <c r="H41">
        <f>AND(B41&lt;&gt;"",C41&lt;&gt;"")</f>
        <v/>
      </c>
      <c r="I41">
        <f>OR(B41&lt;&gt;"",C41&lt;&gt;"")</f>
        <v/>
      </c>
      <c r="J41">
        <f>AND(B41&lt;&gt;"",D41&lt;&gt;"")</f>
        <v/>
      </c>
      <c r="K41">
        <f>OR(B41&lt;&gt;"",D41&lt;&gt;"")</f>
        <v/>
      </c>
      <c r="L41">
        <f>AND(B41&lt;&gt;"",E41&lt;&gt;"")</f>
        <v/>
      </c>
      <c r="M41">
        <f>OR(B41&lt;&gt;"",E41&lt;&gt;"")</f>
        <v/>
      </c>
      <c r="N41">
        <f>AND(C41&lt;&gt;"",D41&lt;&gt;"")</f>
        <v/>
      </c>
      <c r="O41">
        <f>OR(C41&lt;&gt;"",D41&lt;&gt;"")</f>
        <v/>
      </c>
      <c r="P41">
        <f>AND(C41&lt;&gt;"",E41&lt;&gt;"")</f>
        <v/>
      </c>
      <c r="Q41">
        <f>OR(C41&lt;&gt;"",E41&lt;&gt;"")</f>
        <v/>
      </c>
      <c r="R41">
        <f>AND(D41&lt;&gt;"",E41&lt;&gt;"")</f>
        <v/>
      </c>
      <c r="S41">
        <f>OR(D41&lt;&gt;"",E41&lt;&gt;"")</f>
        <v/>
      </c>
      <c r="V41">
        <f>AND(B41&lt;&gt;"",C41&lt;&gt;"",F41="No")</f>
        <v/>
      </c>
      <c r="W41">
        <f>AND(OR(B41&lt;&gt;"",C41&lt;&gt;""),F41="No")</f>
        <v/>
      </c>
      <c r="X41">
        <f>AND(B41&lt;&gt;"",D41&lt;&gt;"",F41="No")</f>
        <v/>
      </c>
      <c r="Y41">
        <f>AND(OR(B41&lt;&gt;"",D41&lt;&gt;""),F41="No")</f>
        <v/>
      </c>
      <c r="Z41">
        <f>AND(B41&lt;&gt;"",E41&lt;&gt;"",F41="No")</f>
        <v/>
      </c>
      <c r="AA41">
        <f>AND(OR(B41&lt;&gt;"",E41&lt;&gt;""),F41="No")</f>
        <v/>
      </c>
      <c r="AB41">
        <f>AND(C41&lt;&gt;"",D41&lt;&gt;"",F41="No")</f>
        <v/>
      </c>
      <c r="AC41">
        <f>AND(OR(C41&lt;&gt;"",D41&lt;&gt;""),F41="No")</f>
        <v/>
      </c>
      <c r="AD41">
        <f>AND(C41&lt;&gt;"",E41&lt;&gt;"",F41="No")</f>
        <v/>
      </c>
      <c r="AE41">
        <f>AND(OR(C41&lt;&gt;"",E41&lt;&gt;""),F41="No")</f>
        <v/>
      </c>
      <c r="AF41">
        <f>AND(D41&lt;&gt;"",E41&lt;&gt;"",F41="No")</f>
        <v/>
      </c>
      <c r="AG41">
        <f>AND(OR(D41&lt;&gt;"",E41&lt;&gt;""),F41="No")</f>
        <v/>
      </c>
    </row>
    <row r="42">
      <c r="A42" s="44" t="inlineStr">
        <is>
          <t>H.7.1</t>
        </is>
      </c>
      <c r="B42" s="27" t="inlineStr">
        <is>
          <t>P</t>
        </is>
      </c>
      <c r="C42" s="27" t="inlineStr">
        <is>
          <t>P</t>
        </is>
      </c>
      <c r="D42" s="27" t="inlineStr">
        <is>
          <t>P</t>
        </is>
      </c>
      <c r="E42" s="27" t="inlineStr">
        <is>
          <t>P</t>
        </is>
      </c>
      <c r="F42" s="47" t="inlineStr">
        <is>
          <t>No</t>
        </is>
      </c>
      <c r="H42">
        <f>AND(B42&lt;&gt;"",C42&lt;&gt;"")</f>
        <v/>
      </c>
      <c r="I42">
        <f>OR(B42&lt;&gt;"",C42&lt;&gt;"")</f>
        <v/>
      </c>
      <c r="J42">
        <f>AND(B42&lt;&gt;"",D42&lt;&gt;"")</f>
        <v/>
      </c>
      <c r="K42">
        <f>OR(B42&lt;&gt;"",D42&lt;&gt;"")</f>
        <v/>
      </c>
      <c r="L42">
        <f>AND(B42&lt;&gt;"",E42&lt;&gt;"")</f>
        <v/>
      </c>
      <c r="M42">
        <f>OR(B42&lt;&gt;"",E42&lt;&gt;"")</f>
        <v/>
      </c>
      <c r="N42">
        <f>AND(C42&lt;&gt;"",D42&lt;&gt;"")</f>
        <v/>
      </c>
      <c r="O42">
        <f>OR(C42&lt;&gt;"",D42&lt;&gt;"")</f>
        <v/>
      </c>
      <c r="P42">
        <f>AND(C42&lt;&gt;"",E42&lt;&gt;"")</f>
        <v/>
      </c>
      <c r="Q42">
        <f>OR(C42&lt;&gt;"",E42&lt;&gt;"")</f>
        <v/>
      </c>
      <c r="R42">
        <f>AND(D42&lt;&gt;"",E42&lt;&gt;"")</f>
        <v/>
      </c>
      <c r="S42">
        <f>OR(D42&lt;&gt;"",E42&lt;&gt;"")</f>
        <v/>
      </c>
      <c r="V42">
        <f>AND(B42&lt;&gt;"",C42&lt;&gt;"",F42="No")</f>
        <v/>
      </c>
      <c r="W42">
        <f>AND(OR(B42&lt;&gt;"",C42&lt;&gt;""),F42="No")</f>
        <v/>
      </c>
      <c r="X42">
        <f>AND(B42&lt;&gt;"",D42&lt;&gt;"",F42="No")</f>
        <v/>
      </c>
      <c r="Y42">
        <f>AND(OR(B42&lt;&gt;"",D42&lt;&gt;""),F42="No")</f>
        <v/>
      </c>
      <c r="Z42">
        <f>AND(B42&lt;&gt;"",E42&lt;&gt;"",F42="No")</f>
        <v/>
      </c>
      <c r="AA42">
        <f>AND(OR(B42&lt;&gt;"",E42&lt;&gt;""),F42="No")</f>
        <v/>
      </c>
      <c r="AB42">
        <f>AND(C42&lt;&gt;"",D42&lt;&gt;"",F42="No")</f>
        <v/>
      </c>
      <c r="AC42">
        <f>AND(OR(C42&lt;&gt;"",D42&lt;&gt;""),F42="No")</f>
        <v/>
      </c>
      <c r="AD42">
        <f>AND(C42&lt;&gt;"",E42&lt;&gt;"",F42="No")</f>
        <v/>
      </c>
      <c r="AE42">
        <f>AND(OR(C42&lt;&gt;"",E42&lt;&gt;""),F42="No")</f>
        <v/>
      </c>
      <c r="AF42">
        <f>AND(D42&lt;&gt;"",E42&lt;&gt;"",F42="No")</f>
        <v/>
      </c>
      <c r="AG42">
        <f>AND(OR(D42&lt;&gt;"",E42&lt;&gt;""),F42="No")</f>
        <v/>
      </c>
    </row>
    <row r="43">
      <c r="A43" s="44" t="inlineStr">
        <is>
          <t>H.7.3</t>
        </is>
      </c>
      <c r="B43" s="27" t="inlineStr">
        <is>
          <t>X</t>
        </is>
      </c>
      <c r="C43" s="27" t="inlineStr">
        <is>
          <t>X</t>
        </is>
      </c>
      <c r="D43" s="27" t="inlineStr">
        <is>
          <t>X</t>
        </is>
      </c>
      <c r="E43" s="27" t="inlineStr">
        <is>
          <t>X</t>
        </is>
      </c>
      <c r="F43" s="47" t="inlineStr">
        <is>
          <t>No</t>
        </is>
      </c>
      <c r="H43">
        <f>AND(B43&lt;&gt;"",C43&lt;&gt;"")</f>
        <v/>
      </c>
      <c r="I43">
        <f>OR(B43&lt;&gt;"",C43&lt;&gt;"")</f>
        <v/>
      </c>
      <c r="J43">
        <f>AND(B43&lt;&gt;"",D43&lt;&gt;"")</f>
        <v/>
      </c>
      <c r="K43">
        <f>OR(B43&lt;&gt;"",D43&lt;&gt;"")</f>
        <v/>
      </c>
      <c r="L43">
        <f>AND(B43&lt;&gt;"",E43&lt;&gt;"")</f>
        <v/>
      </c>
      <c r="M43">
        <f>OR(B43&lt;&gt;"",E43&lt;&gt;"")</f>
        <v/>
      </c>
      <c r="N43">
        <f>AND(C43&lt;&gt;"",D43&lt;&gt;"")</f>
        <v/>
      </c>
      <c r="O43">
        <f>OR(C43&lt;&gt;"",D43&lt;&gt;"")</f>
        <v/>
      </c>
      <c r="P43">
        <f>AND(C43&lt;&gt;"",E43&lt;&gt;"")</f>
        <v/>
      </c>
      <c r="Q43">
        <f>OR(C43&lt;&gt;"",E43&lt;&gt;"")</f>
        <v/>
      </c>
      <c r="R43">
        <f>AND(D43&lt;&gt;"",E43&lt;&gt;"")</f>
        <v/>
      </c>
      <c r="S43">
        <f>OR(D43&lt;&gt;"",E43&lt;&gt;"")</f>
        <v/>
      </c>
      <c r="V43">
        <f>AND(B43&lt;&gt;"",C43&lt;&gt;"",F43="No")</f>
        <v/>
      </c>
      <c r="W43">
        <f>AND(OR(B43&lt;&gt;"",C43&lt;&gt;""),F43="No")</f>
        <v/>
      </c>
      <c r="X43">
        <f>AND(B43&lt;&gt;"",D43&lt;&gt;"",F43="No")</f>
        <v/>
      </c>
      <c r="Y43">
        <f>AND(OR(B43&lt;&gt;"",D43&lt;&gt;""),F43="No")</f>
        <v/>
      </c>
      <c r="Z43">
        <f>AND(B43&lt;&gt;"",E43&lt;&gt;"",F43="No")</f>
        <v/>
      </c>
      <c r="AA43">
        <f>AND(OR(B43&lt;&gt;"",E43&lt;&gt;""),F43="No")</f>
        <v/>
      </c>
      <c r="AB43">
        <f>AND(C43&lt;&gt;"",D43&lt;&gt;"",F43="No")</f>
        <v/>
      </c>
      <c r="AC43">
        <f>AND(OR(C43&lt;&gt;"",D43&lt;&gt;""),F43="No")</f>
        <v/>
      </c>
      <c r="AD43">
        <f>AND(C43&lt;&gt;"",E43&lt;&gt;"",F43="No")</f>
        <v/>
      </c>
      <c r="AE43">
        <f>AND(OR(C43&lt;&gt;"",E43&lt;&gt;""),F43="No")</f>
        <v/>
      </c>
      <c r="AF43">
        <f>AND(D43&lt;&gt;"",E43&lt;&gt;"",F43="No")</f>
        <v/>
      </c>
      <c r="AG43">
        <f>AND(OR(D43&lt;&gt;"",E43&lt;&gt;""),F43="No")</f>
        <v/>
      </c>
    </row>
    <row r="44">
      <c r="A44" t="inlineStr">
        <is>
          <t>Q0_iii.7.2</t>
        </is>
      </c>
      <c r="D44" s="27" t="inlineStr">
        <is>
          <t>X</t>
        </is>
      </c>
      <c r="F44" s="47" t="inlineStr">
        <is>
          <t>Yes</t>
        </is>
      </c>
      <c r="H44">
        <f>AND(B44&lt;&gt;"",C44&lt;&gt;"")</f>
        <v/>
      </c>
      <c r="I44">
        <f>OR(B44&lt;&gt;"",C44&lt;&gt;"")</f>
        <v/>
      </c>
      <c r="J44">
        <f>AND(B44&lt;&gt;"",D44&lt;&gt;"")</f>
        <v/>
      </c>
      <c r="K44">
        <f>OR(B44&lt;&gt;"",D44&lt;&gt;"")</f>
        <v/>
      </c>
      <c r="L44">
        <f>AND(B44&lt;&gt;"",E44&lt;&gt;"")</f>
        <v/>
      </c>
      <c r="M44">
        <f>OR(B44&lt;&gt;"",E44&lt;&gt;"")</f>
        <v/>
      </c>
      <c r="N44">
        <f>AND(C44&lt;&gt;"",D44&lt;&gt;"")</f>
        <v/>
      </c>
      <c r="O44">
        <f>OR(C44&lt;&gt;"",D44&lt;&gt;"")</f>
        <v/>
      </c>
      <c r="P44">
        <f>AND(C44&lt;&gt;"",E44&lt;&gt;"")</f>
        <v/>
      </c>
      <c r="Q44">
        <f>OR(C44&lt;&gt;"",E44&lt;&gt;"")</f>
        <v/>
      </c>
      <c r="R44">
        <f>AND(D44&lt;&gt;"",E44&lt;&gt;"")</f>
        <v/>
      </c>
      <c r="S44">
        <f>OR(D44&lt;&gt;"",E44&lt;&gt;"")</f>
        <v/>
      </c>
      <c r="V44">
        <f>AND(B44&lt;&gt;"",C44&lt;&gt;"",F44="No")</f>
        <v/>
      </c>
      <c r="W44">
        <f>AND(OR(B44&lt;&gt;"",C44&lt;&gt;""),F44="No")</f>
        <v/>
      </c>
      <c r="X44">
        <f>AND(B44&lt;&gt;"",D44&lt;&gt;"",F44="No")</f>
        <v/>
      </c>
      <c r="Y44">
        <f>AND(OR(B44&lt;&gt;"",D44&lt;&gt;""),F44="No")</f>
        <v/>
      </c>
      <c r="Z44">
        <f>AND(B44&lt;&gt;"",E44&lt;&gt;"",F44="No")</f>
        <v/>
      </c>
      <c r="AA44">
        <f>AND(OR(B44&lt;&gt;"",E44&lt;&gt;""),F44="No")</f>
        <v/>
      </c>
      <c r="AB44">
        <f>AND(C44&lt;&gt;"",D44&lt;&gt;"",F44="No")</f>
        <v/>
      </c>
      <c r="AC44">
        <f>AND(OR(C44&lt;&gt;"",D44&lt;&gt;""),F44="No")</f>
        <v/>
      </c>
      <c r="AD44">
        <f>AND(C44&lt;&gt;"",E44&lt;&gt;"",F44="No")</f>
        <v/>
      </c>
      <c r="AE44">
        <f>AND(OR(C44&lt;&gt;"",E44&lt;&gt;""),F44="No")</f>
        <v/>
      </c>
      <c r="AF44">
        <f>AND(D44&lt;&gt;"",E44&lt;&gt;"",F44="No")</f>
        <v/>
      </c>
      <c r="AG44">
        <f>AND(OR(D44&lt;&gt;"",E44&lt;&gt;""),F44="No")</f>
        <v/>
      </c>
    </row>
    <row r="45">
      <c r="A45" t="inlineStr">
        <is>
          <t>Q0_iii.7.4</t>
        </is>
      </c>
      <c r="D45" s="27" t="inlineStr">
        <is>
          <t>X</t>
        </is>
      </c>
      <c r="F45" s="47" t="inlineStr">
        <is>
          <t>Yes</t>
        </is>
      </c>
      <c r="H45">
        <f>AND(B45&lt;&gt;"",C45&lt;&gt;"")</f>
        <v/>
      </c>
      <c r="I45">
        <f>OR(B45&lt;&gt;"",C45&lt;&gt;"")</f>
        <v/>
      </c>
      <c r="J45">
        <f>AND(B45&lt;&gt;"",D45&lt;&gt;"")</f>
        <v/>
      </c>
      <c r="K45">
        <f>OR(B45&lt;&gt;"",D45&lt;&gt;"")</f>
        <v/>
      </c>
      <c r="L45">
        <f>AND(B45&lt;&gt;"",E45&lt;&gt;"")</f>
        <v/>
      </c>
      <c r="M45">
        <f>OR(B45&lt;&gt;"",E45&lt;&gt;"")</f>
        <v/>
      </c>
      <c r="N45">
        <f>AND(C45&lt;&gt;"",D45&lt;&gt;"")</f>
        <v/>
      </c>
      <c r="O45">
        <f>OR(C45&lt;&gt;"",D45&lt;&gt;"")</f>
        <v/>
      </c>
      <c r="P45">
        <f>AND(C45&lt;&gt;"",E45&lt;&gt;"")</f>
        <v/>
      </c>
      <c r="Q45">
        <f>OR(C45&lt;&gt;"",E45&lt;&gt;"")</f>
        <v/>
      </c>
      <c r="R45">
        <f>AND(D45&lt;&gt;"",E45&lt;&gt;"")</f>
        <v/>
      </c>
      <c r="S45">
        <f>OR(D45&lt;&gt;"",E45&lt;&gt;"")</f>
        <v/>
      </c>
      <c r="V45">
        <f>AND(B45&lt;&gt;"",C45&lt;&gt;"",F45="No")</f>
        <v/>
      </c>
      <c r="W45">
        <f>AND(OR(B45&lt;&gt;"",C45&lt;&gt;""),F45="No")</f>
        <v/>
      </c>
      <c r="X45">
        <f>AND(B45&lt;&gt;"",D45&lt;&gt;"",F45="No")</f>
        <v/>
      </c>
      <c r="Y45">
        <f>AND(OR(B45&lt;&gt;"",D45&lt;&gt;""),F45="No")</f>
        <v/>
      </c>
      <c r="Z45">
        <f>AND(B45&lt;&gt;"",E45&lt;&gt;"",F45="No")</f>
        <v/>
      </c>
      <c r="AA45">
        <f>AND(OR(B45&lt;&gt;"",E45&lt;&gt;""),F45="No")</f>
        <v/>
      </c>
      <c r="AB45">
        <f>AND(C45&lt;&gt;"",D45&lt;&gt;"",F45="No")</f>
        <v/>
      </c>
      <c r="AC45">
        <f>AND(OR(C45&lt;&gt;"",D45&lt;&gt;""),F45="No")</f>
        <v/>
      </c>
      <c r="AD45">
        <f>AND(C45&lt;&gt;"",E45&lt;&gt;"",F45="No")</f>
        <v/>
      </c>
      <c r="AE45">
        <f>AND(OR(C45&lt;&gt;"",E45&lt;&gt;""),F45="No")</f>
        <v/>
      </c>
      <c r="AF45">
        <f>AND(D45&lt;&gt;"",E45&lt;&gt;"",F45="No")</f>
        <v/>
      </c>
      <c r="AG45">
        <f>AND(OR(D45&lt;&gt;"",E45&lt;&gt;""),F45="No")</f>
        <v/>
      </c>
    </row>
    <row r="46">
      <c r="A46" s="44" t="inlineStr">
        <is>
          <t>H.8.1</t>
        </is>
      </c>
      <c r="B46" s="27" t="inlineStr">
        <is>
          <t>X</t>
        </is>
      </c>
      <c r="C46" s="27" t="inlineStr">
        <is>
          <t>X</t>
        </is>
      </c>
      <c r="D46" s="27" t="inlineStr">
        <is>
          <t>X</t>
        </is>
      </c>
      <c r="E46" s="27" t="inlineStr">
        <is>
          <t>X</t>
        </is>
      </c>
      <c r="F46" s="47" t="inlineStr">
        <is>
          <t>No</t>
        </is>
      </c>
      <c r="H46">
        <f>AND(B46&lt;&gt;"",C46&lt;&gt;"")</f>
        <v/>
      </c>
      <c r="I46">
        <f>OR(B46&lt;&gt;"",C46&lt;&gt;"")</f>
        <v/>
      </c>
      <c r="J46">
        <f>AND(B46&lt;&gt;"",D46&lt;&gt;"")</f>
        <v/>
      </c>
      <c r="K46">
        <f>OR(B46&lt;&gt;"",D46&lt;&gt;"")</f>
        <v/>
      </c>
      <c r="L46">
        <f>AND(B46&lt;&gt;"",E46&lt;&gt;"")</f>
        <v/>
      </c>
      <c r="M46">
        <f>OR(B46&lt;&gt;"",E46&lt;&gt;"")</f>
        <v/>
      </c>
      <c r="N46">
        <f>AND(C46&lt;&gt;"",D46&lt;&gt;"")</f>
        <v/>
      </c>
      <c r="O46">
        <f>OR(C46&lt;&gt;"",D46&lt;&gt;"")</f>
        <v/>
      </c>
      <c r="P46">
        <f>AND(C46&lt;&gt;"",E46&lt;&gt;"")</f>
        <v/>
      </c>
      <c r="Q46">
        <f>OR(C46&lt;&gt;"",E46&lt;&gt;"")</f>
        <v/>
      </c>
      <c r="R46">
        <f>AND(D46&lt;&gt;"",E46&lt;&gt;"")</f>
        <v/>
      </c>
      <c r="S46">
        <f>OR(D46&lt;&gt;"",E46&lt;&gt;"")</f>
        <v/>
      </c>
      <c r="V46">
        <f>AND(B46&lt;&gt;"",C46&lt;&gt;"",F46="No")</f>
        <v/>
      </c>
      <c r="W46">
        <f>AND(OR(B46&lt;&gt;"",C46&lt;&gt;""),F46="No")</f>
        <v/>
      </c>
      <c r="X46">
        <f>AND(B46&lt;&gt;"",D46&lt;&gt;"",F46="No")</f>
        <v/>
      </c>
      <c r="Y46">
        <f>AND(OR(B46&lt;&gt;"",D46&lt;&gt;""),F46="No")</f>
        <v/>
      </c>
      <c r="Z46">
        <f>AND(B46&lt;&gt;"",E46&lt;&gt;"",F46="No")</f>
        <v/>
      </c>
      <c r="AA46">
        <f>AND(OR(B46&lt;&gt;"",E46&lt;&gt;""),F46="No")</f>
        <v/>
      </c>
      <c r="AB46">
        <f>AND(C46&lt;&gt;"",D46&lt;&gt;"",F46="No")</f>
        <v/>
      </c>
      <c r="AC46">
        <f>AND(OR(C46&lt;&gt;"",D46&lt;&gt;""),F46="No")</f>
        <v/>
      </c>
      <c r="AD46">
        <f>AND(C46&lt;&gt;"",E46&lt;&gt;"",F46="No")</f>
        <v/>
      </c>
      <c r="AE46">
        <f>AND(OR(C46&lt;&gt;"",E46&lt;&gt;""),F46="No")</f>
        <v/>
      </c>
      <c r="AF46">
        <f>AND(D46&lt;&gt;"",E46&lt;&gt;"",F46="No")</f>
        <v/>
      </c>
      <c r="AG46">
        <f>AND(OR(D46&lt;&gt;"",E46&lt;&gt;""),F46="No")</f>
        <v/>
      </c>
    </row>
    <row r="47">
      <c r="A47" s="44" t="inlineStr">
        <is>
          <t>H.9.1</t>
        </is>
      </c>
      <c r="B47" s="27" t="inlineStr">
        <is>
          <t>X</t>
        </is>
      </c>
      <c r="C47" s="27" t="inlineStr">
        <is>
          <t>X</t>
        </is>
      </c>
      <c r="D47" s="27" t="inlineStr">
        <is>
          <t>X</t>
        </is>
      </c>
      <c r="E47" s="27" t="inlineStr">
        <is>
          <t>X</t>
        </is>
      </c>
      <c r="F47" s="47" t="inlineStr">
        <is>
          <t>No</t>
        </is>
      </c>
      <c r="H47">
        <f>AND(B47&lt;&gt;"",C47&lt;&gt;"")</f>
        <v/>
      </c>
      <c r="I47">
        <f>OR(B47&lt;&gt;"",C47&lt;&gt;"")</f>
        <v/>
      </c>
      <c r="J47">
        <f>AND(B47&lt;&gt;"",D47&lt;&gt;"")</f>
        <v/>
      </c>
      <c r="K47">
        <f>OR(B47&lt;&gt;"",D47&lt;&gt;"")</f>
        <v/>
      </c>
      <c r="L47">
        <f>AND(B47&lt;&gt;"",E47&lt;&gt;"")</f>
        <v/>
      </c>
      <c r="M47">
        <f>OR(B47&lt;&gt;"",E47&lt;&gt;"")</f>
        <v/>
      </c>
      <c r="N47">
        <f>AND(C47&lt;&gt;"",D47&lt;&gt;"")</f>
        <v/>
      </c>
      <c r="O47">
        <f>OR(C47&lt;&gt;"",D47&lt;&gt;"")</f>
        <v/>
      </c>
      <c r="P47">
        <f>AND(C47&lt;&gt;"",E47&lt;&gt;"")</f>
        <v/>
      </c>
      <c r="Q47">
        <f>OR(C47&lt;&gt;"",E47&lt;&gt;"")</f>
        <v/>
      </c>
      <c r="R47">
        <f>AND(D47&lt;&gt;"",E47&lt;&gt;"")</f>
        <v/>
      </c>
      <c r="S47">
        <f>OR(D47&lt;&gt;"",E47&lt;&gt;"")</f>
        <v/>
      </c>
      <c r="V47">
        <f>AND(B47&lt;&gt;"",C47&lt;&gt;"",F47="No")</f>
        <v/>
      </c>
      <c r="W47">
        <f>AND(OR(B47&lt;&gt;"",C47&lt;&gt;""),F47="No")</f>
        <v/>
      </c>
      <c r="X47">
        <f>AND(B47&lt;&gt;"",D47&lt;&gt;"",F47="No")</f>
        <v/>
      </c>
      <c r="Y47">
        <f>AND(OR(B47&lt;&gt;"",D47&lt;&gt;""),F47="No")</f>
        <v/>
      </c>
      <c r="Z47">
        <f>AND(B47&lt;&gt;"",E47&lt;&gt;"",F47="No")</f>
        <v/>
      </c>
      <c r="AA47">
        <f>AND(OR(B47&lt;&gt;"",E47&lt;&gt;""),F47="No")</f>
        <v/>
      </c>
      <c r="AB47">
        <f>AND(C47&lt;&gt;"",D47&lt;&gt;"",F47="No")</f>
        <v/>
      </c>
      <c r="AC47">
        <f>AND(OR(C47&lt;&gt;"",D47&lt;&gt;""),F47="No")</f>
        <v/>
      </c>
      <c r="AD47">
        <f>AND(C47&lt;&gt;"",E47&lt;&gt;"",F47="No")</f>
        <v/>
      </c>
      <c r="AE47">
        <f>AND(OR(C47&lt;&gt;"",E47&lt;&gt;""),F47="No")</f>
        <v/>
      </c>
      <c r="AF47">
        <f>AND(D47&lt;&gt;"",E47&lt;&gt;"",F47="No")</f>
        <v/>
      </c>
      <c r="AG47">
        <f>AND(OR(D47&lt;&gt;"",E47&lt;&gt;""),F47="No")</f>
        <v/>
      </c>
    </row>
    <row r="48">
      <c r="A48" s="44" t="inlineStr">
        <is>
          <t>H.9.2</t>
        </is>
      </c>
      <c r="B48" s="27" t="inlineStr">
        <is>
          <t>X</t>
        </is>
      </c>
      <c r="F48" s="47" t="inlineStr">
        <is>
          <t>No</t>
        </is>
      </c>
      <c r="H48">
        <f>AND(B48&lt;&gt;"",C48&lt;&gt;"")</f>
        <v/>
      </c>
      <c r="I48">
        <f>OR(B48&lt;&gt;"",C48&lt;&gt;"")</f>
        <v/>
      </c>
      <c r="J48">
        <f>AND(B48&lt;&gt;"",D48&lt;&gt;"")</f>
        <v/>
      </c>
      <c r="K48">
        <f>OR(B48&lt;&gt;"",D48&lt;&gt;"")</f>
        <v/>
      </c>
      <c r="L48">
        <f>AND(B48&lt;&gt;"",E48&lt;&gt;"")</f>
        <v/>
      </c>
      <c r="M48">
        <f>OR(B48&lt;&gt;"",E48&lt;&gt;"")</f>
        <v/>
      </c>
      <c r="N48">
        <f>AND(C48&lt;&gt;"",D48&lt;&gt;"")</f>
        <v/>
      </c>
      <c r="O48">
        <f>OR(C48&lt;&gt;"",D48&lt;&gt;"")</f>
        <v/>
      </c>
      <c r="P48">
        <f>AND(C48&lt;&gt;"",E48&lt;&gt;"")</f>
        <v/>
      </c>
      <c r="Q48">
        <f>OR(C48&lt;&gt;"",E48&lt;&gt;"")</f>
        <v/>
      </c>
      <c r="R48">
        <f>AND(D48&lt;&gt;"",E48&lt;&gt;"")</f>
        <v/>
      </c>
      <c r="S48">
        <f>OR(D48&lt;&gt;"",E48&lt;&gt;"")</f>
        <v/>
      </c>
      <c r="V48">
        <f>AND(B48&lt;&gt;"",C48&lt;&gt;"",F48="No")</f>
        <v/>
      </c>
      <c r="W48">
        <f>AND(OR(B48&lt;&gt;"",C48&lt;&gt;""),F48="No")</f>
        <v/>
      </c>
      <c r="X48">
        <f>AND(B48&lt;&gt;"",D48&lt;&gt;"",F48="No")</f>
        <v/>
      </c>
      <c r="Y48">
        <f>AND(OR(B48&lt;&gt;"",D48&lt;&gt;""),F48="No")</f>
        <v/>
      </c>
      <c r="Z48">
        <f>AND(B48&lt;&gt;"",E48&lt;&gt;"",F48="No")</f>
        <v/>
      </c>
      <c r="AA48">
        <f>AND(OR(B48&lt;&gt;"",E48&lt;&gt;""),F48="No")</f>
        <v/>
      </c>
      <c r="AB48">
        <f>AND(C48&lt;&gt;"",D48&lt;&gt;"",F48="No")</f>
        <v/>
      </c>
      <c r="AC48">
        <f>AND(OR(C48&lt;&gt;"",D48&lt;&gt;""),F48="No")</f>
        <v/>
      </c>
      <c r="AD48">
        <f>AND(C48&lt;&gt;"",E48&lt;&gt;"",F48="No")</f>
        <v/>
      </c>
      <c r="AE48">
        <f>AND(OR(C48&lt;&gt;"",E48&lt;&gt;""),F48="No")</f>
        <v/>
      </c>
      <c r="AF48">
        <f>AND(D48&lt;&gt;"",E48&lt;&gt;"",F48="No")</f>
        <v/>
      </c>
      <c r="AG48">
        <f>AND(OR(D48&lt;&gt;"",E48&lt;&gt;""),F48="No")</f>
        <v/>
      </c>
    </row>
    <row r="49">
      <c r="A49" s="44" t="inlineStr">
        <is>
          <t>H.9.3</t>
        </is>
      </c>
      <c r="B49" s="27" t="inlineStr">
        <is>
          <t>X</t>
        </is>
      </c>
      <c r="C49" s="27" t="inlineStr">
        <is>
          <t>X</t>
        </is>
      </c>
      <c r="D49" s="27" t="inlineStr">
        <is>
          <t>X</t>
        </is>
      </c>
      <c r="E49" s="27" t="inlineStr">
        <is>
          <t>X</t>
        </is>
      </c>
      <c r="F49" s="47" t="inlineStr">
        <is>
          <t>No</t>
        </is>
      </c>
      <c r="H49">
        <f>AND(B49&lt;&gt;"",C49&lt;&gt;"")</f>
        <v/>
      </c>
      <c r="I49">
        <f>OR(B49&lt;&gt;"",C49&lt;&gt;"")</f>
        <v/>
      </c>
      <c r="J49">
        <f>AND(B49&lt;&gt;"",D49&lt;&gt;"")</f>
        <v/>
      </c>
      <c r="K49">
        <f>OR(B49&lt;&gt;"",D49&lt;&gt;"")</f>
        <v/>
      </c>
      <c r="L49">
        <f>AND(B49&lt;&gt;"",E49&lt;&gt;"")</f>
        <v/>
      </c>
      <c r="M49">
        <f>OR(B49&lt;&gt;"",E49&lt;&gt;"")</f>
        <v/>
      </c>
      <c r="N49">
        <f>AND(C49&lt;&gt;"",D49&lt;&gt;"")</f>
        <v/>
      </c>
      <c r="O49">
        <f>OR(C49&lt;&gt;"",D49&lt;&gt;"")</f>
        <v/>
      </c>
      <c r="P49">
        <f>AND(C49&lt;&gt;"",E49&lt;&gt;"")</f>
        <v/>
      </c>
      <c r="Q49">
        <f>OR(C49&lt;&gt;"",E49&lt;&gt;"")</f>
        <v/>
      </c>
      <c r="R49">
        <f>AND(D49&lt;&gt;"",E49&lt;&gt;"")</f>
        <v/>
      </c>
      <c r="S49">
        <f>OR(D49&lt;&gt;"",E49&lt;&gt;"")</f>
        <v/>
      </c>
      <c r="V49">
        <f>AND(B49&lt;&gt;"",C49&lt;&gt;"",F49="No")</f>
        <v/>
      </c>
      <c r="W49">
        <f>AND(OR(B49&lt;&gt;"",C49&lt;&gt;""),F49="No")</f>
        <v/>
      </c>
      <c r="X49">
        <f>AND(B49&lt;&gt;"",D49&lt;&gt;"",F49="No")</f>
        <v/>
      </c>
      <c r="Y49">
        <f>AND(OR(B49&lt;&gt;"",D49&lt;&gt;""),F49="No")</f>
        <v/>
      </c>
      <c r="Z49">
        <f>AND(B49&lt;&gt;"",E49&lt;&gt;"",F49="No")</f>
        <v/>
      </c>
      <c r="AA49">
        <f>AND(OR(B49&lt;&gt;"",E49&lt;&gt;""),F49="No")</f>
        <v/>
      </c>
      <c r="AB49">
        <f>AND(C49&lt;&gt;"",D49&lt;&gt;"",F49="No")</f>
        <v/>
      </c>
      <c r="AC49">
        <f>AND(OR(C49&lt;&gt;"",D49&lt;&gt;""),F49="No")</f>
        <v/>
      </c>
      <c r="AD49">
        <f>AND(C49&lt;&gt;"",E49&lt;&gt;"",F49="No")</f>
        <v/>
      </c>
      <c r="AE49">
        <f>AND(OR(C49&lt;&gt;"",E49&lt;&gt;""),F49="No")</f>
        <v/>
      </c>
      <c r="AF49">
        <f>AND(D49&lt;&gt;"",E49&lt;&gt;"",F49="No")</f>
        <v/>
      </c>
      <c r="AG49">
        <f>AND(OR(D49&lt;&gt;"",E49&lt;&gt;""),F49="No")</f>
        <v/>
      </c>
    </row>
    <row r="50">
      <c r="A50" t="inlineStr">
        <is>
          <t>Q0.9.4</t>
        </is>
      </c>
      <c r="B50" s="27" t="inlineStr">
        <is>
          <t>X</t>
        </is>
      </c>
      <c r="F50" s="47" t="inlineStr">
        <is>
          <t>Yes</t>
        </is>
      </c>
      <c r="H50">
        <f>AND(B50&lt;&gt;"",C50&lt;&gt;"")</f>
        <v/>
      </c>
      <c r="I50">
        <f>OR(B50&lt;&gt;"",C50&lt;&gt;"")</f>
        <v/>
      </c>
      <c r="J50">
        <f>AND(B50&lt;&gt;"",D50&lt;&gt;"")</f>
        <v/>
      </c>
      <c r="K50">
        <f>OR(B50&lt;&gt;"",D50&lt;&gt;"")</f>
        <v/>
      </c>
      <c r="L50">
        <f>AND(B50&lt;&gt;"",E50&lt;&gt;"")</f>
        <v/>
      </c>
      <c r="M50">
        <f>OR(B50&lt;&gt;"",E50&lt;&gt;"")</f>
        <v/>
      </c>
      <c r="N50">
        <f>AND(C50&lt;&gt;"",D50&lt;&gt;"")</f>
        <v/>
      </c>
      <c r="O50">
        <f>OR(C50&lt;&gt;"",D50&lt;&gt;"")</f>
        <v/>
      </c>
      <c r="P50">
        <f>AND(C50&lt;&gt;"",E50&lt;&gt;"")</f>
        <v/>
      </c>
      <c r="Q50">
        <f>OR(C50&lt;&gt;"",E50&lt;&gt;"")</f>
        <v/>
      </c>
      <c r="R50">
        <f>AND(D50&lt;&gt;"",E50&lt;&gt;"")</f>
        <v/>
      </c>
      <c r="S50">
        <f>OR(D50&lt;&gt;"",E50&lt;&gt;"")</f>
        <v/>
      </c>
      <c r="V50">
        <f>AND(B50&lt;&gt;"",C50&lt;&gt;"",F50="No")</f>
        <v/>
      </c>
      <c r="W50">
        <f>AND(OR(B50&lt;&gt;"",C50&lt;&gt;""),F50="No")</f>
        <v/>
      </c>
      <c r="X50">
        <f>AND(B50&lt;&gt;"",D50&lt;&gt;"",F50="No")</f>
        <v/>
      </c>
      <c r="Y50">
        <f>AND(OR(B50&lt;&gt;"",D50&lt;&gt;""),F50="No")</f>
        <v/>
      </c>
      <c r="Z50">
        <f>AND(B50&lt;&gt;"",E50&lt;&gt;"",F50="No")</f>
        <v/>
      </c>
      <c r="AA50">
        <f>AND(OR(B50&lt;&gt;"",E50&lt;&gt;""),F50="No")</f>
        <v/>
      </c>
      <c r="AB50">
        <f>AND(C50&lt;&gt;"",D50&lt;&gt;"",F50="No")</f>
        <v/>
      </c>
      <c r="AC50">
        <f>AND(OR(C50&lt;&gt;"",D50&lt;&gt;""),F50="No")</f>
        <v/>
      </c>
      <c r="AD50">
        <f>AND(C50&lt;&gt;"",E50&lt;&gt;"",F50="No")</f>
        <v/>
      </c>
      <c r="AE50">
        <f>AND(OR(C50&lt;&gt;"",E50&lt;&gt;""),F50="No")</f>
        <v/>
      </c>
      <c r="AF50">
        <f>AND(D50&lt;&gt;"",E50&lt;&gt;"",F50="No")</f>
        <v/>
      </c>
      <c r="AG50">
        <f>AND(OR(D50&lt;&gt;"",E50&lt;&gt;""),F50="No")</f>
        <v/>
      </c>
    </row>
    <row r="51">
      <c r="A51" t="inlineStr">
        <is>
          <t>Q0_ii.9.4</t>
        </is>
      </c>
      <c r="C51" s="27" t="inlineStr">
        <is>
          <t>X</t>
        </is>
      </c>
      <c r="F51" s="47" t="inlineStr">
        <is>
          <t>Yes</t>
        </is>
      </c>
      <c r="H51">
        <f>AND(B51&lt;&gt;"",C51&lt;&gt;"")</f>
        <v/>
      </c>
      <c r="I51">
        <f>OR(B51&lt;&gt;"",C51&lt;&gt;"")</f>
        <v/>
      </c>
      <c r="J51">
        <f>AND(B51&lt;&gt;"",D51&lt;&gt;"")</f>
        <v/>
      </c>
      <c r="K51">
        <f>OR(B51&lt;&gt;"",D51&lt;&gt;"")</f>
        <v/>
      </c>
      <c r="L51">
        <f>AND(B51&lt;&gt;"",E51&lt;&gt;"")</f>
        <v/>
      </c>
      <c r="M51">
        <f>OR(B51&lt;&gt;"",E51&lt;&gt;"")</f>
        <v/>
      </c>
      <c r="N51">
        <f>AND(C51&lt;&gt;"",D51&lt;&gt;"")</f>
        <v/>
      </c>
      <c r="O51">
        <f>OR(C51&lt;&gt;"",D51&lt;&gt;"")</f>
        <v/>
      </c>
      <c r="P51">
        <f>AND(C51&lt;&gt;"",E51&lt;&gt;"")</f>
        <v/>
      </c>
      <c r="Q51">
        <f>OR(C51&lt;&gt;"",E51&lt;&gt;"")</f>
        <v/>
      </c>
      <c r="R51">
        <f>AND(D51&lt;&gt;"",E51&lt;&gt;"")</f>
        <v/>
      </c>
      <c r="S51">
        <f>OR(D51&lt;&gt;"",E51&lt;&gt;"")</f>
        <v/>
      </c>
      <c r="V51">
        <f>AND(B51&lt;&gt;"",C51&lt;&gt;"",F51="No")</f>
        <v/>
      </c>
      <c r="W51">
        <f>AND(OR(B51&lt;&gt;"",C51&lt;&gt;""),F51="No")</f>
        <v/>
      </c>
      <c r="X51">
        <f>AND(B51&lt;&gt;"",D51&lt;&gt;"",F51="No")</f>
        <v/>
      </c>
      <c r="Y51">
        <f>AND(OR(B51&lt;&gt;"",D51&lt;&gt;""),F51="No")</f>
        <v/>
      </c>
      <c r="Z51">
        <f>AND(B51&lt;&gt;"",E51&lt;&gt;"",F51="No")</f>
        <v/>
      </c>
      <c r="AA51">
        <f>AND(OR(B51&lt;&gt;"",E51&lt;&gt;""),F51="No")</f>
        <v/>
      </c>
      <c r="AB51">
        <f>AND(C51&lt;&gt;"",D51&lt;&gt;"",F51="No")</f>
        <v/>
      </c>
      <c r="AC51">
        <f>AND(OR(C51&lt;&gt;"",D51&lt;&gt;""),F51="No")</f>
        <v/>
      </c>
      <c r="AD51">
        <f>AND(C51&lt;&gt;"",E51&lt;&gt;"",F51="No")</f>
        <v/>
      </c>
      <c r="AE51">
        <f>AND(OR(C51&lt;&gt;"",E51&lt;&gt;""),F51="No")</f>
        <v/>
      </c>
      <c r="AF51">
        <f>AND(D51&lt;&gt;"",E51&lt;&gt;"",F51="No")</f>
        <v/>
      </c>
      <c r="AG51">
        <f>AND(OR(D51&lt;&gt;"",E51&lt;&gt;""),F51="No")</f>
        <v/>
      </c>
    </row>
    <row r="52">
      <c r="A52" s="44" t="inlineStr">
        <is>
          <t>H.10.1</t>
        </is>
      </c>
      <c r="C52" s="27" t="inlineStr">
        <is>
          <t>X</t>
        </is>
      </c>
      <c r="D52" s="27" t="inlineStr">
        <is>
          <t>X</t>
        </is>
      </c>
      <c r="E52" s="27" t="inlineStr">
        <is>
          <t>X</t>
        </is>
      </c>
      <c r="F52" s="47" t="inlineStr">
        <is>
          <t>No</t>
        </is>
      </c>
      <c r="H52">
        <f>AND(B52&lt;&gt;"",C52&lt;&gt;"")</f>
        <v/>
      </c>
      <c r="I52">
        <f>OR(B52&lt;&gt;"",C52&lt;&gt;"")</f>
        <v/>
      </c>
      <c r="J52">
        <f>AND(B52&lt;&gt;"",D52&lt;&gt;"")</f>
        <v/>
      </c>
      <c r="K52">
        <f>OR(B52&lt;&gt;"",D52&lt;&gt;"")</f>
        <v/>
      </c>
      <c r="L52">
        <f>AND(B52&lt;&gt;"",E52&lt;&gt;"")</f>
        <v/>
      </c>
      <c r="M52">
        <f>OR(B52&lt;&gt;"",E52&lt;&gt;"")</f>
        <v/>
      </c>
      <c r="N52">
        <f>AND(C52&lt;&gt;"",D52&lt;&gt;"")</f>
        <v/>
      </c>
      <c r="O52">
        <f>OR(C52&lt;&gt;"",D52&lt;&gt;"")</f>
        <v/>
      </c>
      <c r="P52">
        <f>AND(C52&lt;&gt;"",E52&lt;&gt;"")</f>
        <v/>
      </c>
      <c r="Q52">
        <f>OR(C52&lt;&gt;"",E52&lt;&gt;"")</f>
        <v/>
      </c>
      <c r="R52">
        <f>AND(D52&lt;&gt;"",E52&lt;&gt;"")</f>
        <v/>
      </c>
      <c r="S52">
        <f>OR(D52&lt;&gt;"",E52&lt;&gt;"")</f>
        <v/>
      </c>
      <c r="V52">
        <f>AND(B52&lt;&gt;"",C52&lt;&gt;"",F52="No")</f>
        <v/>
      </c>
      <c r="W52">
        <f>AND(OR(B52&lt;&gt;"",C52&lt;&gt;""),F52="No")</f>
        <v/>
      </c>
      <c r="X52">
        <f>AND(B52&lt;&gt;"",D52&lt;&gt;"",F52="No")</f>
        <v/>
      </c>
      <c r="Y52">
        <f>AND(OR(B52&lt;&gt;"",D52&lt;&gt;""),F52="No")</f>
        <v/>
      </c>
      <c r="Z52">
        <f>AND(B52&lt;&gt;"",E52&lt;&gt;"",F52="No")</f>
        <v/>
      </c>
      <c r="AA52">
        <f>AND(OR(B52&lt;&gt;"",E52&lt;&gt;""),F52="No")</f>
        <v/>
      </c>
      <c r="AB52">
        <f>AND(C52&lt;&gt;"",D52&lt;&gt;"",F52="No")</f>
        <v/>
      </c>
      <c r="AC52">
        <f>AND(OR(C52&lt;&gt;"",D52&lt;&gt;""),F52="No")</f>
        <v/>
      </c>
      <c r="AD52">
        <f>AND(C52&lt;&gt;"",E52&lt;&gt;"",F52="No")</f>
        <v/>
      </c>
      <c r="AE52">
        <f>AND(OR(C52&lt;&gt;"",E52&lt;&gt;""),F52="No")</f>
        <v/>
      </c>
      <c r="AF52">
        <f>AND(D52&lt;&gt;"",E52&lt;&gt;"",F52="No")</f>
        <v/>
      </c>
      <c r="AG52">
        <f>AND(OR(D52&lt;&gt;"",E52&lt;&gt;""),F52="No")</f>
        <v/>
      </c>
    </row>
    <row r="53">
      <c r="A53" s="44" t="inlineStr">
        <is>
          <t>H.10.3</t>
        </is>
      </c>
      <c r="B53" s="27" t="inlineStr">
        <is>
          <t>X</t>
        </is>
      </c>
      <c r="F53" s="47" t="inlineStr">
        <is>
          <t>No</t>
        </is>
      </c>
      <c r="H53">
        <f>AND(B53&lt;&gt;"",C53&lt;&gt;"")</f>
        <v/>
      </c>
      <c r="I53">
        <f>OR(B53&lt;&gt;"",C53&lt;&gt;"")</f>
        <v/>
      </c>
      <c r="J53">
        <f>AND(B53&lt;&gt;"",D53&lt;&gt;"")</f>
        <v/>
      </c>
      <c r="K53">
        <f>OR(B53&lt;&gt;"",D53&lt;&gt;"")</f>
        <v/>
      </c>
      <c r="L53">
        <f>AND(B53&lt;&gt;"",E53&lt;&gt;"")</f>
        <v/>
      </c>
      <c r="M53">
        <f>OR(B53&lt;&gt;"",E53&lt;&gt;"")</f>
        <v/>
      </c>
      <c r="N53">
        <f>AND(C53&lt;&gt;"",D53&lt;&gt;"")</f>
        <v/>
      </c>
      <c r="O53">
        <f>OR(C53&lt;&gt;"",D53&lt;&gt;"")</f>
        <v/>
      </c>
      <c r="P53">
        <f>AND(C53&lt;&gt;"",E53&lt;&gt;"")</f>
        <v/>
      </c>
      <c r="Q53">
        <f>OR(C53&lt;&gt;"",E53&lt;&gt;"")</f>
        <v/>
      </c>
      <c r="R53">
        <f>AND(D53&lt;&gt;"",E53&lt;&gt;"")</f>
        <v/>
      </c>
      <c r="S53">
        <f>OR(D53&lt;&gt;"",E53&lt;&gt;"")</f>
        <v/>
      </c>
      <c r="V53">
        <f>AND(B53&lt;&gt;"",C53&lt;&gt;"",F53="No")</f>
        <v/>
      </c>
      <c r="W53">
        <f>AND(OR(B53&lt;&gt;"",C53&lt;&gt;""),F53="No")</f>
        <v/>
      </c>
      <c r="X53">
        <f>AND(B53&lt;&gt;"",D53&lt;&gt;"",F53="No")</f>
        <v/>
      </c>
      <c r="Y53">
        <f>AND(OR(B53&lt;&gt;"",D53&lt;&gt;""),F53="No")</f>
        <v/>
      </c>
      <c r="Z53">
        <f>AND(B53&lt;&gt;"",E53&lt;&gt;"",F53="No")</f>
        <v/>
      </c>
      <c r="AA53">
        <f>AND(OR(B53&lt;&gt;"",E53&lt;&gt;""),F53="No")</f>
        <v/>
      </c>
      <c r="AB53">
        <f>AND(C53&lt;&gt;"",D53&lt;&gt;"",F53="No")</f>
        <v/>
      </c>
      <c r="AC53">
        <f>AND(OR(C53&lt;&gt;"",D53&lt;&gt;""),F53="No")</f>
        <v/>
      </c>
      <c r="AD53">
        <f>AND(C53&lt;&gt;"",E53&lt;&gt;"",F53="No")</f>
        <v/>
      </c>
      <c r="AE53">
        <f>AND(OR(C53&lt;&gt;"",E53&lt;&gt;""),F53="No")</f>
        <v/>
      </c>
      <c r="AF53">
        <f>AND(D53&lt;&gt;"",E53&lt;&gt;"",F53="No")</f>
        <v/>
      </c>
      <c r="AG53">
        <f>AND(OR(D53&lt;&gt;"",E53&lt;&gt;""),F53="No")</f>
        <v/>
      </c>
    </row>
    <row r="54">
      <c r="A54" t="inlineStr">
        <is>
          <t>Q0.10.2</t>
        </is>
      </c>
      <c r="B54" s="27" t="inlineStr">
        <is>
          <t>X</t>
        </is>
      </c>
      <c r="F54" s="47" t="inlineStr">
        <is>
          <t>Yes</t>
        </is>
      </c>
      <c r="H54">
        <f>AND(B54&lt;&gt;"",C54&lt;&gt;"")</f>
        <v/>
      </c>
      <c r="I54">
        <f>OR(B54&lt;&gt;"",C54&lt;&gt;"")</f>
        <v/>
      </c>
      <c r="J54">
        <f>AND(B54&lt;&gt;"",D54&lt;&gt;"")</f>
        <v/>
      </c>
      <c r="K54">
        <f>OR(B54&lt;&gt;"",D54&lt;&gt;"")</f>
        <v/>
      </c>
      <c r="L54">
        <f>AND(B54&lt;&gt;"",E54&lt;&gt;"")</f>
        <v/>
      </c>
      <c r="M54">
        <f>OR(B54&lt;&gt;"",E54&lt;&gt;"")</f>
        <v/>
      </c>
      <c r="N54">
        <f>AND(C54&lt;&gt;"",D54&lt;&gt;"")</f>
        <v/>
      </c>
      <c r="O54">
        <f>OR(C54&lt;&gt;"",D54&lt;&gt;"")</f>
        <v/>
      </c>
      <c r="P54">
        <f>AND(C54&lt;&gt;"",E54&lt;&gt;"")</f>
        <v/>
      </c>
      <c r="Q54">
        <f>OR(C54&lt;&gt;"",E54&lt;&gt;"")</f>
        <v/>
      </c>
      <c r="R54">
        <f>AND(D54&lt;&gt;"",E54&lt;&gt;"")</f>
        <v/>
      </c>
      <c r="S54">
        <f>OR(D54&lt;&gt;"",E54&lt;&gt;"")</f>
        <v/>
      </c>
      <c r="V54">
        <f>AND(B54&lt;&gt;"",C54&lt;&gt;"",F54="No")</f>
        <v/>
      </c>
      <c r="W54">
        <f>AND(OR(B54&lt;&gt;"",C54&lt;&gt;""),F54="No")</f>
        <v/>
      </c>
      <c r="X54">
        <f>AND(B54&lt;&gt;"",D54&lt;&gt;"",F54="No")</f>
        <v/>
      </c>
      <c r="Y54">
        <f>AND(OR(B54&lt;&gt;"",D54&lt;&gt;""),F54="No")</f>
        <v/>
      </c>
      <c r="Z54">
        <f>AND(B54&lt;&gt;"",E54&lt;&gt;"",F54="No")</f>
        <v/>
      </c>
      <c r="AA54">
        <f>AND(OR(B54&lt;&gt;"",E54&lt;&gt;""),F54="No")</f>
        <v/>
      </c>
      <c r="AB54">
        <f>AND(C54&lt;&gt;"",D54&lt;&gt;"",F54="No")</f>
        <v/>
      </c>
      <c r="AC54">
        <f>AND(OR(C54&lt;&gt;"",D54&lt;&gt;""),F54="No")</f>
        <v/>
      </c>
      <c r="AD54">
        <f>AND(C54&lt;&gt;"",E54&lt;&gt;"",F54="No")</f>
        <v/>
      </c>
      <c r="AE54">
        <f>AND(OR(C54&lt;&gt;"",E54&lt;&gt;""),F54="No")</f>
        <v/>
      </c>
      <c r="AF54">
        <f>AND(D54&lt;&gt;"",E54&lt;&gt;"",F54="No")</f>
        <v/>
      </c>
      <c r="AG54">
        <f>AND(OR(D54&lt;&gt;"",E54&lt;&gt;""),F54="No")</f>
        <v/>
      </c>
    </row>
    <row r="55">
      <c r="A55" t="inlineStr">
        <is>
          <t>Q0.10.3</t>
        </is>
      </c>
      <c r="B55" s="27" t="inlineStr">
        <is>
          <t>X</t>
        </is>
      </c>
      <c r="F55" s="47" t="inlineStr">
        <is>
          <t>Yes</t>
        </is>
      </c>
      <c r="H55">
        <f>AND(B55&lt;&gt;"",C55&lt;&gt;"")</f>
        <v/>
      </c>
      <c r="I55">
        <f>OR(B55&lt;&gt;"",C55&lt;&gt;"")</f>
        <v/>
      </c>
      <c r="J55">
        <f>AND(B55&lt;&gt;"",D55&lt;&gt;"")</f>
        <v/>
      </c>
      <c r="K55">
        <f>OR(B55&lt;&gt;"",D55&lt;&gt;"")</f>
        <v/>
      </c>
      <c r="L55">
        <f>AND(B55&lt;&gt;"",E55&lt;&gt;"")</f>
        <v/>
      </c>
      <c r="M55">
        <f>OR(B55&lt;&gt;"",E55&lt;&gt;"")</f>
        <v/>
      </c>
      <c r="N55">
        <f>AND(C55&lt;&gt;"",D55&lt;&gt;"")</f>
        <v/>
      </c>
      <c r="O55">
        <f>OR(C55&lt;&gt;"",D55&lt;&gt;"")</f>
        <v/>
      </c>
      <c r="P55">
        <f>AND(C55&lt;&gt;"",E55&lt;&gt;"")</f>
        <v/>
      </c>
      <c r="Q55">
        <f>OR(C55&lt;&gt;"",E55&lt;&gt;"")</f>
        <v/>
      </c>
      <c r="R55">
        <f>AND(D55&lt;&gt;"",E55&lt;&gt;"")</f>
        <v/>
      </c>
      <c r="S55">
        <f>OR(D55&lt;&gt;"",E55&lt;&gt;"")</f>
        <v/>
      </c>
      <c r="V55">
        <f>AND(B55&lt;&gt;"",C55&lt;&gt;"",F55="No")</f>
        <v/>
      </c>
      <c r="W55">
        <f>AND(OR(B55&lt;&gt;"",C55&lt;&gt;""),F55="No")</f>
        <v/>
      </c>
      <c r="X55">
        <f>AND(B55&lt;&gt;"",D55&lt;&gt;"",F55="No")</f>
        <v/>
      </c>
      <c r="Y55">
        <f>AND(OR(B55&lt;&gt;"",D55&lt;&gt;""),F55="No")</f>
        <v/>
      </c>
      <c r="Z55">
        <f>AND(B55&lt;&gt;"",E55&lt;&gt;"",F55="No")</f>
        <v/>
      </c>
      <c r="AA55">
        <f>AND(OR(B55&lt;&gt;"",E55&lt;&gt;""),F55="No")</f>
        <v/>
      </c>
      <c r="AB55">
        <f>AND(C55&lt;&gt;"",D55&lt;&gt;"",F55="No")</f>
        <v/>
      </c>
      <c r="AC55">
        <f>AND(OR(C55&lt;&gt;"",D55&lt;&gt;""),F55="No")</f>
        <v/>
      </c>
      <c r="AD55">
        <f>AND(C55&lt;&gt;"",E55&lt;&gt;"",F55="No")</f>
        <v/>
      </c>
      <c r="AE55">
        <f>AND(OR(C55&lt;&gt;"",E55&lt;&gt;""),F55="No")</f>
        <v/>
      </c>
      <c r="AF55">
        <f>AND(D55&lt;&gt;"",E55&lt;&gt;"",F55="No")</f>
        <v/>
      </c>
      <c r="AG55">
        <f>AND(OR(D55&lt;&gt;"",E55&lt;&gt;""),F55="No")</f>
        <v/>
      </c>
    </row>
    <row r="56">
      <c r="A56" t="inlineStr">
        <is>
          <t>Q0.10.4</t>
        </is>
      </c>
      <c r="B56" s="27" t="inlineStr">
        <is>
          <t>X</t>
        </is>
      </c>
      <c r="F56" s="47" t="inlineStr">
        <is>
          <t>Yes</t>
        </is>
      </c>
      <c r="H56">
        <f>AND(B56&lt;&gt;"",C56&lt;&gt;"")</f>
        <v/>
      </c>
      <c r="I56">
        <f>OR(B56&lt;&gt;"",C56&lt;&gt;"")</f>
        <v/>
      </c>
      <c r="J56">
        <f>AND(B56&lt;&gt;"",D56&lt;&gt;"")</f>
        <v/>
      </c>
      <c r="K56">
        <f>OR(B56&lt;&gt;"",D56&lt;&gt;"")</f>
        <v/>
      </c>
      <c r="L56">
        <f>AND(B56&lt;&gt;"",E56&lt;&gt;"")</f>
        <v/>
      </c>
      <c r="M56">
        <f>OR(B56&lt;&gt;"",E56&lt;&gt;"")</f>
        <v/>
      </c>
      <c r="N56">
        <f>AND(C56&lt;&gt;"",D56&lt;&gt;"")</f>
        <v/>
      </c>
      <c r="O56">
        <f>OR(C56&lt;&gt;"",D56&lt;&gt;"")</f>
        <v/>
      </c>
      <c r="P56">
        <f>AND(C56&lt;&gt;"",E56&lt;&gt;"")</f>
        <v/>
      </c>
      <c r="Q56">
        <f>OR(C56&lt;&gt;"",E56&lt;&gt;"")</f>
        <v/>
      </c>
      <c r="R56">
        <f>AND(D56&lt;&gt;"",E56&lt;&gt;"")</f>
        <v/>
      </c>
      <c r="S56">
        <f>OR(D56&lt;&gt;"",E56&lt;&gt;"")</f>
        <v/>
      </c>
      <c r="V56">
        <f>AND(B56&lt;&gt;"",C56&lt;&gt;"",F56="No")</f>
        <v/>
      </c>
      <c r="W56">
        <f>AND(OR(B56&lt;&gt;"",C56&lt;&gt;""),F56="No")</f>
        <v/>
      </c>
      <c r="X56">
        <f>AND(B56&lt;&gt;"",D56&lt;&gt;"",F56="No")</f>
        <v/>
      </c>
      <c r="Y56">
        <f>AND(OR(B56&lt;&gt;"",D56&lt;&gt;""),F56="No")</f>
        <v/>
      </c>
      <c r="Z56">
        <f>AND(B56&lt;&gt;"",E56&lt;&gt;"",F56="No")</f>
        <v/>
      </c>
      <c r="AA56">
        <f>AND(OR(B56&lt;&gt;"",E56&lt;&gt;""),F56="No")</f>
        <v/>
      </c>
      <c r="AB56">
        <f>AND(C56&lt;&gt;"",D56&lt;&gt;"",F56="No")</f>
        <v/>
      </c>
      <c r="AC56">
        <f>AND(OR(C56&lt;&gt;"",D56&lt;&gt;""),F56="No")</f>
        <v/>
      </c>
      <c r="AD56">
        <f>AND(C56&lt;&gt;"",E56&lt;&gt;"",F56="No")</f>
        <v/>
      </c>
      <c r="AE56">
        <f>AND(OR(C56&lt;&gt;"",E56&lt;&gt;""),F56="No")</f>
        <v/>
      </c>
      <c r="AF56">
        <f>AND(D56&lt;&gt;"",E56&lt;&gt;"",F56="No")</f>
        <v/>
      </c>
      <c r="AG56">
        <f>AND(OR(D56&lt;&gt;"",E56&lt;&gt;""),F56="No")</f>
        <v/>
      </c>
    </row>
    <row r="57">
      <c r="A57" t="inlineStr">
        <is>
          <t>Q0.10.5</t>
        </is>
      </c>
      <c r="B57" s="27" t="inlineStr">
        <is>
          <t>X</t>
        </is>
      </c>
      <c r="F57" s="47" t="inlineStr">
        <is>
          <t>Yes</t>
        </is>
      </c>
      <c r="H57">
        <f>AND(B57&lt;&gt;"",C57&lt;&gt;"")</f>
        <v/>
      </c>
      <c r="I57">
        <f>OR(B57&lt;&gt;"",C57&lt;&gt;"")</f>
        <v/>
      </c>
      <c r="J57">
        <f>AND(B57&lt;&gt;"",D57&lt;&gt;"")</f>
        <v/>
      </c>
      <c r="K57">
        <f>OR(B57&lt;&gt;"",D57&lt;&gt;"")</f>
        <v/>
      </c>
      <c r="L57">
        <f>AND(B57&lt;&gt;"",E57&lt;&gt;"")</f>
        <v/>
      </c>
      <c r="M57">
        <f>OR(B57&lt;&gt;"",E57&lt;&gt;"")</f>
        <v/>
      </c>
      <c r="N57">
        <f>AND(C57&lt;&gt;"",D57&lt;&gt;"")</f>
        <v/>
      </c>
      <c r="O57">
        <f>OR(C57&lt;&gt;"",D57&lt;&gt;"")</f>
        <v/>
      </c>
      <c r="P57">
        <f>AND(C57&lt;&gt;"",E57&lt;&gt;"")</f>
        <v/>
      </c>
      <c r="Q57">
        <f>OR(C57&lt;&gt;"",E57&lt;&gt;"")</f>
        <v/>
      </c>
      <c r="R57">
        <f>AND(D57&lt;&gt;"",E57&lt;&gt;"")</f>
        <v/>
      </c>
      <c r="S57">
        <f>OR(D57&lt;&gt;"",E57&lt;&gt;"")</f>
        <v/>
      </c>
      <c r="V57">
        <f>AND(B57&lt;&gt;"",C57&lt;&gt;"",F57="No")</f>
        <v/>
      </c>
      <c r="W57">
        <f>AND(OR(B57&lt;&gt;"",C57&lt;&gt;""),F57="No")</f>
        <v/>
      </c>
      <c r="X57">
        <f>AND(B57&lt;&gt;"",D57&lt;&gt;"",F57="No")</f>
        <v/>
      </c>
      <c r="Y57">
        <f>AND(OR(B57&lt;&gt;"",D57&lt;&gt;""),F57="No")</f>
        <v/>
      </c>
      <c r="Z57">
        <f>AND(B57&lt;&gt;"",E57&lt;&gt;"",F57="No")</f>
        <v/>
      </c>
      <c r="AA57">
        <f>AND(OR(B57&lt;&gt;"",E57&lt;&gt;""),F57="No")</f>
        <v/>
      </c>
      <c r="AB57">
        <f>AND(C57&lt;&gt;"",D57&lt;&gt;"",F57="No")</f>
        <v/>
      </c>
      <c r="AC57">
        <f>AND(OR(C57&lt;&gt;"",D57&lt;&gt;""),F57="No")</f>
        <v/>
      </c>
      <c r="AD57">
        <f>AND(C57&lt;&gt;"",E57&lt;&gt;"",F57="No")</f>
        <v/>
      </c>
      <c r="AE57">
        <f>AND(OR(C57&lt;&gt;"",E57&lt;&gt;""),F57="No")</f>
        <v/>
      </c>
      <c r="AF57">
        <f>AND(D57&lt;&gt;"",E57&lt;&gt;"",F57="No")</f>
        <v/>
      </c>
      <c r="AG57">
        <f>AND(OR(D57&lt;&gt;"",E57&lt;&gt;""),F57="No")</f>
        <v/>
      </c>
    </row>
    <row r="58">
      <c r="A58" t="inlineStr">
        <is>
          <t>Q0.10.6</t>
        </is>
      </c>
      <c r="B58" s="27" t="inlineStr">
        <is>
          <t>X</t>
        </is>
      </c>
      <c r="F58" s="47" t="inlineStr">
        <is>
          <t>Yes</t>
        </is>
      </c>
      <c r="H58">
        <f>AND(B58&lt;&gt;"",C58&lt;&gt;"")</f>
        <v/>
      </c>
      <c r="I58">
        <f>OR(B58&lt;&gt;"",C58&lt;&gt;"")</f>
        <v/>
      </c>
      <c r="J58">
        <f>AND(B58&lt;&gt;"",D58&lt;&gt;"")</f>
        <v/>
      </c>
      <c r="K58">
        <f>OR(B58&lt;&gt;"",D58&lt;&gt;"")</f>
        <v/>
      </c>
      <c r="L58">
        <f>AND(B58&lt;&gt;"",E58&lt;&gt;"")</f>
        <v/>
      </c>
      <c r="M58">
        <f>OR(B58&lt;&gt;"",E58&lt;&gt;"")</f>
        <v/>
      </c>
      <c r="N58">
        <f>AND(C58&lt;&gt;"",D58&lt;&gt;"")</f>
        <v/>
      </c>
      <c r="O58">
        <f>OR(C58&lt;&gt;"",D58&lt;&gt;"")</f>
        <v/>
      </c>
      <c r="P58">
        <f>AND(C58&lt;&gt;"",E58&lt;&gt;"")</f>
        <v/>
      </c>
      <c r="Q58">
        <f>OR(C58&lt;&gt;"",E58&lt;&gt;"")</f>
        <v/>
      </c>
      <c r="R58">
        <f>AND(D58&lt;&gt;"",E58&lt;&gt;"")</f>
        <v/>
      </c>
      <c r="S58">
        <f>OR(D58&lt;&gt;"",E58&lt;&gt;"")</f>
        <v/>
      </c>
      <c r="V58">
        <f>AND(B58&lt;&gt;"",C58&lt;&gt;"",F58="No")</f>
        <v/>
      </c>
      <c r="W58">
        <f>AND(OR(B58&lt;&gt;"",C58&lt;&gt;""),F58="No")</f>
        <v/>
      </c>
      <c r="X58">
        <f>AND(B58&lt;&gt;"",D58&lt;&gt;"",F58="No")</f>
        <v/>
      </c>
      <c r="Y58">
        <f>AND(OR(B58&lt;&gt;"",D58&lt;&gt;""),F58="No")</f>
        <v/>
      </c>
      <c r="Z58">
        <f>AND(B58&lt;&gt;"",E58&lt;&gt;"",F58="No")</f>
        <v/>
      </c>
      <c r="AA58">
        <f>AND(OR(B58&lt;&gt;"",E58&lt;&gt;""),F58="No")</f>
        <v/>
      </c>
      <c r="AB58">
        <f>AND(C58&lt;&gt;"",D58&lt;&gt;"",F58="No")</f>
        <v/>
      </c>
      <c r="AC58">
        <f>AND(OR(C58&lt;&gt;"",D58&lt;&gt;""),F58="No")</f>
        <v/>
      </c>
      <c r="AD58">
        <f>AND(C58&lt;&gt;"",E58&lt;&gt;"",F58="No")</f>
        <v/>
      </c>
      <c r="AE58">
        <f>AND(OR(C58&lt;&gt;"",E58&lt;&gt;""),F58="No")</f>
        <v/>
      </c>
      <c r="AF58">
        <f>AND(D58&lt;&gt;"",E58&lt;&gt;"",F58="No")</f>
        <v/>
      </c>
      <c r="AG58">
        <f>AND(OR(D58&lt;&gt;"",E58&lt;&gt;""),F58="No")</f>
        <v/>
      </c>
    </row>
    <row r="59">
      <c r="A59" t="inlineStr">
        <is>
          <t>Q0.10.7</t>
        </is>
      </c>
      <c r="B59" s="27" t="inlineStr">
        <is>
          <t>X</t>
        </is>
      </c>
      <c r="F59" s="47" t="inlineStr">
        <is>
          <t>Yes</t>
        </is>
      </c>
      <c r="H59">
        <f>AND(B59&lt;&gt;"",C59&lt;&gt;"")</f>
        <v/>
      </c>
      <c r="I59">
        <f>OR(B59&lt;&gt;"",C59&lt;&gt;"")</f>
        <v/>
      </c>
      <c r="J59">
        <f>AND(B59&lt;&gt;"",D59&lt;&gt;"")</f>
        <v/>
      </c>
      <c r="K59">
        <f>OR(B59&lt;&gt;"",D59&lt;&gt;"")</f>
        <v/>
      </c>
      <c r="L59">
        <f>AND(B59&lt;&gt;"",E59&lt;&gt;"")</f>
        <v/>
      </c>
      <c r="M59">
        <f>OR(B59&lt;&gt;"",E59&lt;&gt;"")</f>
        <v/>
      </c>
      <c r="N59">
        <f>AND(C59&lt;&gt;"",D59&lt;&gt;"")</f>
        <v/>
      </c>
      <c r="O59">
        <f>OR(C59&lt;&gt;"",D59&lt;&gt;"")</f>
        <v/>
      </c>
      <c r="P59">
        <f>AND(C59&lt;&gt;"",E59&lt;&gt;"")</f>
        <v/>
      </c>
      <c r="Q59">
        <f>OR(C59&lt;&gt;"",E59&lt;&gt;"")</f>
        <v/>
      </c>
      <c r="R59">
        <f>AND(D59&lt;&gt;"",E59&lt;&gt;"")</f>
        <v/>
      </c>
      <c r="S59">
        <f>OR(D59&lt;&gt;"",E59&lt;&gt;"")</f>
        <v/>
      </c>
      <c r="V59">
        <f>AND(B59&lt;&gt;"",C59&lt;&gt;"",F59="No")</f>
        <v/>
      </c>
      <c r="W59">
        <f>AND(OR(B59&lt;&gt;"",C59&lt;&gt;""),F59="No")</f>
        <v/>
      </c>
      <c r="X59">
        <f>AND(B59&lt;&gt;"",D59&lt;&gt;"",F59="No")</f>
        <v/>
      </c>
      <c r="Y59">
        <f>AND(OR(B59&lt;&gt;"",D59&lt;&gt;""),F59="No")</f>
        <v/>
      </c>
      <c r="Z59">
        <f>AND(B59&lt;&gt;"",E59&lt;&gt;"",F59="No")</f>
        <v/>
      </c>
      <c r="AA59">
        <f>AND(OR(B59&lt;&gt;"",E59&lt;&gt;""),F59="No")</f>
        <v/>
      </c>
      <c r="AB59">
        <f>AND(C59&lt;&gt;"",D59&lt;&gt;"",F59="No")</f>
        <v/>
      </c>
      <c r="AC59">
        <f>AND(OR(C59&lt;&gt;"",D59&lt;&gt;""),F59="No")</f>
        <v/>
      </c>
      <c r="AD59">
        <f>AND(C59&lt;&gt;"",E59&lt;&gt;"",F59="No")</f>
        <v/>
      </c>
      <c r="AE59">
        <f>AND(OR(C59&lt;&gt;"",E59&lt;&gt;""),F59="No")</f>
        <v/>
      </c>
      <c r="AF59">
        <f>AND(D59&lt;&gt;"",E59&lt;&gt;"",F59="No")</f>
        <v/>
      </c>
      <c r="AG59">
        <f>AND(OR(D59&lt;&gt;"",E59&lt;&gt;""),F59="No")</f>
        <v/>
      </c>
    </row>
    <row r="60">
      <c r="A60" t="inlineStr">
        <is>
          <t>Q0_ii.10.4; Q0_iii.10.3</t>
        </is>
      </c>
      <c r="C60" s="27" t="inlineStr">
        <is>
          <t>X</t>
        </is>
      </c>
      <c r="D60" s="27" t="inlineStr">
        <is>
          <t>X</t>
        </is>
      </c>
      <c r="F60" s="47" t="inlineStr">
        <is>
          <t>Yes</t>
        </is>
      </c>
      <c r="H60">
        <f>AND(B60&lt;&gt;"",C60&lt;&gt;"")</f>
        <v/>
      </c>
      <c r="I60">
        <f>OR(B60&lt;&gt;"",C60&lt;&gt;"")</f>
        <v/>
      </c>
      <c r="J60">
        <f>AND(B60&lt;&gt;"",D60&lt;&gt;"")</f>
        <v/>
      </c>
      <c r="K60">
        <f>OR(B60&lt;&gt;"",D60&lt;&gt;"")</f>
        <v/>
      </c>
      <c r="L60">
        <f>AND(B60&lt;&gt;"",E60&lt;&gt;"")</f>
        <v/>
      </c>
      <c r="M60">
        <f>OR(B60&lt;&gt;"",E60&lt;&gt;"")</f>
        <v/>
      </c>
      <c r="N60">
        <f>AND(C60&lt;&gt;"",D60&lt;&gt;"")</f>
        <v/>
      </c>
      <c r="O60">
        <f>OR(C60&lt;&gt;"",D60&lt;&gt;"")</f>
        <v/>
      </c>
      <c r="P60">
        <f>AND(C60&lt;&gt;"",E60&lt;&gt;"")</f>
        <v/>
      </c>
      <c r="Q60">
        <f>OR(C60&lt;&gt;"",E60&lt;&gt;"")</f>
        <v/>
      </c>
      <c r="R60">
        <f>AND(D60&lt;&gt;"",E60&lt;&gt;"")</f>
        <v/>
      </c>
      <c r="S60">
        <f>OR(D60&lt;&gt;"",E60&lt;&gt;"")</f>
        <v/>
      </c>
      <c r="V60">
        <f>AND(B60&lt;&gt;"",C60&lt;&gt;"",F60="No")</f>
        <v/>
      </c>
      <c r="W60">
        <f>AND(OR(B60&lt;&gt;"",C60&lt;&gt;""),F60="No")</f>
        <v/>
      </c>
      <c r="X60">
        <f>AND(B60&lt;&gt;"",D60&lt;&gt;"",F60="No")</f>
        <v/>
      </c>
      <c r="Y60">
        <f>AND(OR(B60&lt;&gt;"",D60&lt;&gt;""),F60="No")</f>
        <v/>
      </c>
      <c r="Z60">
        <f>AND(B60&lt;&gt;"",E60&lt;&gt;"",F60="No")</f>
        <v/>
      </c>
      <c r="AA60">
        <f>AND(OR(B60&lt;&gt;"",E60&lt;&gt;""),F60="No")</f>
        <v/>
      </c>
      <c r="AB60">
        <f>AND(C60&lt;&gt;"",D60&lt;&gt;"",F60="No")</f>
        <v/>
      </c>
      <c r="AC60">
        <f>AND(OR(C60&lt;&gt;"",D60&lt;&gt;""),F60="No")</f>
        <v/>
      </c>
      <c r="AD60">
        <f>AND(C60&lt;&gt;"",E60&lt;&gt;"",F60="No")</f>
        <v/>
      </c>
      <c r="AE60">
        <f>AND(OR(C60&lt;&gt;"",E60&lt;&gt;""),F60="No")</f>
        <v/>
      </c>
      <c r="AF60">
        <f>AND(D60&lt;&gt;"",E60&lt;&gt;"",F60="No")</f>
        <v/>
      </c>
      <c r="AG60">
        <f>AND(OR(D60&lt;&gt;"",E60&lt;&gt;""),F60="No")</f>
        <v/>
      </c>
    </row>
    <row r="61">
      <c r="A61" t="inlineStr">
        <is>
          <t>Q0_iii.10.2</t>
        </is>
      </c>
      <c r="D61" s="27" t="inlineStr">
        <is>
          <t>X</t>
        </is>
      </c>
      <c r="F61" s="47" t="inlineStr">
        <is>
          <t>Yes</t>
        </is>
      </c>
      <c r="H61">
        <f>AND(B61&lt;&gt;"",C61&lt;&gt;"")</f>
        <v/>
      </c>
      <c r="I61">
        <f>OR(B61&lt;&gt;"",C61&lt;&gt;"")</f>
        <v/>
      </c>
      <c r="J61">
        <f>AND(B61&lt;&gt;"",D61&lt;&gt;"")</f>
        <v/>
      </c>
      <c r="K61">
        <f>OR(B61&lt;&gt;"",D61&lt;&gt;"")</f>
        <v/>
      </c>
      <c r="L61">
        <f>AND(B61&lt;&gt;"",E61&lt;&gt;"")</f>
        <v/>
      </c>
      <c r="M61">
        <f>OR(B61&lt;&gt;"",E61&lt;&gt;"")</f>
        <v/>
      </c>
      <c r="N61">
        <f>AND(C61&lt;&gt;"",D61&lt;&gt;"")</f>
        <v/>
      </c>
      <c r="O61">
        <f>OR(C61&lt;&gt;"",D61&lt;&gt;"")</f>
        <v/>
      </c>
      <c r="P61">
        <f>AND(C61&lt;&gt;"",E61&lt;&gt;"")</f>
        <v/>
      </c>
      <c r="Q61">
        <f>OR(C61&lt;&gt;"",E61&lt;&gt;"")</f>
        <v/>
      </c>
      <c r="R61">
        <f>AND(D61&lt;&gt;"",E61&lt;&gt;"")</f>
        <v/>
      </c>
      <c r="S61">
        <f>OR(D61&lt;&gt;"",E61&lt;&gt;"")</f>
        <v/>
      </c>
      <c r="V61">
        <f>AND(B61&lt;&gt;"",C61&lt;&gt;"",F61="No")</f>
        <v/>
      </c>
      <c r="W61">
        <f>AND(OR(B61&lt;&gt;"",C61&lt;&gt;""),F61="No")</f>
        <v/>
      </c>
      <c r="X61">
        <f>AND(B61&lt;&gt;"",D61&lt;&gt;"",F61="No")</f>
        <v/>
      </c>
      <c r="Y61">
        <f>AND(OR(B61&lt;&gt;"",D61&lt;&gt;""),F61="No")</f>
        <v/>
      </c>
      <c r="Z61">
        <f>AND(B61&lt;&gt;"",E61&lt;&gt;"",F61="No")</f>
        <v/>
      </c>
      <c r="AA61">
        <f>AND(OR(B61&lt;&gt;"",E61&lt;&gt;""),F61="No")</f>
        <v/>
      </c>
      <c r="AB61">
        <f>AND(C61&lt;&gt;"",D61&lt;&gt;"",F61="No")</f>
        <v/>
      </c>
      <c r="AC61">
        <f>AND(OR(C61&lt;&gt;"",D61&lt;&gt;""),F61="No")</f>
        <v/>
      </c>
      <c r="AD61">
        <f>AND(C61&lt;&gt;"",E61&lt;&gt;"",F61="No")</f>
        <v/>
      </c>
      <c r="AE61">
        <f>AND(OR(C61&lt;&gt;"",E61&lt;&gt;""),F61="No")</f>
        <v/>
      </c>
      <c r="AF61">
        <f>AND(D61&lt;&gt;"",E61&lt;&gt;"",F61="No")</f>
        <v/>
      </c>
      <c r="AG61">
        <f>AND(OR(D61&lt;&gt;"",E61&lt;&gt;""),F61="No")</f>
        <v/>
      </c>
    </row>
    <row r="62" ht="15" customHeight="1" s="54">
      <c r="F62" s="47" t="n"/>
    </row>
    <row r="63">
      <c r="A63" s="47" t="inlineStr">
        <is>
          <t>Count</t>
        </is>
      </c>
      <c r="H63">
        <f>COUNTIF(H2:H61,TRUE())</f>
        <v/>
      </c>
      <c r="I63">
        <f>COUNTIF(I2:I61,TRUE())</f>
        <v/>
      </c>
      <c r="J63">
        <f>COUNTIF(J2:J61,TRUE())</f>
        <v/>
      </c>
      <c r="K63">
        <f>COUNTIF(K2:K61,TRUE())</f>
        <v/>
      </c>
      <c r="L63">
        <f>COUNTIF(L2:L61,TRUE())</f>
        <v/>
      </c>
      <c r="M63">
        <f>COUNTIF(M2:M61,TRUE())</f>
        <v/>
      </c>
      <c r="N63">
        <f>COUNTIF(N2:N61,TRUE())</f>
        <v/>
      </c>
      <c r="O63">
        <f>COUNTIF(O2:O61,TRUE())</f>
        <v/>
      </c>
      <c r="P63">
        <f>COUNTIF(P2:P61,TRUE())</f>
        <v/>
      </c>
      <c r="Q63">
        <f>COUNTIF(Q2:Q61,TRUE())</f>
        <v/>
      </c>
      <c r="R63">
        <f>COUNTIF(R2:R61,TRUE())</f>
        <v/>
      </c>
      <c r="S63">
        <f>COUNTIF(S2:S61,TRUE())</f>
        <v/>
      </c>
      <c r="T63" s="16" t="inlineStr">
        <is>
          <t>Avg.</t>
        </is>
      </c>
      <c r="V63">
        <f>COUNTIF(V2:V61,TRUE())</f>
        <v/>
      </c>
      <c r="W63">
        <f>COUNTIF(W2:W61,TRUE())</f>
        <v/>
      </c>
      <c r="X63">
        <f>COUNTIF(X2:X61,TRUE())</f>
        <v/>
      </c>
      <c r="Y63">
        <f>COUNTIF(Y2:Y61,TRUE())</f>
        <v/>
      </c>
      <c r="Z63">
        <f>COUNTIF(Z2:Z61,TRUE())</f>
        <v/>
      </c>
      <c r="AA63">
        <f>COUNTIF(AA2:AA61,TRUE())</f>
        <v/>
      </c>
      <c r="AB63">
        <f>COUNTIF(AB2:AB61,TRUE())</f>
        <v/>
      </c>
      <c r="AC63">
        <f>COUNTIF(AC2:AC61,TRUE())</f>
        <v/>
      </c>
      <c r="AD63">
        <f>COUNTIF(AD2:AD61,TRUE())</f>
        <v/>
      </c>
      <c r="AE63">
        <f>COUNTIF(AE2:AE61,TRUE())</f>
        <v/>
      </c>
      <c r="AF63">
        <f>COUNTIF(AF2:AF61,TRUE())</f>
        <v/>
      </c>
      <c r="AG63">
        <f>COUNTIF(AG2:AG61,TRUE())</f>
        <v/>
      </c>
      <c r="AH63" s="16" t="inlineStr">
        <is>
          <t>Avg.</t>
        </is>
      </c>
    </row>
    <row r="64">
      <c r="G64" s="47" t="inlineStr">
        <is>
          <t>J-index</t>
        </is>
      </c>
      <c r="H64" s="55">
        <f>H63/I63</f>
        <v/>
      </c>
      <c r="J64" s="55">
        <f>J63/K63</f>
        <v/>
      </c>
      <c r="L64" s="55">
        <f>L63/M63</f>
        <v/>
      </c>
      <c r="N64" s="55">
        <f>N63/O63</f>
        <v/>
      </c>
      <c r="P64" s="55">
        <f>P63/Q63</f>
        <v/>
      </c>
      <c r="R64" s="55">
        <f>R63/S63</f>
        <v/>
      </c>
      <c r="T64" s="55">
        <f>AVERAGE(H64:S64)</f>
        <v/>
      </c>
      <c r="U64" s="47" t="inlineStr">
        <is>
          <t>J-index</t>
        </is>
      </c>
      <c r="V64" s="55">
        <f>V63/W63</f>
        <v/>
      </c>
      <c r="X64" s="55">
        <f>X63/Y63</f>
        <v/>
      </c>
      <c r="Z64" s="55">
        <f>Z63/AA63</f>
        <v/>
      </c>
      <c r="AB64" s="55">
        <f>AB63/AC63</f>
        <v/>
      </c>
      <c r="AD64" s="55">
        <f>AD63/AE63</f>
        <v/>
      </c>
      <c r="AF64" s="55">
        <f>AF63/AG63</f>
        <v/>
      </c>
      <c r="AH64" s="55">
        <f>AVERAGE(V64:AG64)</f>
        <v/>
      </c>
    </row>
    <row r="65">
      <c r="T65" s="55">
        <f>GEOMEAN(H64:S64)</f>
        <v/>
      </c>
      <c r="AH65" s="55">
        <f>GEOMEAN(V64:AG64)</f>
        <v/>
      </c>
    </row>
    <row r="73" ht="15" customHeight="1" s="54"/>
  </sheetData>
  <autoFilter ref="A1:F61"/>
  <mergeCells count="13">
    <mergeCell ref="L64:M64"/>
    <mergeCell ref="J64:K64"/>
    <mergeCell ref="P64:Q64"/>
    <mergeCell ref="N64:O64"/>
    <mergeCell ref="R64:S64"/>
    <mergeCell ref="AF64:AG64"/>
    <mergeCell ref="H64:I64"/>
    <mergeCell ref="X64:Y64"/>
    <mergeCell ref="AB64:AC64"/>
    <mergeCell ref="Z64:AA64"/>
    <mergeCell ref="AD64:AE64"/>
    <mergeCell ref="A63:G63"/>
    <mergeCell ref="V64:W64"/>
  </mergeCells>
  <conditionalFormatting sqref="F2:F62">
    <cfRule type="containsText" priority="2" operator="containsText" dxfId="1" text="No">
      <formula>NOT(ISERROR(SEARCH("No",F2)))</formula>
    </cfRule>
    <cfRule type="containsText" priority="3" operator="containsText" dxfId="0" text="Yes">
      <formula>NOT(ISERROR(SEARCH("Yes",F2)))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9"/>
  <sheetViews>
    <sheetView topLeftCell="A28" zoomScale="85" zoomScaleNormal="85" workbookViewId="0">
      <selection activeCell="H76" sqref="H76"/>
    </sheetView>
  </sheetViews>
  <sheetFormatPr baseColWidth="8" defaultColWidth="8.7109375" defaultRowHeight="14.45"/>
  <cols>
    <col width="22" customWidth="1" style="54" min="1" max="1"/>
    <col width="9.140625" customWidth="1" style="27" min="2" max="5"/>
    <col width="9.140625" customWidth="1" style="54" min="6" max="6"/>
    <col width="11.7109375" customWidth="1" style="54" min="7" max="7"/>
    <col width="12.7109375" customWidth="1" style="54" min="8" max="34"/>
  </cols>
  <sheetData>
    <row r="1">
      <c r="A1" t="inlineStr">
        <is>
          <t>#</t>
        </is>
      </c>
      <c r="B1" s="27" t="inlineStr">
        <is>
          <t>M0_i</t>
        </is>
      </c>
      <c r="C1" s="27" t="inlineStr">
        <is>
          <t>M0_ii</t>
        </is>
      </c>
      <c r="D1" s="27" t="inlineStr">
        <is>
          <t>M0_iii</t>
        </is>
      </c>
      <c r="E1" s="27" t="inlineStr">
        <is>
          <t>M0_iv</t>
        </is>
      </c>
      <c r="F1" t="inlineStr">
        <is>
          <t>Hall.</t>
        </is>
      </c>
      <c r="H1" t="inlineStr">
        <is>
          <t>M0_i &amp;&amp; M0_ii</t>
        </is>
      </c>
      <c r="I1" t="inlineStr">
        <is>
          <t>M0_i || M0_ii</t>
        </is>
      </c>
      <c r="J1" t="inlineStr">
        <is>
          <t>M0_i &amp;&amp; M0_iii</t>
        </is>
      </c>
      <c r="K1" t="inlineStr">
        <is>
          <t>M0_i || M0_iii</t>
        </is>
      </c>
      <c r="L1" t="inlineStr">
        <is>
          <t>M0_i &amp;&amp; M0_iv</t>
        </is>
      </c>
      <c r="M1" t="inlineStr">
        <is>
          <t>M0_i || M0_iv</t>
        </is>
      </c>
      <c r="N1" t="inlineStr">
        <is>
          <t>M0_ii &amp;&amp; M0_iii</t>
        </is>
      </c>
      <c r="O1" t="inlineStr">
        <is>
          <t>M0_ii || M0_iii</t>
        </is>
      </c>
      <c r="P1" t="inlineStr">
        <is>
          <t>M0_ii &amp;&amp; M0_iv</t>
        </is>
      </c>
      <c r="Q1" t="inlineStr">
        <is>
          <t>M0_ii || M0_iv</t>
        </is>
      </c>
      <c r="R1" t="inlineStr">
        <is>
          <t>M0_iii &amp;&amp; M0_iv</t>
        </is>
      </c>
      <c r="S1" t="inlineStr">
        <is>
          <t>M0_iii || M0_iv</t>
        </is>
      </c>
      <c r="V1" t="inlineStr">
        <is>
          <t>M0_i &amp;&amp; M0_ii</t>
        </is>
      </c>
      <c r="W1" t="inlineStr">
        <is>
          <t>M0_i || M0_ii</t>
        </is>
      </c>
      <c r="X1" t="inlineStr">
        <is>
          <t>M0_i &amp;&amp; M0_iii</t>
        </is>
      </c>
      <c r="Y1" t="inlineStr">
        <is>
          <t>M0_i || M0_iii</t>
        </is>
      </c>
      <c r="Z1" t="inlineStr">
        <is>
          <t>M0_i &amp;&amp; M0_iv</t>
        </is>
      </c>
      <c r="AA1" t="inlineStr">
        <is>
          <t>M0_i || M0_iv</t>
        </is>
      </c>
      <c r="AB1" t="inlineStr">
        <is>
          <t>M0_ii &amp;&amp; M0_iii</t>
        </is>
      </c>
      <c r="AC1" t="inlineStr">
        <is>
          <t>M0_ii || M0_iii</t>
        </is>
      </c>
      <c r="AD1" t="inlineStr">
        <is>
          <t>M0_ii &amp;&amp; M0_iv</t>
        </is>
      </c>
      <c r="AE1" t="inlineStr">
        <is>
          <t>M0_ii || M0_iv</t>
        </is>
      </c>
      <c r="AF1" t="inlineStr">
        <is>
          <t>M0_iii &amp;&amp; M0_iv</t>
        </is>
      </c>
      <c r="AG1" t="inlineStr">
        <is>
          <t>M0_iii || M0_iv</t>
        </is>
      </c>
    </row>
    <row r="2">
      <c r="A2" s="44" t="inlineStr">
        <is>
          <t>H.1.1</t>
        </is>
      </c>
      <c r="B2" s="27" t="inlineStr">
        <is>
          <t>X</t>
        </is>
      </c>
      <c r="C2" s="27" t="inlineStr">
        <is>
          <t>X</t>
        </is>
      </c>
      <c r="D2" s="27" t="inlineStr">
        <is>
          <t>X</t>
        </is>
      </c>
      <c r="E2" s="27" t="inlineStr">
        <is>
          <t>X</t>
        </is>
      </c>
      <c r="F2" s="47" t="inlineStr">
        <is>
          <t>No</t>
        </is>
      </c>
      <c r="H2">
        <f>AND(B2&lt;&gt;"",C2&lt;&gt;"")</f>
        <v/>
      </c>
      <c r="I2">
        <f>OR(B2&lt;&gt;"",C2&lt;&gt;"")</f>
        <v/>
      </c>
      <c r="J2">
        <f>AND(B2&lt;&gt;"",D2&lt;&gt;"")</f>
        <v/>
      </c>
      <c r="K2">
        <f>OR(B2&lt;&gt;"",D2&lt;&gt;"")</f>
        <v/>
      </c>
      <c r="L2">
        <f>AND(B2&lt;&gt;"",E2&lt;&gt;"")</f>
        <v/>
      </c>
      <c r="M2">
        <f>OR(B2&lt;&gt;"",E2&lt;&gt;"")</f>
        <v/>
      </c>
      <c r="N2">
        <f>AND(C2&lt;&gt;"",D2&lt;&gt;"")</f>
        <v/>
      </c>
      <c r="O2">
        <f>OR(C2&lt;&gt;"",D2&lt;&gt;"")</f>
        <v/>
      </c>
      <c r="P2">
        <f>AND(C2&lt;&gt;"",E2&lt;&gt;"")</f>
        <v/>
      </c>
      <c r="Q2">
        <f>OR(C2&lt;&gt;"",E2&lt;&gt;"")</f>
        <v/>
      </c>
      <c r="R2">
        <f>AND(D2&lt;&gt;"",E2&lt;&gt;"")</f>
        <v/>
      </c>
      <c r="S2">
        <f>OR(D2&lt;&gt;"",E2&lt;&gt;"")</f>
        <v/>
      </c>
      <c r="V2">
        <f>AND(B2&lt;&gt;"",C2&lt;&gt;"",F2="No")</f>
        <v/>
      </c>
      <c r="W2">
        <f>AND(OR(B2&lt;&gt;"",C2&lt;&gt;""),F2="No")</f>
        <v/>
      </c>
      <c r="X2">
        <f>AND(B2&lt;&gt;"",D2&lt;&gt;"",F2="No")</f>
        <v/>
      </c>
      <c r="Y2">
        <f>AND(OR(B2&lt;&gt;"",D2&lt;&gt;""),F2="No")</f>
        <v/>
      </c>
      <c r="Z2">
        <f>AND(B2&lt;&gt;"",E2&lt;&gt;"",F2="No")</f>
        <v/>
      </c>
      <c r="AA2">
        <f>AND(OR(B2&lt;&gt;"",E2&lt;&gt;""),F2="No")</f>
        <v/>
      </c>
      <c r="AB2">
        <f>AND(C2&lt;&gt;"",D2&lt;&gt;"",F2="No")</f>
        <v/>
      </c>
      <c r="AC2">
        <f>AND(OR(C2&lt;&gt;"",D2&lt;&gt;""),F2="No")</f>
        <v/>
      </c>
      <c r="AD2">
        <f>AND(C2&lt;&gt;"",E2&lt;&gt;"",F2="No")</f>
        <v/>
      </c>
      <c r="AE2">
        <f>AND(OR(C2&lt;&gt;"",E2&lt;&gt;""),F2="No")</f>
        <v/>
      </c>
      <c r="AF2">
        <f>AND(D2&lt;&gt;"",E2&lt;&gt;"",F2="No")</f>
        <v/>
      </c>
      <c r="AG2">
        <f>AND(OR(D2&lt;&gt;"",E2&lt;&gt;""),F2="No")</f>
        <v/>
      </c>
    </row>
    <row r="3" ht="15" customHeight="1" s="54">
      <c r="A3" s="44" t="inlineStr">
        <is>
          <t>H.2.1</t>
        </is>
      </c>
      <c r="E3" s="27" t="inlineStr">
        <is>
          <t>X</t>
        </is>
      </c>
      <c r="F3" s="47" t="inlineStr">
        <is>
          <t>No</t>
        </is>
      </c>
      <c r="H3">
        <f>AND(B3&lt;&gt;"",C3&lt;&gt;"")</f>
        <v/>
      </c>
      <c r="I3">
        <f>OR(B3&lt;&gt;"",C3&lt;&gt;"")</f>
        <v/>
      </c>
      <c r="J3">
        <f>AND(B3&lt;&gt;"",D3&lt;&gt;"")</f>
        <v/>
      </c>
      <c r="K3">
        <f>OR(B3&lt;&gt;"",D3&lt;&gt;"")</f>
        <v/>
      </c>
      <c r="L3">
        <f>AND(B3&lt;&gt;"",E3&lt;&gt;"")</f>
        <v/>
      </c>
      <c r="M3">
        <f>OR(B3&lt;&gt;"",E3&lt;&gt;"")</f>
        <v/>
      </c>
      <c r="N3">
        <f>AND(C3&lt;&gt;"",D3&lt;&gt;"")</f>
        <v/>
      </c>
      <c r="O3">
        <f>OR(C3&lt;&gt;"",D3&lt;&gt;"")</f>
        <v/>
      </c>
      <c r="P3">
        <f>AND(C3&lt;&gt;"",E3&lt;&gt;"")</f>
        <v/>
      </c>
      <c r="Q3">
        <f>OR(C3&lt;&gt;"",E3&lt;&gt;"")</f>
        <v/>
      </c>
      <c r="R3">
        <f>AND(D3&lt;&gt;"",E3&lt;&gt;"")</f>
        <v/>
      </c>
      <c r="S3">
        <f>OR(D3&lt;&gt;"",E3&lt;&gt;"")</f>
        <v/>
      </c>
      <c r="V3">
        <f>AND(B3&lt;&gt;"",C3&lt;&gt;"",F3="No")</f>
        <v/>
      </c>
      <c r="W3">
        <f>AND(OR(B3&lt;&gt;"",C3&lt;&gt;""),F3="No")</f>
        <v/>
      </c>
      <c r="X3">
        <f>AND(B3&lt;&gt;"",D3&lt;&gt;"",F3="No")</f>
        <v/>
      </c>
      <c r="Y3">
        <f>AND(OR(B3&lt;&gt;"",D3&lt;&gt;""),F3="No")</f>
        <v/>
      </c>
      <c r="Z3">
        <f>AND(B3&lt;&gt;"",E3&lt;&gt;"",F3="No")</f>
        <v/>
      </c>
      <c r="AA3">
        <f>AND(OR(B3&lt;&gt;"",E3&lt;&gt;""),F3="No")</f>
        <v/>
      </c>
      <c r="AB3">
        <f>AND(C3&lt;&gt;"",D3&lt;&gt;"",F3="No")</f>
        <v/>
      </c>
      <c r="AC3">
        <f>AND(OR(C3&lt;&gt;"",D3&lt;&gt;""),F3="No")</f>
        <v/>
      </c>
      <c r="AD3">
        <f>AND(C3&lt;&gt;"",E3&lt;&gt;"",F3="No")</f>
        <v/>
      </c>
      <c r="AE3">
        <f>AND(OR(C3&lt;&gt;"",E3&lt;&gt;""),F3="No")</f>
        <v/>
      </c>
      <c r="AF3">
        <f>AND(D3&lt;&gt;"",E3&lt;&gt;"",F3="No")</f>
        <v/>
      </c>
      <c r="AG3">
        <f>AND(OR(D3&lt;&gt;"",E3&lt;&gt;""),F3="No")</f>
        <v/>
      </c>
    </row>
    <row r="4" ht="15" customHeight="1" s="54">
      <c r="A4" s="44" t="inlineStr">
        <is>
          <t>GS.2.3</t>
        </is>
      </c>
      <c r="E4" s="27" t="inlineStr">
        <is>
          <t>X</t>
        </is>
      </c>
      <c r="F4" s="47" t="inlineStr">
        <is>
          <t>No</t>
        </is>
      </c>
      <c r="H4">
        <f>AND(B4&lt;&gt;"",C4&lt;&gt;"")</f>
        <v/>
      </c>
      <c r="I4">
        <f>OR(B4&lt;&gt;"",C4&lt;&gt;"")</f>
        <v/>
      </c>
      <c r="J4">
        <f>AND(B4&lt;&gt;"",D4&lt;&gt;"")</f>
        <v/>
      </c>
      <c r="K4">
        <f>OR(B4&lt;&gt;"",D4&lt;&gt;"")</f>
        <v/>
      </c>
      <c r="L4">
        <f>AND(B4&lt;&gt;"",E4&lt;&gt;"")</f>
        <v/>
      </c>
      <c r="M4">
        <f>OR(B4&lt;&gt;"",E4&lt;&gt;"")</f>
        <v/>
      </c>
      <c r="N4">
        <f>AND(C4&lt;&gt;"",D4&lt;&gt;"")</f>
        <v/>
      </c>
      <c r="O4">
        <f>OR(C4&lt;&gt;"",D4&lt;&gt;"")</f>
        <v/>
      </c>
      <c r="P4">
        <f>AND(C4&lt;&gt;"",E4&lt;&gt;"")</f>
        <v/>
      </c>
      <c r="Q4">
        <f>OR(C4&lt;&gt;"",E4&lt;&gt;"")</f>
        <v/>
      </c>
      <c r="R4">
        <f>AND(D4&lt;&gt;"",E4&lt;&gt;"")</f>
        <v/>
      </c>
      <c r="S4">
        <f>OR(D4&lt;&gt;"",E4&lt;&gt;"")</f>
        <v/>
      </c>
      <c r="V4">
        <f>AND(B4&lt;&gt;"",C4&lt;&gt;"",F4="No")</f>
        <v/>
      </c>
      <c r="W4">
        <f>AND(OR(B4&lt;&gt;"",C4&lt;&gt;""),F4="No")</f>
        <v/>
      </c>
      <c r="X4">
        <f>AND(B4&lt;&gt;"",D4&lt;&gt;"",F4="No")</f>
        <v/>
      </c>
      <c r="Y4">
        <f>AND(OR(B4&lt;&gt;"",D4&lt;&gt;""),F4="No")</f>
        <v/>
      </c>
      <c r="Z4">
        <f>AND(B4&lt;&gt;"",E4&lt;&gt;"",F4="No")</f>
        <v/>
      </c>
      <c r="AA4">
        <f>AND(OR(B4&lt;&gt;"",E4&lt;&gt;""),F4="No")</f>
        <v/>
      </c>
      <c r="AB4">
        <f>AND(C4&lt;&gt;"",D4&lt;&gt;"",F4="No")</f>
        <v/>
      </c>
      <c r="AC4">
        <f>AND(OR(C4&lt;&gt;"",D4&lt;&gt;""),F4="No")</f>
        <v/>
      </c>
      <c r="AD4">
        <f>AND(C4&lt;&gt;"",E4&lt;&gt;"",F4="No")</f>
        <v/>
      </c>
      <c r="AE4">
        <f>AND(OR(C4&lt;&gt;"",E4&lt;&gt;""),F4="No")</f>
        <v/>
      </c>
      <c r="AF4">
        <f>AND(D4&lt;&gt;"",E4&lt;&gt;"",F4="No")</f>
        <v/>
      </c>
      <c r="AG4">
        <f>AND(OR(D4&lt;&gt;"",E4&lt;&gt;""),F4="No")</f>
        <v/>
      </c>
    </row>
    <row r="5">
      <c r="A5" t="inlineStr">
        <is>
          <t>M0.2.1; M0_ii.2.1; M0_iii.2.1</t>
        </is>
      </c>
      <c r="B5" s="27" t="inlineStr">
        <is>
          <t>X</t>
        </is>
      </c>
      <c r="C5" s="27" t="inlineStr">
        <is>
          <t>X</t>
        </is>
      </c>
      <c r="D5" s="27" t="inlineStr">
        <is>
          <t>X</t>
        </is>
      </c>
      <c r="F5" s="47" t="inlineStr">
        <is>
          <t>Yes</t>
        </is>
      </c>
      <c r="H5">
        <f>AND(B5&lt;&gt;"",C5&lt;&gt;"")</f>
        <v/>
      </c>
      <c r="I5">
        <f>OR(B5&lt;&gt;"",C5&lt;&gt;"")</f>
        <v/>
      </c>
      <c r="J5">
        <f>AND(B5&lt;&gt;"",D5&lt;&gt;"")</f>
        <v/>
      </c>
      <c r="K5">
        <f>OR(B5&lt;&gt;"",D5&lt;&gt;"")</f>
        <v/>
      </c>
      <c r="L5">
        <f>AND(B5&lt;&gt;"",E5&lt;&gt;"")</f>
        <v/>
      </c>
      <c r="M5">
        <f>OR(B5&lt;&gt;"",E5&lt;&gt;"")</f>
        <v/>
      </c>
      <c r="N5">
        <f>AND(C5&lt;&gt;"",D5&lt;&gt;"")</f>
        <v/>
      </c>
      <c r="O5">
        <f>OR(C5&lt;&gt;"",D5&lt;&gt;"")</f>
        <v/>
      </c>
      <c r="P5">
        <f>AND(C5&lt;&gt;"",E5&lt;&gt;"")</f>
        <v/>
      </c>
      <c r="Q5">
        <f>OR(C5&lt;&gt;"",E5&lt;&gt;"")</f>
        <v/>
      </c>
      <c r="R5">
        <f>AND(D5&lt;&gt;"",E5&lt;&gt;"")</f>
        <v/>
      </c>
      <c r="S5">
        <f>OR(D5&lt;&gt;"",E5&lt;&gt;"")</f>
        <v/>
      </c>
      <c r="V5">
        <f>AND(B5&lt;&gt;"",C5&lt;&gt;"",F5="No")</f>
        <v/>
      </c>
      <c r="W5">
        <f>AND(OR(B5&lt;&gt;"",C5&lt;&gt;""),F5="No")</f>
        <v/>
      </c>
      <c r="X5">
        <f>AND(B5&lt;&gt;"",D5&lt;&gt;"",F5="No")</f>
        <v/>
      </c>
      <c r="Y5">
        <f>AND(OR(B5&lt;&gt;"",D5&lt;&gt;""),F5="No")</f>
        <v/>
      </c>
      <c r="Z5">
        <f>AND(B5&lt;&gt;"",E5&lt;&gt;"",F5="No")</f>
        <v/>
      </c>
      <c r="AA5">
        <f>AND(OR(B5&lt;&gt;"",E5&lt;&gt;""),F5="No")</f>
        <v/>
      </c>
      <c r="AB5">
        <f>AND(C5&lt;&gt;"",D5&lt;&gt;"",F5="No")</f>
        <v/>
      </c>
      <c r="AC5">
        <f>AND(OR(C5&lt;&gt;"",D5&lt;&gt;""),F5="No")</f>
        <v/>
      </c>
      <c r="AD5">
        <f>AND(C5&lt;&gt;"",E5&lt;&gt;"",F5="No")</f>
        <v/>
      </c>
      <c r="AE5">
        <f>AND(OR(C5&lt;&gt;"",E5&lt;&gt;""),F5="No")</f>
        <v/>
      </c>
      <c r="AF5">
        <f>AND(D5&lt;&gt;"",E5&lt;&gt;"",F5="No")</f>
        <v/>
      </c>
      <c r="AG5">
        <f>AND(OR(D5&lt;&gt;"",E5&lt;&gt;""),F5="No")</f>
        <v/>
      </c>
    </row>
    <row r="6">
      <c r="A6" t="inlineStr">
        <is>
          <t>M0.2.2; M0_ii.2.3</t>
        </is>
      </c>
      <c r="B6" s="27" t="inlineStr">
        <is>
          <t>X</t>
        </is>
      </c>
      <c r="C6" s="27" t="inlineStr">
        <is>
          <t>X</t>
        </is>
      </c>
      <c r="F6" s="47" t="inlineStr">
        <is>
          <t>Yes</t>
        </is>
      </c>
      <c r="H6">
        <f>AND(B6&lt;&gt;"",C6&lt;&gt;"")</f>
        <v/>
      </c>
      <c r="I6">
        <f>OR(B6&lt;&gt;"",C6&lt;&gt;"")</f>
        <v/>
      </c>
      <c r="J6">
        <f>AND(B6&lt;&gt;"",D6&lt;&gt;"")</f>
        <v/>
      </c>
      <c r="K6">
        <f>OR(B6&lt;&gt;"",D6&lt;&gt;"")</f>
        <v/>
      </c>
      <c r="L6">
        <f>AND(B6&lt;&gt;"",E6&lt;&gt;"")</f>
        <v/>
      </c>
      <c r="M6">
        <f>OR(B6&lt;&gt;"",E6&lt;&gt;"")</f>
        <v/>
      </c>
      <c r="N6">
        <f>AND(C6&lt;&gt;"",D6&lt;&gt;"")</f>
        <v/>
      </c>
      <c r="O6">
        <f>OR(C6&lt;&gt;"",D6&lt;&gt;"")</f>
        <v/>
      </c>
      <c r="P6">
        <f>AND(C6&lt;&gt;"",E6&lt;&gt;"")</f>
        <v/>
      </c>
      <c r="Q6">
        <f>OR(C6&lt;&gt;"",E6&lt;&gt;"")</f>
        <v/>
      </c>
      <c r="R6">
        <f>AND(D6&lt;&gt;"",E6&lt;&gt;"")</f>
        <v/>
      </c>
      <c r="S6">
        <f>OR(D6&lt;&gt;"",E6&lt;&gt;"")</f>
        <v/>
      </c>
      <c r="V6">
        <f>AND(B6&lt;&gt;"",C6&lt;&gt;"",F6="No")</f>
        <v/>
      </c>
      <c r="W6">
        <f>AND(OR(B6&lt;&gt;"",C6&lt;&gt;""),F6="No")</f>
        <v/>
      </c>
      <c r="X6">
        <f>AND(B6&lt;&gt;"",D6&lt;&gt;"",F6="No")</f>
        <v/>
      </c>
      <c r="Y6">
        <f>AND(OR(B6&lt;&gt;"",D6&lt;&gt;""),F6="No")</f>
        <v/>
      </c>
      <c r="Z6">
        <f>AND(B6&lt;&gt;"",E6&lt;&gt;"",F6="No")</f>
        <v/>
      </c>
      <c r="AA6">
        <f>AND(OR(B6&lt;&gt;"",E6&lt;&gt;""),F6="No")</f>
        <v/>
      </c>
      <c r="AB6">
        <f>AND(C6&lt;&gt;"",D6&lt;&gt;"",F6="No")</f>
        <v/>
      </c>
      <c r="AC6">
        <f>AND(OR(C6&lt;&gt;"",D6&lt;&gt;""),F6="No")</f>
        <v/>
      </c>
      <c r="AD6">
        <f>AND(C6&lt;&gt;"",E6&lt;&gt;"",F6="No")</f>
        <v/>
      </c>
      <c r="AE6">
        <f>AND(OR(C6&lt;&gt;"",E6&lt;&gt;""),F6="No")</f>
        <v/>
      </c>
      <c r="AF6">
        <f>AND(D6&lt;&gt;"",E6&lt;&gt;"",F6="No")</f>
        <v/>
      </c>
      <c r="AG6">
        <f>AND(OR(D6&lt;&gt;"",E6&lt;&gt;""),F6="No")</f>
        <v/>
      </c>
    </row>
    <row r="7">
      <c r="A7" t="inlineStr">
        <is>
          <t>M0.2.3</t>
        </is>
      </c>
      <c r="B7" s="27" t="inlineStr">
        <is>
          <t>X</t>
        </is>
      </c>
      <c r="F7" s="47" t="inlineStr">
        <is>
          <t>Yes</t>
        </is>
      </c>
      <c r="H7">
        <f>AND(B7&lt;&gt;"",C7&lt;&gt;"")</f>
        <v/>
      </c>
      <c r="I7">
        <f>OR(B7&lt;&gt;"",C7&lt;&gt;"")</f>
        <v/>
      </c>
      <c r="J7">
        <f>AND(B7&lt;&gt;"",D7&lt;&gt;"")</f>
        <v/>
      </c>
      <c r="K7">
        <f>OR(B7&lt;&gt;"",D7&lt;&gt;"")</f>
        <v/>
      </c>
      <c r="L7">
        <f>AND(B7&lt;&gt;"",E7&lt;&gt;"")</f>
        <v/>
      </c>
      <c r="M7">
        <f>OR(B7&lt;&gt;"",E7&lt;&gt;"")</f>
        <v/>
      </c>
      <c r="N7">
        <f>AND(C7&lt;&gt;"",D7&lt;&gt;"")</f>
        <v/>
      </c>
      <c r="O7">
        <f>OR(C7&lt;&gt;"",D7&lt;&gt;"")</f>
        <v/>
      </c>
      <c r="P7">
        <f>AND(C7&lt;&gt;"",E7&lt;&gt;"")</f>
        <v/>
      </c>
      <c r="Q7">
        <f>OR(C7&lt;&gt;"",E7&lt;&gt;"")</f>
        <v/>
      </c>
      <c r="R7">
        <f>AND(D7&lt;&gt;"",E7&lt;&gt;"")</f>
        <v/>
      </c>
      <c r="S7">
        <f>OR(D7&lt;&gt;"",E7&lt;&gt;"")</f>
        <v/>
      </c>
      <c r="V7">
        <f>AND(B7&lt;&gt;"",C7&lt;&gt;"",F7="No")</f>
        <v/>
      </c>
      <c r="W7">
        <f>AND(OR(B7&lt;&gt;"",C7&lt;&gt;""),F7="No")</f>
        <v/>
      </c>
      <c r="X7">
        <f>AND(B7&lt;&gt;"",D7&lt;&gt;"",F7="No")</f>
        <v/>
      </c>
      <c r="Y7">
        <f>AND(OR(B7&lt;&gt;"",D7&lt;&gt;""),F7="No")</f>
        <v/>
      </c>
      <c r="Z7">
        <f>AND(B7&lt;&gt;"",E7&lt;&gt;"",F7="No")</f>
        <v/>
      </c>
      <c r="AA7">
        <f>AND(OR(B7&lt;&gt;"",E7&lt;&gt;""),F7="No")</f>
        <v/>
      </c>
      <c r="AB7">
        <f>AND(C7&lt;&gt;"",D7&lt;&gt;"",F7="No")</f>
        <v/>
      </c>
      <c r="AC7">
        <f>AND(OR(C7&lt;&gt;"",D7&lt;&gt;""),F7="No")</f>
        <v/>
      </c>
      <c r="AD7">
        <f>AND(C7&lt;&gt;"",E7&lt;&gt;"",F7="No")</f>
        <v/>
      </c>
      <c r="AE7">
        <f>AND(OR(C7&lt;&gt;"",E7&lt;&gt;""),F7="No")</f>
        <v/>
      </c>
      <c r="AF7">
        <f>AND(D7&lt;&gt;"",E7&lt;&gt;"",F7="No")</f>
        <v/>
      </c>
      <c r="AG7">
        <f>AND(OR(D7&lt;&gt;"",E7&lt;&gt;""),F7="No")</f>
        <v/>
      </c>
    </row>
    <row r="8">
      <c r="A8" t="inlineStr">
        <is>
          <t>M0.2.4; M0_iii.2.5</t>
        </is>
      </c>
      <c r="B8" s="27" t="inlineStr">
        <is>
          <t>X</t>
        </is>
      </c>
      <c r="D8" s="27" t="inlineStr">
        <is>
          <t>X</t>
        </is>
      </c>
      <c r="F8" s="47" t="inlineStr">
        <is>
          <t>Yes</t>
        </is>
      </c>
      <c r="H8">
        <f>AND(B8&lt;&gt;"",C8&lt;&gt;"")</f>
        <v/>
      </c>
      <c r="I8">
        <f>OR(B8&lt;&gt;"",C8&lt;&gt;"")</f>
        <v/>
      </c>
      <c r="J8">
        <f>AND(B8&lt;&gt;"",D8&lt;&gt;"")</f>
        <v/>
      </c>
      <c r="K8">
        <f>OR(B8&lt;&gt;"",D8&lt;&gt;"")</f>
        <v/>
      </c>
      <c r="L8">
        <f>AND(B8&lt;&gt;"",E8&lt;&gt;"")</f>
        <v/>
      </c>
      <c r="M8">
        <f>OR(B8&lt;&gt;"",E8&lt;&gt;"")</f>
        <v/>
      </c>
      <c r="N8">
        <f>AND(C8&lt;&gt;"",D8&lt;&gt;"")</f>
        <v/>
      </c>
      <c r="O8">
        <f>OR(C8&lt;&gt;"",D8&lt;&gt;"")</f>
        <v/>
      </c>
      <c r="P8">
        <f>AND(C8&lt;&gt;"",E8&lt;&gt;"")</f>
        <v/>
      </c>
      <c r="Q8">
        <f>OR(C8&lt;&gt;"",E8&lt;&gt;"")</f>
        <v/>
      </c>
      <c r="R8">
        <f>AND(D8&lt;&gt;"",E8&lt;&gt;"")</f>
        <v/>
      </c>
      <c r="S8">
        <f>OR(D8&lt;&gt;"",E8&lt;&gt;"")</f>
        <v/>
      </c>
      <c r="V8">
        <f>AND(B8&lt;&gt;"",C8&lt;&gt;"",F8="No")</f>
        <v/>
      </c>
      <c r="W8">
        <f>AND(OR(B8&lt;&gt;"",C8&lt;&gt;""),F8="No")</f>
        <v/>
      </c>
      <c r="X8">
        <f>AND(B8&lt;&gt;"",D8&lt;&gt;"",F8="No")</f>
        <v/>
      </c>
      <c r="Y8">
        <f>AND(OR(B8&lt;&gt;"",D8&lt;&gt;""),F8="No")</f>
        <v/>
      </c>
      <c r="Z8">
        <f>AND(B8&lt;&gt;"",E8&lt;&gt;"",F8="No")</f>
        <v/>
      </c>
      <c r="AA8">
        <f>AND(OR(B8&lt;&gt;"",E8&lt;&gt;""),F8="No")</f>
        <v/>
      </c>
      <c r="AB8">
        <f>AND(C8&lt;&gt;"",D8&lt;&gt;"",F8="No")</f>
        <v/>
      </c>
      <c r="AC8">
        <f>AND(OR(C8&lt;&gt;"",D8&lt;&gt;""),F8="No")</f>
        <v/>
      </c>
      <c r="AD8">
        <f>AND(C8&lt;&gt;"",E8&lt;&gt;"",F8="No")</f>
        <v/>
      </c>
      <c r="AE8">
        <f>AND(OR(C8&lt;&gt;"",E8&lt;&gt;""),F8="No")</f>
        <v/>
      </c>
      <c r="AF8">
        <f>AND(D8&lt;&gt;"",E8&lt;&gt;"",F8="No")</f>
        <v/>
      </c>
      <c r="AG8">
        <f>AND(OR(D8&lt;&gt;"",E8&lt;&gt;""),F8="No")</f>
        <v/>
      </c>
    </row>
    <row r="9">
      <c r="A9" t="inlineStr">
        <is>
          <t>M0_ii.2.2</t>
        </is>
      </c>
      <c r="C9" s="27" t="inlineStr">
        <is>
          <t>X</t>
        </is>
      </c>
      <c r="F9" s="47" t="inlineStr">
        <is>
          <t>Yes</t>
        </is>
      </c>
      <c r="H9">
        <f>AND(B9&lt;&gt;"",C9&lt;&gt;"")</f>
        <v/>
      </c>
      <c r="I9">
        <f>OR(B9&lt;&gt;"",C9&lt;&gt;"")</f>
        <v/>
      </c>
      <c r="J9">
        <f>AND(B9&lt;&gt;"",D9&lt;&gt;"")</f>
        <v/>
      </c>
      <c r="K9">
        <f>OR(B9&lt;&gt;"",D9&lt;&gt;"")</f>
        <v/>
      </c>
      <c r="L9">
        <f>AND(B9&lt;&gt;"",E9&lt;&gt;"")</f>
        <v/>
      </c>
      <c r="M9">
        <f>OR(B9&lt;&gt;"",E9&lt;&gt;"")</f>
        <v/>
      </c>
      <c r="N9">
        <f>AND(C9&lt;&gt;"",D9&lt;&gt;"")</f>
        <v/>
      </c>
      <c r="O9">
        <f>OR(C9&lt;&gt;"",D9&lt;&gt;"")</f>
        <v/>
      </c>
      <c r="P9">
        <f>AND(C9&lt;&gt;"",E9&lt;&gt;"")</f>
        <v/>
      </c>
      <c r="Q9">
        <f>OR(C9&lt;&gt;"",E9&lt;&gt;"")</f>
        <v/>
      </c>
      <c r="R9">
        <f>AND(D9&lt;&gt;"",E9&lt;&gt;"")</f>
        <v/>
      </c>
      <c r="S9">
        <f>OR(D9&lt;&gt;"",E9&lt;&gt;"")</f>
        <v/>
      </c>
      <c r="V9">
        <f>AND(B9&lt;&gt;"",C9&lt;&gt;"",F9="No")</f>
        <v/>
      </c>
      <c r="W9">
        <f>AND(OR(B9&lt;&gt;"",C9&lt;&gt;""),F9="No")</f>
        <v/>
      </c>
      <c r="X9">
        <f>AND(B9&lt;&gt;"",D9&lt;&gt;"",F9="No")</f>
        <v/>
      </c>
      <c r="Y9">
        <f>AND(OR(B9&lt;&gt;"",D9&lt;&gt;""),F9="No")</f>
        <v/>
      </c>
      <c r="Z9">
        <f>AND(B9&lt;&gt;"",E9&lt;&gt;"",F9="No")</f>
        <v/>
      </c>
      <c r="AA9">
        <f>AND(OR(B9&lt;&gt;"",E9&lt;&gt;""),F9="No")</f>
        <v/>
      </c>
      <c r="AB9">
        <f>AND(C9&lt;&gt;"",D9&lt;&gt;"",F9="No")</f>
        <v/>
      </c>
      <c r="AC9">
        <f>AND(OR(C9&lt;&gt;"",D9&lt;&gt;""),F9="No")</f>
        <v/>
      </c>
      <c r="AD9">
        <f>AND(C9&lt;&gt;"",E9&lt;&gt;"",F9="No")</f>
        <v/>
      </c>
      <c r="AE9">
        <f>AND(OR(C9&lt;&gt;"",E9&lt;&gt;""),F9="No")</f>
        <v/>
      </c>
      <c r="AF9">
        <f>AND(D9&lt;&gt;"",E9&lt;&gt;"",F9="No")</f>
        <v/>
      </c>
      <c r="AG9">
        <f>AND(OR(D9&lt;&gt;"",E9&lt;&gt;""),F9="No")</f>
        <v/>
      </c>
    </row>
    <row r="10">
      <c r="A10" t="inlineStr">
        <is>
          <t>M0_ii.2.4</t>
        </is>
      </c>
      <c r="C10" s="27" t="inlineStr">
        <is>
          <t>X</t>
        </is>
      </c>
      <c r="F10" s="47" t="inlineStr">
        <is>
          <t>Yes</t>
        </is>
      </c>
      <c r="H10">
        <f>AND(B10&lt;&gt;"",C10&lt;&gt;"")</f>
        <v/>
      </c>
      <c r="I10">
        <f>OR(B10&lt;&gt;"",C10&lt;&gt;"")</f>
        <v/>
      </c>
      <c r="J10">
        <f>AND(B10&lt;&gt;"",D10&lt;&gt;"")</f>
        <v/>
      </c>
      <c r="K10">
        <f>OR(B10&lt;&gt;"",D10&lt;&gt;"")</f>
        <v/>
      </c>
      <c r="L10">
        <f>AND(B10&lt;&gt;"",E10&lt;&gt;"")</f>
        <v/>
      </c>
      <c r="M10">
        <f>OR(B10&lt;&gt;"",E10&lt;&gt;"")</f>
        <v/>
      </c>
      <c r="N10">
        <f>AND(C10&lt;&gt;"",D10&lt;&gt;"")</f>
        <v/>
      </c>
      <c r="O10">
        <f>OR(C10&lt;&gt;"",D10&lt;&gt;"")</f>
        <v/>
      </c>
      <c r="P10">
        <f>AND(C10&lt;&gt;"",E10&lt;&gt;"")</f>
        <v/>
      </c>
      <c r="Q10">
        <f>OR(C10&lt;&gt;"",E10&lt;&gt;"")</f>
        <v/>
      </c>
      <c r="R10">
        <f>AND(D10&lt;&gt;"",E10&lt;&gt;"")</f>
        <v/>
      </c>
      <c r="S10">
        <f>OR(D10&lt;&gt;"",E10&lt;&gt;"")</f>
        <v/>
      </c>
      <c r="V10">
        <f>AND(B10&lt;&gt;"",C10&lt;&gt;"",F10="No")</f>
        <v/>
      </c>
      <c r="W10">
        <f>AND(OR(B10&lt;&gt;"",C10&lt;&gt;""),F10="No")</f>
        <v/>
      </c>
      <c r="X10">
        <f>AND(B10&lt;&gt;"",D10&lt;&gt;"",F10="No")</f>
        <v/>
      </c>
      <c r="Y10">
        <f>AND(OR(B10&lt;&gt;"",D10&lt;&gt;""),F10="No")</f>
        <v/>
      </c>
      <c r="Z10">
        <f>AND(B10&lt;&gt;"",E10&lt;&gt;"",F10="No")</f>
        <v/>
      </c>
      <c r="AA10">
        <f>AND(OR(B10&lt;&gt;"",E10&lt;&gt;""),F10="No")</f>
        <v/>
      </c>
      <c r="AB10">
        <f>AND(C10&lt;&gt;"",D10&lt;&gt;"",F10="No")</f>
        <v/>
      </c>
      <c r="AC10">
        <f>AND(OR(C10&lt;&gt;"",D10&lt;&gt;""),F10="No")</f>
        <v/>
      </c>
      <c r="AD10">
        <f>AND(C10&lt;&gt;"",E10&lt;&gt;"",F10="No")</f>
        <v/>
      </c>
      <c r="AE10">
        <f>AND(OR(C10&lt;&gt;"",E10&lt;&gt;""),F10="No")</f>
        <v/>
      </c>
      <c r="AF10">
        <f>AND(D10&lt;&gt;"",E10&lt;&gt;"",F10="No")</f>
        <v/>
      </c>
      <c r="AG10">
        <f>AND(OR(D10&lt;&gt;"",E10&lt;&gt;""),F10="No")</f>
        <v/>
      </c>
    </row>
    <row r="11">
      <c r="A11" t="inlineStr">
        <is>
          <t>M0_ii.2.5</t>
        </is>
      </c>
      <c r="C11" s="27" t="inlineStr">
        <is>
          <t>X</t>
        </is>
      </c>
      <c r="F11" s="47" t="inlineStr">
        <is>
          <t>Yes</t>
        </is>
      </c>
      <c r="H11">
        <f>AND(B11&lt;&gt;"",C11&lt;&gt;"")</f>
        <v/>
      </c>
      <c r="I11">
        <f>OR(B11&lt;&gt;"",C11&lt;&gt;"")</f>
        <v/>
      </c>
      <c r="J11">
        <f>AND(B11&lt;&gt;"",D11&lt;&gt;"")</f>
        <v/>
      </c>
      <c r="K11">
        <f>OR(B11&lt;&gt;"",D11&lt;&gt;"")</f>
        <v/>
      </c>
      <c r="L11">
        <f>AND(B11&lt;&gt;"",E11&lt;&gt;"")</f>
        <v/>
      </c>
      <c r="M11">
        <f>OR(B11&lt;&gt;"",E11&lt;&gt;"")</f>
        <v/>
      </c>
      <c r="N11">
        <f>AND(C11&lt;&gt;"",D11&lt;&gt;"")</f>
        <v/>
      </c>
      <c r="O11">
        <f>OR(C11&lt;&gt;"",D11&lt;&gt;"")</f>
        <v/>
      </c>
      <c r="P11">
        <f>AND(C11&lt;&gt;"",E11&lt;&gt;"")</f>
        <v/>
      </c>
      <c r="Q11">
        <f>OR(C11&lt;&gt;"",E11&lt;&gt;"")</f>
        <v/>
      </c>
      <c r="R11">
        <f>AND(D11&lt;&gt;"",E11&lt;&gt;"")</f>
        <v/>
      </c>
      <c r="S11">
        <f>OR(D11&lt;&gt;"",E11&lt;&gt;"")</f>
        <v/>
      </c>
      <c r="V11">
        <f>AND(B11&lt;&gt;"",C11&lt;&gt;"",F11="No")</f>
        <v/>
      </c>
      <c r="W11">
        <f>AND(OR(B11&lt;&gt;"",C11&lt;&gt;""),F11="No")</f>
        <v/>
      </c>
      <c r="X11">
        <f>AND(B11&lt;&gt;"",D11&lt;&gt;"",F11="No")</f>
        <v/>
      </c>
      <c r="Y11">
        <f>AND(OR(B11&lt;&gt;"",D11&lt;&gt;""),F11="No")</f>
        <v/>
      </c>
      <c r="Z11">
        <f>AND(B11&lt;&gt;"",E11&lt;&gt;"",F11="No")</f>
        <v/>
      </c>
      <c r="AA11">
        <f>AND(OR(B11&lt;&gt;"",E11&lt;&gt;""),F11="No")</f>
        <v/>
      </c>
      <c r="AB11">
        <f>AND(C11&lt;&gt;"",D11&lt;&gt;"",F11="No")</f>
        <v/>
      </c>
      <c r="AC11">
        <f>AND(OR(C11&lt;&gt;"",D11&lt;&gt;""),F11="No")</f>
        <v/>
      </c>
      <c r="AD11">
        <f>AND(C11&lt;&gt;"",E11&lt;&gt;"",F11="No")</f>
        <v/>
      </c>
      <c r="AE11">
        <f>AND(OR(C11&lt;&gt;"",E11&lt;&gt;""),F11="No")</f>
        <v/>
      </c>
      <c r="AF11">
        <f>AND(D11&lt;&gt;"",E11&lt;&gt;"",F11="No")</f>
        <v/>
      </c>
      <c r="AG11">
        <f>AND(OR(D11&lt;&gt;"",E11&lt;&gt;""),F11="No")</f>
        <v/>
      </c>
    </row>
    <row r="12">
      <c r="A12" t="inlineStr">
        <is>
          <t>M0_iii.2.2</t>
        </is>
      </c>
      <c r="D12" s="27" t="inlineStr">
        <is>
          <t>X</t>
        </is>
      </c>
      <c r="F12" s="47" t="inlineStr">
        <is>
          <t>Yes</t>
        </is>
      </c>
      <c r="H12">
        <f>AND(B12&lt;&gt;"",C12&lt;&gt;"")</f>
        <v/>
      </c>
      <c r="I12">
        <f>OR(B12&lt;&gt;"",C12&lt;&gt;"")</f>
        <v/>
      </c>
      <c r="J12">
        <f>AND(B12&lt;&gt;"",D12&lt;&gt;"")</f>
        <v/>
      </c>
      <c r="K12">
        <f>OR(B12&lt;&gt;"",D12&lt;&gt;"")</f>
        <v/>
      </c>
      <c r="L12">
        <f>AND(B12&lt;&gt;"",E12&lt;&gt;"")</f>
        <v/>
      </c>
      <c r="M12">
        <f>OR(B12&lt;&gt;"",E12&lt;&gt;"")</f>
        <v/>
      </c>
      <c r="N12">
        <f>AND(C12&lt;&gt;"",D12&lt;&gt;"")</f>
        <v/>
      </c>
      <c r="O12">
        <f>OR(C12&lt;&gt;"",D12&lt;&gt;"")</f>
        <v/>
      </c>
      <c r="P12">
        <f>AND(C12&lt;&gt;"",E12&lt;&gt;"")</f>
        <v/>
      </c>
      <c r="Q12">
        <f>OR(C12&lt;&gt;"",E12&lt;&gt;"")</f>
        <v/>
      </c>
      <c r="R12">
        <f>AND(D12&lt;&gt;"",E12&lt;&gt;"")</f>
        <v/>
      </c>
      <c r="S12">
        <f>OR(D12&lt;&gt;"",E12&lt;&gt;"")</f>
        <v/>
      </c>
      <c r="V12">
        <f>AND(B12&lt;&gt;"",C12&lt;&gt;"",F12="No")</f>
        <v/>
      </c>
      <c r="W12">
        <f>AND(OR(B12&lt;&gt;"",C12&lt;&gt;""),F12="No")</f>
        <v/>
      </c>
      <c r="X12">
        <f>AND(B12&lt;&gt;"",D12&lt;&gt;"",F12="No")</f>
        <v/>
      </c>
      <c r="Y12">
        <f>AND(OR(B12&lt;&gt;"",D12&lt;&gt;""),F12="No")</f>
        <v/>
      </c>
      <c r="Z12">
        <f>AND(B12&lt;&gt;"",E12&lt;&gt;"",F12="No")</f>
        <v/>
      </c>
      <c r="AA12">
        <f>AND(OR(B12&lt;&gt;"",E12&lt;&gt;""),F12="No")</f>
        <v/>
      </c>
      <c r="AB12">
        <f>AND(C12&lt;&gt;"",D12&lt;&gt;"",F12="No")</f>
        <v/>
      </c>
      <c r="AC12">
        <f>AND(OR(C12&lt;&gt;"",D12&lt;&gt;""),F12="No")</f>
        <v/>
      </c>
      <c r="AD12">
        <f>AND(C12&lt;&gt;"",E12&lt;&gt;"",F12="No")</f>
        <v/>
      </c>
      <c r="AE12">
        <f>AND(OR(C12&lt;&gt;"",E12&lt;&gt;""),F12="No")</f>
        <v/>
      </c>
      <c r="AF12">
        <f>AND(D12&lt;&gt;"",E12&lt;&gt;"",F12="No")</f>
        <v/>
      </c>
      <c r="AG12">
        <f>AND(OR(D12&lt;&gt;"",E12&lt;&gt;""),F12="No")</f>
        <v/>
      </c>
    </row>
    <row r="13">
      <c r="A13" t="inlineStr">
        <is>
          <t>M0_iii.2.3</t>
        </is>
      </c>
      <c r="D13" s="27" t="inlineStr">
        <is>
          <t>X</t>
        </is>
      </c>
      <c r="F13" s="47" t="inlineStr">
        <is>
          <t>Yes</t>
        </is>
      </c>
      <c r="H13">
        <f>AND(B13&lt;&gt;"",C13&lt;&gt;"")</f>
        <v/>
      </c>
      <c r="I13">
        <f>OR(B13&lt;&gt;"",C13&lt;&gt;"")</f>
        <v/>
      </c>
      <c r="J13">
        <f>AND(B13&lt;&gt;"",D13&lt;&gt;"")</f>
        <v/>
      </c>
      <c r="K13">
        <f>OR(B13&lt;&gt;"",D13&lt;&gt;"")</f>
        <v/>
      </c>
      <c r="L13">
        <f>AND(B13&lt;&gt;"",E13&lt;&gt;"")</f>
        <v/>
      </c>
      <c r="M13">
        <f>OR(B13&lt;&gt;"",E13&lt;&gt;"")</f>
        <v/>
      </c>
      <c r="N13">
        <f>AND(C13&lt;&gt;"",D13&lt;&gt;"")</f>
        <v/>
      </c>
      <c r="O13">
        <f>OR(C13&lt;&gt;"",D13&lt;&gt;"")</f>
        <v/>
      </c>
      <c r="P13">
        <f>AND(C13&lt;&gt;"",E13&lt;&gt;"")</f>
        <v/>
      </c>
      <c r="Q13">
        <f>OR(C13&lt;&gt;"",E13&lt;&gt;"")</f>
        <v/>
      </c>
      <c r="R13">
        <f>AND(D13&lt;&gt;"",E13&lt;&gt;"")</f>
        <v/>
      </c>
      <c r="S13">
        <f>OR(D13&lt;&gt;"",E13&lt;&gt;"")</f>
        <v/>
      </c>
      <c r="V13">
        <f>AND(B13&lt;&gt;"",C13&lt;&gt;"",F13="No")</f>
        <v/>
      </c>
      <c r="W13">
        <f>AND(OR(B13&lt;&gt;"",C13&lt;&gt;""),F13="No")</f>
        <v/>
      </c>
      <c r="X13">
        <f>AND(B13&lt;&gt;"",D13&lt;&gt;"",F13="No")</f>
        <v/>
      </c>
      <c r="Y13">
        <f>AND(OR(B13&lt;&gt;"",D13&lt;&gt;""),F13="No")</f>
        <v/>
      </c>
      <c r="Z13">
        <f>AND(B13&lt;&gt;"",E13&lt;&gt;"",F13="No")</f>
        <v/>
      </c>
      <c r="AA13">
        <f>AND(OR(B13&lt;&gt;"",E13&lt;&gt;""),F13="No")</f>
        <v/>
      </c>
      <c r="AB13">
        <f>AND(C13&lt;&gt;"",D13&lt;&gt;"",F13="No")</f>
        <v/>
      </c>
      <c r="AC13">
        <f>AND(OR(C13&lt;&gt;"",D13&lt;&gt;""),F13="No")</f>
        <v/>
      </c>
      <c r="AD13">
        <f>AND(C13&lt;&gt;"",E13&lt;&gt;"",F13="No")</f>
        <v/>
      </c>
      <c r="AE13">
        <f>AND(OR(C13&lt;&gt;"",E13&lt;&gt;""),F13="No")</f>
        <v/>
      </c>
      <c r="AF13">
        <f>AND(D13&lt;&gt;"",E13&lt;&gt;"",F13="No")</f>
        <v/>
      </c>
      <c r="AG13">
        <f>AND(OR(D13&lt;&gt;"",E13&lt;&gt;""),F13="No")</f>
        <v/>
      </c>
    </row>
    <row r="14">
      <c r="A14" t="inlineStr">
        <is>
          <t>M0_iii.2.4</t>
        </is>
      </c>
      <c r="D14" s="27" t="inlineStr">
        <is>
          <t>X</t>
        </is>
      </c>
      <c r="F14" s="47" t="inlineStr">
        <is>
          <t>Yes</t>
        </is>
      </c>
      <c r="H14">
        <f>AND(B14&lt;&gt;"",C14&lt;&gt;"")</f>
        <v/>
      </c>
      <c r="I14">
        <f>OR(B14&lt;&gt;"",C14&lt;&gt;"")</f>
        <v/>
      </c>
      <c r="J14">
        <f>AND(B14&lt;&gt;"",D14&lt;&gt;"")</f>
        <v/>
      </c>
      <c r="K14">
        <f>OR(B14&lt;&gt;"",D14&lt;&gt;"")</f>
        <v/>
      </c>
      <c r="L14">
        <f>AND(B14&lt;&gt;"",E14&lt;&gt;"")</f>
        <v/>
      </c>
      <c r="M14">
        <f>OR(B14&lt;&gt;"",E14&lt;&gt;"")</f>
        <v/>
      </c>
      <c r="N14">
        <f>AND(C14&lt;&gt;"",D14&lt;&gt;"")</f>
        <v/>
      </c>
      <c r="O14">
        <f>OR(C14&lt;&gt;"",D14&lt;&gt;"")</f>
        <v/>
      </c>
      <c r="P14">
        <f>AND(C14&lt;&gt;"",E14&lt;&gt;"")</f>
        <v/>
      </c>
      <c r="Q14">
        <f>OR(C14&lt;&gt;"",E14&lt;&gt;"")</f>
        <v/>
      </c>
      <c r="R14">
        <f>AND(D14&lt;&gt;"",E14&lt;&gt;"")</f>
        <v/>
      </c>
      <c r="S14">
        <f>OR(D14&lt;&gt;"",E14&lt;&gt;"")</f>
        <v/>
      </c>
      <c r="V14">
        <f>AND(B14&lt;&gt;"",C14&lt;&gt;"",F14="No")</f>
        <v/>
      </c>
      <c r="W14">
        <f>AND(OR(B14&lt;&gt;"",C14&lt;&gt;""),F14="No")</f>
        <v/>
      </c>
      <c r="X14">
        <f>AND(B14&lt;&gt;"",D14&lt;&gt;"",F14="No")</f>
        <v/>
      </c>
      <c r="Y14">
        <f>AND(OR(B14&lt;&gt;"",D14&lt;&gt;""),F14="No")</f>
        <v/>
      </c>
      <c r="Z14">
        <f>AND(B14&lt;&gt;"",E14&lt;&gt;"",F14="No")</f>
        <v/>
      </c>
      <c r="AA14">
        <f>AND(OR(B14&lt;&gt;"",E14&lt;&gt;""),F14="No")</f>
        <v/>
      </c>
      <c r="AB14">
        <f>AND(C14&lt;&gt;"",D14&lt;&gt;"",F14="No")</f>
        <v/>
      </c>
      <c r="AC14">
        <f>AND(OR(C14&lt;&gt;"",D14&lt;&gt;""),F14="No")</f>
        <v/>
      </c>
      <c r="AD14">
        <f>AND(C14&lt;&gt;"",E14&lt;&gt;"",F14="No")</f>
        <v/>
      </c>
      <c r="AE14">
        <f>AND(OR(C14&lt;&gt;"",E14&lt;&gt;""),F14="No")</f>
        <v/>
      </c>
      <c r="AF14">
        <f>AND(D14&lt;&gt;"",E14&lt;&gt;"",F14="No")</f>
        <v/>
      </c>
      <c r="AG14">
        <f>AND(OR(D14&lt;&gt;"",E14&lt;&gt;""),F14="No")</f>
        <v/>
      </c>
    </row>
    <row r="15">
      <c r="A15" s="44" t="inlineStr">
        <is>
          <t>H.3.1</t>
        </is>
      </c>
      <c r="B15" s="27" t="inlineStr">
        <is>
          <t>P</t>
        </is>
      </c>
      <c r="D15" s="27" t="inlineStr">
        <is>
          <t>P</t>
        </is>
      </c>
      <c r="E15" s="27" t="inlineStr">
        <is>
          <t>P</t>
        </is>
      </c>
      <c r="F15" s="47" t="inlineStr">
        <is>
          <t>No</t>
        </is>
      </c>
      <c r="H15">
        <f>AND(B15&lt;&gt;"",C15&lt;&gt;"")</f>
        <v/>
      </c>
      <c r="I15">
        <f>OR(B15&lt;&gt;"",C15&lt;&gt;"")</f>
        <v/>
      </c>
      <c r="J15">
        <f>AND(B15&lt;&gt;"",D15&lt;&gt;"")</f>
        <v/>
      </c>
      <c r="K15">
        <f>OR(B15&lt;&gt;"",D15&lt;&gt;"")</f>
        <v/>
      </c>
      <c r="L15">
        <f>AND(B15&lt;&gt;"",E15&lt;&gt;"")</f>
        <v/>
      </c>
      <c r="M15">
        <f>OR(B15&lt;&gt;"",E15&lt;&gt;"")</f>
        <v/>
      </c>
      <c r="N15">
        <f>AND(C15&lt;&gt;"",D15&lt;&gt;"")</f>
        <v/>
      </c>
      <c r="O15">
        <f>OR(C15&lt;&gt;"",D15&lt;&gt;"")</f>
        <v/>
      </c>
      <c r="P15">
        <f>AND(C15&lt;&gt;"",E15&lt;&gt;"")</f>
        <v/>
      </c>
      <c r="Q15">
        <f>OR(C15&lt;&gt;"",E15&lt;&gt;"")</f>
        <v/>
      </c>
      <c r="R15">
        <f>AND(D15&lt;&gt;"",E15&lt;&gt;"")</f>
        <v/>
      </c>
      <c r="S15">
        <f>OR(D15&lt;&gt;"",E15&lt;&gt;"")</f>
        <v/>
      </c>
      <c r="V15">
        <f>AND(B15&lt;&gt;"",C15&lt;&gt;"",F15="No")</f>
        <v/>
      </c>
      <c r="W15">
        <f>AND(OR(B15&lt;&gt;"",C15&lt;&gt;""),F15="No")</f>
        <v/>
      </c>
      <c r="X15">
        <f>AND(B15&lt;&gt;"",D15&lt;&gt;"",F15="No")</f>
        <v/>
      </c>
      <c r="Y15">
        <f>AND(OR(B15&lt;&gt;"",D15&lt;&gt;""),F15="No")</f>
        <v/>
      </c>
      <c r="Z15">
        <f>AND(B15&lt;&gt;"",E15&lt;&gt;"",F15="No")</f>
        <v/>
      </c>
      <c r="AA15">
        <f>AND(OR(B15&lt;&gt;"",E15&lt;&gt;""),F15="No")</f>
        <v/>
      </c>
      <c r="AB15">
        <f>AND(C15&lt;&gt;"",D15&lt;&gt;"",F15="No")</f>
        <v/>
      </c>
      <c r="AC15">
        <f>AND(OR(C15&lt;&gt;"",D15&lt;&gt;""),F15="No")</f>
        <v/>
      </c>
      <c r="AD15">
        <f>AND(C15&lt;&gt;"",E15&lt;&gt;"",F15="No")</f>
        <v/>
      </c>
      <c r="AE15">
        <f>AND(OR(C15&lt;&gt;"",E15&lt;&gt;""),F15="No")</f>
        <v/>
      </c>
      <c r="AF15">
        <f>AND(D15&lt;&gt;"",E15&lt;&gt;"",F15="No")</f>
        <v/>
      </c>
      <c r="AG15">
        <f>AND(OR(D15&lt;&gt;"",E15&lt;&gt;""),F15="No")</f>
        <v/>
      </c>
    </row>
    <row r="16">
      <c r="A16" t="inlineStr">
        <is>
          <t>M0.3.4</t>
        </is>
      </c>
      <c r="B16" s="27" t="inlineStr">
        <is>
          <t>X</t>
        </is>
      </c>
      <c r="F16" s="47" t="inlineStr">
        <is>
          <t>Yes</t>
        </is>
      </c>
      <c r="H16">
        <f>AND(B16&lt;&gt;"",C16&lt;&gt;"")</f>
        <v/>
      </c>
      <c r="I16">
        <f>OR(B16&lt;&gt;"",C16&lt;&gt;"")</f>
        <v/>
      </c>
      <c r="J16">
        <f>AND(B16&lt;&gt;"",D16&lt;&gt;"")</f>
        <v/>
      </c>
      <c r="K16">
        <f>OR(B16&lt;&gt;"",D16&lt;&gt;"")</f>
        <v/>
      </c>
      <c r="L16">
        <f>AND(B16&lt;&gt;"",E16&lt;&gt;"")</f>
        <v/>
      </c>
      <c r="M16">
        <f>OR(B16&lt;&gt;"",E16&lt;&gt;"")</f>
        <v/>
      </c>
      <c r="N16">
        <f>AND(C16&lt;&gt;"",D16&lt;&gt;"")</f>
        <v/>
      </c>
      <c r="O16">
        <f>OR(C16&lt;&gt;"",D16&lt;&gt;"")</f>
        <v/>
      </c>
      <c r="P16">
        <f>AND(C16&lt;&gt;"",E16&lt;&gt;"")</f>
        <v/>
      </c>
      <c r="Q16">
        <f>OR(C16&lt;&gt;"",E16&lt;&gt;"")</f>
        <v/>
      </c>
      <c r="R16">
        <f>AND(D16&lt;&gt;"",E16&lt;&gt;"")</f>
        <v/>
      </c>
      <c r="S16">
        <f>OR(D16&lt;&gt;"",E16&lt;&gt;"")</f>
        <v/>
      </c>
      <c r="V16">
        <f>AND(B16&lt;&gt;"",C16&lt;&gt;"",F16="No")</f>
        <v/>
      </c>
      <c r="W16">
        <f>AND(OR(B16&lt;&gt;"",C16&lt;&gt;""),F16="No")</f>
        <v/>
      </c>
      <c r="X16">
        <f>AND(B16&lt;&gt;"",D16&lt;&gt;"",F16="No")</f>
        <v/>
      </c>
      <c r="Y16">
        <f>AND(OR(B16&lt;&gt;"",D16&lt;&gt;""),F16="No")</f>
        <v/>
      </c>
      <c r="Z16">
        <f>AND(B16&lt;&gt;"",E16&lt;&gt;"",F16="No")</f>
        <v/>
      </c>
      <c r="AA16">
        <f>AND(OR(B16&lt;&gt;"",E16&lt;&gt;""),F16="No")</f>
        <v/>
      </c>
      <c r="AB16">
        <f>AND(C16&lt;&gt;"",D16&lt;&gt;"",F16="No")</f>
        <v/>
      </c>
      <c r="AC16">
        <f>AND(OR(C16&lt;&gt;"",D16&lt;&gt;""),F16="No")</f>
        <v/>
      </c>
      <c r="AD16">
        <f>AND(C16&lt;&gt;"",E16&lt;&gt;"",F16="No")</f>
        <v/>
      </c>
      <c r="AE16">
        <f>AND(OR(C16&lt;&gt;"",E16&lt;&gt;""),F16="No")</f>
        <v/>
      </c>
      <c r="AF16">
        <f>AND(D16&lt;&gt;"",E16&lt;&gt;"",F16="No")</f>
        <v/>
      </c>
      <c r="AG16">
        <f>AND(OR(D16&lt;&gt;"",E16&lt;&gt;""),F16="No")</f>
        <v/>
      </c>
    </row>
    <row r="17">
      <c r="A17" t="inlineStr">
        <is>
          <t>M0_ii.3.1; M0_iii.3.1</t>
        </is>
      </c>
      <c r="C17" s="27" t="inlineStr">
        <is>
          <t>X</t>
        </is>
      </c>
      <c r="D17" s="27" t="inlineStr">
        <is>
          <t>X</t>
        </is>
      </c>
      <c r="F17" s="47" t="inlineStr">
        <is>
          <t>Yes</t>
        </is>
      </c>
      <c r="H17">
        <f>AND(B17&lt;&gt;"",C17&lt;&gt;"")</f>
        <v/>
      </c>
      <c r="I17">
        <f>OR(B17&lt;&gt;"",C17&lt;&gt;"")</f>
        <v/>
      </c>
      <c r="J17">
        <f>AND(B17&lt;&gt;"",D17&lt;&gt;"")</f>
        <v/>
      </c>
      <c r="K17">
        <f>OR(B17&lt;&gt;"",D17&lt;&gt;"")</f>
        <v/>
      </c>
      <c r="L17">
        <f>AND(B17&lt;&gt;"",E17&lt;&gt;"")</f>
        <v/>
      </c>
      <c r="M17">
        <f>OR(B17&lt;&gt;"",E17&lt;&gt;"")</f>
        <v/>
      </c>
      <c r="N17">
        <f>AND(C17&lt;&gt;"",D17&lt;&gt;"")</f>
        <v/>
      </c>
      <c r="O17">
        <f>OR(C17&lt;&gt;"",D17&lt;&gt;"")</f>
        <v/>
      </c>
      <c r="P17">
        <f>AND(C17&lt;&gt;"",E17&lt;&gt;"")</f>
        <v/>
      </c>
      <c r="Q17">
        <f>OR(C17&lt;&gt;"",E17&lt;&gt;"")</f>
        <v/>
      </c>
      <c r="R17">
        <f>AND(D17&lt;&gt;"",E17&lt;&gt;"")</f>
        <v/>
      </c>
      <c r="S17">
        <f>OR(D17&lt;&gt;"",E17&lt;&gt;"")</f>
        <v/>
      </c>
      <c r="V17">
        <f>AND(B17&lt;&gt;"",C17&lt;&gt;"",F17="No")</f>
        <v/>
      </c>
      <c r="W17">
        <f>AND(OR(B17&lt;&gt;"",C17&lt;&gt;""),F17="No")</f>
        <v/>
      </c>
      <c r="X17">
        <f>AND(B17&lt;&gt;"",D17&lt;&gt;"",F17="No")</f>
        <v/>
      </c>
      <c r="Y17">
        <f>AND(OR(B17&lt;&gt;"",D17&lt;&gt;""),F17="No")</f>
        <v/>
      </c>
      <c r="Z17">
        <f>AND(B17&lt;&gt;"",E17&lt;&gt;"",F17="No")</f>
        <v/>
      </c>
      <c r="AA17">
        <f>AND(OR(B17&lt;&gt;"",E17&lt;&gt;""),F17="No")</f>
        <v/>
      </c>
      <c r="AB17">
        <f>AND(C17&lt;&gt;"",D17&lt;&gt;"",F17="No")</f>
        <v/>
      </c>
      <c r="AC17">
        <f>AND(OR(C17&lt;&gt;"",D17&lt;&gt;""),F17="No")</f>
        <v/>
      </c>
      <c r="AD17">
        <f>AND(C17&lt;&gt;"",E17&lt;&gt;"",F17="No")</f>
        <v/>
      </c>
      <c r="AE17">
        <f>AND(OR(C17&lt;&gt;"",E17&lt;&gt;""),F17="No")</f>
        <v/>
      </c>
      <c r="AF17">
        <f>AND(D17&lt;&gt;"",E17&lt;&gt;"",F17="No")</f>
        <v/>
      </c>
      <c r="AG17">
        <f>AND(OR(D17&lt;&gt;"",E17&lt;&gt;""),F17="No")</f>
        <v/>
      </c>
    </row>
    <row r="18">
      <c r="A18" t="inlineStr">
        <is>
          <t>M0_ii.3.2; M0_iv.3.2</t>
        </is>
      </c>
      <c r="C18" s="27" t="inlineStr">
        <is>
          <t>X</t>
        </is>
      </c>
      <c r="E18" s="27" t="inlineStr">
        <is>
          <t>X</t>
        </is>
      </c>
      <c r="F18" s="47" t="inlineStr">
        <is>
          <t>Yes</t>
        </is>
      </c>
      <c r="H18">
        <f>AND(B18&lt;&gt;"",C18&lt;&gt;"")</f>
        <v/>
      </c>
      <c r="I18">
        <f>OR(B18&lt;&gt;"",C18&lt;&gt;"")</f>
        <v/>
      </c>
      <c r="J18">
        <f>AND(B18&lt;&gt;"",D18&lt;&gt;"")</f>
        <v/>
      </c>
      <c r="K18">
        <f>OR(B18&lt;&gt;"",D18&lt;&gt;"")</f>
        <v/>
      </c>
      <c r="L18">
        <f>AND(B18&lt;&gt;"",E18&lt;&gt;"")</f>
        <v/>
      </c>
      <c r="M18">
        <f>OR(B18&lt;&gt;"",E18&lt;&gt;"")</f>
        <v/>
      </c>
      <c r="N18">
        <f>AND(C18&lt;&gt;"",D18&lt;&gt;"")</f>
        <v/>
      </c>
      <c r="O18">
        <f>OR(C18&lt;&gt;"",D18&lt;&gt;"")</f>
        <v/>
      </c>
      <c r="P18">
        <f>AND(C18&lt;&gt;"",E18&lt;&gt;"")</f>
        <v/>
      </c>
      <c r="Q18">
        <f>OR(C18&lt;&gt;"",E18&lt;&gt;"")</f>
        <v/>
      </c>
      <c r="R18">
        <f>AND(D18&lt;&gt;"",E18&lt;&gt;"")</f>
        <v/>
      </c>
      <c r="S18">
        <f>OR(D18&lt;&gt;"",E18&lt;&gt;"")</f>
        <v/>
      </c>
      <c r="V18">
        <f>AND(B18&lt;&gt;"",C18&lt;&gt;"",F18="No")</f>
        <v/>
      </c>
      <c r="W18">
        <f>AND(OR(B18&lt;&gt;"",C18&lt;&gt;""),F18="No")</f>
        <v/>
      </c>
      <c r="X18">
        <f>AND(B18&lt;&gt;"",D18&lt;&gt;"",F18="No")</f>
        <v/>
      </c>
      <c r="Y18">
        <f>AND(OR(B18&lt;&gt;"",D18&lt;&gt;""),F18="No")</f>
        <v/>
      </c>
      <c r="Z18">
        <f>AND(B18&lt;&gt;"",E18&lt;&gt;"",F18="No")</f>
        <v/>
      </c>
      <c r="AA18">
        <f>AND(OR(B18&lt;&gt;"",E18&lt;&gt;""),F18="No")</f>
        <v/>
      </c>
      <c r="AB18">
        <f>AND(C18&lt;&gt;"",D18&lt;&gt;"",F18="No")</f>
        <v/>
      </c>
      <c r="AC18">
        <f>AND(OR(C18&lt;&gt;"",D18&lt;&gt;""),F18="No")</f>
        <v/>
      </c>
      <c r="AD18">
        <f>AND(C18&lt;&gt;"",E18&lt;&gt;"",F18="No")</f>
        <v/>
      </c>
      <c r="AE18">
        <f>AND(OR(C18&lt;&gt;"",E18&lt;&gt;""),F18="No")</f>
        <v/>
      </c>
      <c r="AF18">
        <f>AND(D18&lt;&gt;"",E18&lt;&gt;"",F18="No")</f>
        <v/>
      </c>
      <c r="AG18">
        <f>AND(OR(D18&lt;&gt;"",E18&lt;&gt;""),F18="No")</f>
        <v/>
      </c>
    </row>
    <row r="19">
      <c r="A19" t="inlineStr">
        <is>
          <t>M0_ii.3.3; M0_iv.3.3</t>
        </is>
      </c>
      <c r="C19" s="27" t="inlineStr">
        <is>
          <t>X</t>
        </is>
      </c>
      <c r="E19" s="27" t="inlineStr">
        <is>
          <t>X</t>
        </is>
      </c>
      <c r="F19" s="47" t="inlineStr">
        <is>
          <t>Yes</t>
        </is>
      </c>
      <c r="H19">
        <f>AND(B19&lt;&gt;"",C19&lt;&gt;"")</f>
        <v/>
      </c>
      <c r="I19">
        <f>OR(B19&lt;&gt;"",C19&lt;&gt;"")</f>
        <v/>
      </c>
      <c r="J19">
        <f>AND(B19&lt;&gt;"",D19&lt;&gt;"")</f>
        <v/>
      </c>
      <c r="K19">
        <f>OR(B19&lt;&gt;"",D19&lt;&gt;"")</f>
        <v/>
      </c>
      <c r="L19">
        <f>AND(B19&lt;&gt;"",E19&lt;&gt;"")</f>
        <v/>
      </c>
      <c r="M19">
        <f>OR(B19&lt;&gt;"",E19&lt;&gt;"")</f>
        <v/>
      </c>
      <c r="N19">
        <f>AND(C19&lt;&gt;"",D19&lt;&gt;"")</f>
        <v/>
      </c>
      <c r="O19">
        <f>OR(C19&lt;&gt;"",D19&lt;&gt;"")</f>
        <v/>
      </c>
      <c r="P19">
        <f>AND(C19&lt;&gt;"",E19&lt;&gt;"")</f>
        <v/>
      </c>
      <c r="Q19">
        <f>OR(C19&lt;&gt;"",E19&lt;&gt;"")</f>
        <v/>
      </c>
      <c r="R19">
        <f>AND(D19&lt;&gt;"",E19&lt;&gt;"")</f>
        <v/>
      </c>
      <c r="S19">
        <f>OR(D19&lt;&gt;"",E19&lt;&gt;"")</f>
        <v/>
      </c>
      <c r="V19">
        <f>AND(B19&lt;&gt;"",C19&lt;&gt;"",F19="No")</f>
        <v/>
      </c>
      <c r="W19">
        <f>AND(OR(B19&lt;&gt;"",C19&lt;&gt;""),F19="No")</f>
        <v/>
      </c>
      <c r="X19">
        <f>AND(B19&lt;&gt;"",D19&lt;&gt;"",F19="No")</f>
        <v/>
      </c>
      <c r="Y19">
        <f>AND(OR(B19&lt;&gt;"",D19&lt;&gt;""),F19="No")</f>
        <v/>
      </c>
      <c r="Z19">
        <f>AND(B19&lt;&gt;"",E19&lt;&gt;"",F19="No")</f>
        <v/>
      </c>
      <c r="AA19">
        <f>AND(OR(B19&lt;&gt;"",E19&lt;&gt;""),F19="No")</f>
        <v/>
      </c>
      <c r="AB19">
        <f>AND(C19&lt;&gt;"",D19&lt;&gt;"",F19="No")</f>
        <v/>
      </c>
      <c r="AC19">
        <f>AND(OR(C19&lt;&gt;"",D19&lt;&gt;""),F19="No")</f>
        <v/>
      </c>
      <c r="AD19">
        <f>AND(C19&lt;&gt;"",E19&lt;&gt;"",F19="No")</f>
        <v/>
      </c>
      <c r="AE19">
        <f>AND(OR(C19&lt;&gt;"",E19&lt;&gt;""),F19="No")</f>
        <v/>
      </c>
      <c r="AF19">
        <f>AND(D19&lt;&gt;"",E19&lt;&gt;"",F19="No")</f>
        <v/>
      </c>
      <c r="AG19">
        <f>AND(OR(D19&lt;&gt;"",E19&lt;&gt;""),F19="No")</f>
        <v/>
      </c>
    </row>
    <row r="20">
      <c r="A20" s="44" t="inlineStr">
        <is>
          <t>H.4.7</t>
        </is>
      </c>
      <c r="B20" s="27" t="inlineStr">
        <is>
          <t>X</t>
        </is>
      </c>
      <c r="C20" s="27" t="inlineStr">
        <is>
          <t>X</t>
        </is>
      </c>
      <c r="D20" s="27" t="inlineStr">
        <is>
          <t>X</t>
        </is>
      </c>
      <c r="E20" s="27" t="inlineStr">
        <is>
          <t>X</t>
        </is>
      </c>
      <c r="F20" s="47" t="inlineStr">
        <is>
          <t>No</t>
        </is>
      </c>
      <c r="H20">
        <f>AND(B20&lt;&gt;"",C20&lt;&gt;"")</f>
        <v/>
      </c>
      <c r="I20">
        <f>OR(B20&lt;&gt;"",C20&lt;&gt;"")</f>
        <v/>
      </c>
      <c r="J20">
        <f>AND(B20&lt;&gt;"",D20&lt;&gt;"")</f>
        <v/>
      </c>
      <c r="K20">
        <f>OR(B20&lt;&gt;"",D20&lt;&gt;"")</f>
        <v/>
      </c>
      <c r="L20">
        <f>AND(B20&lt;&gt;"",E20&lt;&gt;"")</f>
        <v/>
      </c>
      <c r="M20">
        <f>OR(B20&lt;&gt;"",E20&lt;&gt;"")</f>
        <v/>
      </c>
      <c r="N20">
        <f>AND(C20&lt;&gt;"",D20&lt;&gt;"")</f>
        <v/>
      </c>
      <c r="O20">
        <f>OR(C20&lt;&gt;"",D20&lt;&gt;"")</f>
        <v/>
      </c>
      <c r="P20">
        <f>AND(C20&lt;&gt;"",E20&lt;&gt;"")</f>
        <v/>
      </c>
      <c r="Q20">
        <f>OR(C20&lt;&gt;"",E20&lt;&gt;"")</f>
        <v/>
      </c>
      <c r="R20">
        <f>AND(D20&lt;&gt;"",E20&lt;&gt;"")</f>
        <v/>
      </c>
      <c r="S20">
        <f>OR(D20&lt;&gt;"",E20&lt;&gt;"")</f>
        <v/>
      </c>
      <c r="V20">
        <f>AND(B20&lt;&gt;"",C20&lt;&gt;"",F20="No")</f>
        <v/>
      </c>
      <c r="W20">
        <f>AND(OR(B20&lt;&gt;"",C20&lt;&gt;""),F20="No")</f>
        <v/>
      </c>
      <c r="X20">
        <f>AND(B20&lt;&gt;"",D20&lt;&gt;"",F20="No")</f>
        <v/>
      </c>
      <c r="Y20">
        <f>AND(OR(B20&lt;&gt;"",D20&lt;&gt;""),F20="No")</f>
        <v/>
      </c>
      <c r="Z20">
        <f>AND(B20&lt;&gt;"",E20&lt;&gt;"",F20="No")</f>
        <v/>
      </c>
      <c r="AA20">
        <f>AND(OR(B20&lt;&gt;"",E20&lt;&gt;""),F20="No")</f>
        <v/>
      </c>
      <c r="AB20">
        <f>AND(C20&lt;&gt;"",D20&lt;&gt;"",F20="No")</f>
        <v/>
      </c>
      <c r="AC20">
        <f>AND(OR(C20&lt;&gt;"",D20&lt;&gt;""),F20="No")</f>
        <v/>
      </c>
      <c r="AD20">
        <f>AND(C20&lt;&gt;"",E20&lt;&gt;"",F20="No")</f>
        <v/>
      </c>
      <c r="AE20">
        <f>AND(OR(C20&lt;&gt;"",E20&lt;&gt;""),F20="No")</f>
        <v/>
      </c>
      <c r="AF20">
        <f>AND(D20&lt;&gt;"",E20&lt;&gt;"",F20="No")</f>
        <v/>
      </c>
      <c r="AG20">
        <f>AND(OR(D20&lt;&gt;"",E20&lt;&gt;""),F20="No")</f>
        <v/>
      </c>
    </row>
    <row r="21">
      <c r="A21" s="44" t="inlineStr">
        <is>
          <t>GS.4.10</t>
        </is>
      </c>
      <c r="B21" s="27" t="inlineStr">
        <is>
          <t>X</t>
        </is>
      </c>
      <c r="C21" s="27" t="inlineStr">
        <is>
          <t>X</t>
        </is>
      </c>
      <c r="D21" s="27" t="inlineStr">
        <is>
          <t>X</t>
        </is>
      </c>
      <c r="E21" s="27" t="inlineStr">
        <is>
          <t>X</t>
        </is>
      </c>
      <c r="F21" s="47" t="inlineStr">
        <is>
          <t>No</t>
        </is>
      </c>
      <c r="H21">
        <f>AND(B21&lt;&gt;"",C21&lt;&gt;"")</f>
        <v/>
      </c>
      <c r="I21">
        <f>OR(B21&lt;&gt;"",C21&lt;&gt;"")</f>
        <v/>
      </c>
      <c r="J21">
        <f>AND(B21&lt;&gt;"",D21&lt;&gt;"")</f>
        <v/>
      </c>
      <c r="K21">
        <f>OR(B21&lt;&gt;"",D21&lt;&gt;"")</f>
        <v/>
      </c>
      <c r="L21">
        <f>AND(B21&lt;&gt;"",E21&lt;&gt;"")</f>
        <v/>
      </c>
      <c r="M21">
        <f>OR(B21&lt;&gt;"",E21&lt;&gt;"")</f>
        <v/>
      </c>
      <c r="N21">
        <f>AND(C21&lt;&gt;"",D21&lt;&gt;"")</f>
        <v/>
      </c>
      <c r="O21">
        <f>OR(C21&lt;&gt;"",D21&lt;&gt;"")</f>
        <v/>
      </c>
      <c r="P21">
        <f>AND(C21&lt;&gt;"",E21&lt;&gt;"")</f>
        <v/>
      </c>
      <c r="Q21">
        <f>OR(C21&lt;&gt;"",E21&lt;&gt;"")</f>
        <v/>
      </c>
      <c r="R21">
        <f>AND(D21&lt;&gt;"",E21&lt;&gt;"")</f>
        <v/>
      </c>
      <c r="S21">
        <f>OR(D21&lt;&gt;"",E21&lt;&gt;"")</f>
        <v/>
      </c>
      <c r="V21">
        <f>AND(B21&lt;&gt;"",C21&lt;&gt;"",F21="No")</f>
        <v/>
      </c>
      <c r="W21">
        <f>AND(OR(B21&lt;&gt;"",C21&lt;&gt;""),F21="No")</f>
        <v/>
      </c>
      <c r="X21">
        <f>AND(B21&lt;&gt;"",D21&lt;&gt;"",F21="No")</f>
        <v/>
      </c>
      <c r="Y21">
        <f>AND(OR(B21&lt;&gt;"",D21&lt;&gt;""),F21="No")</f>
        <v/>
      </c>
      <c r="Z21">
        <f>AND(B21&lt;&gt;"",E21&lt;&gt;"",F21="No")</f>
        <v/>
      </c>
      <c r="AA21">
        <f>AND(OR(B21&lt;&gt;"",E21&lt;&gt;""),F21="No")</f>
        <v/>
      </c>
      <c r="AB21">
        <f>AND(C21&lt;&gt;"",D21&lt;&gt;"",F21="No")</f>
        <v/>
      </c>
      <c r="AC21">
        <f>AND(OR(C21&lt;&gt;"",D21&lt;&gt;""),F21="No")</f>
        <v/>
      </c>
      <c r="AD21">
        <f>AND(C21&lt;&gt;"",E21&lt;&gt;"",F21="No")</f>
        <v/>
      </c>
      <c r="AE21">
        <f>AND(OR(C21&lt;&gt;"",E21&lt;&gt;""),F21="No")</f>
        <v/>
      </c>
      <c r="AF21">
        <f>AND(D21&lt;&gt;"",E21&lt;&gt;"",F21="No")</f>
        <v/>
      </c>
      <c r="AG21">
        <f>AND(OR(D21&lt;&gt;"",E21&lt;&gt;""),F21="No")</f>
        <v/>
      </c>
    </row>
    <row r="22">
      <c r="A22" s="44" t="inlineStr">
        <is>
          <t>GS.4.11</t>
        </is>
      </c>
      <c r="B22" s="27" t="inlineStr">
        <is>
          <t>X</t>
        </is>
      </c>
      <c r="C22" s="27" t="inlineStr">
        <is>
          <t>X</t>
        </is>
      </c>
      <c r="D22" s="27" t="inlineStr">
        <is>
          <t>X</t>
        </is>
      </c>
      <c r="E22" s="27" t="inlineStr">
        <is>
          <t>X</t>
        </is>
      </c>
      <c r="F22" s="47" t="inlineStr">
        <is>
          <t>No</t>
        </is>
      </c>
      <c r="H22">
        <f>AND(B22&lt;&gt;"",C22&lt;&gt;"")</f>
        <v/>
      </c>
      <c r="I22">
        <f>OR(B22&lt;&gt;"",C22&lt;&gt;"")</f>
        <v/>
      </c>
      <c r="J22">
        <f>AND(B22&lt;&gt;"",D22&lt;&gt;"")</f>
        <v/>
      </c>
      <c r="K22">
        <f>OR(B22&lt;&gt;"",D22&lt;&gt;"")</f>
        <v/>
      </c>
      <c r="L22">
        <f>AND(B22&lt;&gt;"",E22&lt;&gt;"")</f>
        <v/>
      </c>
      <c r="M22">
        <f>OR(B22&lt;&gt;"",E22&lt;&gt;"")</f>
        <v/>
      </c>
      <c r="N22">
        <f>AND(C22&lt;&gt;"",D22&lt;&gt;"")</f>
        <v/>
      </c>
      <c r="O22">
        <f>OR(C22&lt;&gt;"",D22&lt;&gt;"")</f>
        <v/>
      </c>
      <c r="P22">
        <f>AND(C22&lt;&gt;"",E22&lt;&gt;"")</f>
        <v/>
      </c>
      <c r="Q22">
        <f>OR(C22&lt;&gt;"",E22&lt;&gt;"")</f>
        <v/>
      </c>
      <c r="R22">
        <f>AND(D22&lt;&gt;"",E22&lt;&gt;"")</f>
        <v/>
      </c>
      <c r="S22">
        <f>OR(D22&lt;&gt;"",E22&lt;&gt;"")</f>
        <v/>
      </c>
      <c r="V22">
        <f>AND(B22&lt;&gt;"",C22&lt;&gt;"",F22="No")</f>
        <v/>
      </c>
      <c r="W22">
        <f>AND(OR(B22&lt;&gt;"",C22&lt;&gt;""),F22="No")</f>
        <v/>
      </c>
      <c r="X22">
        <f>AND(B22&lt;&gt;"",D22&lt;&gt;"",F22="No")</f>
        <v/>
      </c>
      <c r="Y22">
        <f>AND(OR(B22&lt;&gt;"",D22&lt;&gt;""),F22="No")</f>
        <v/>
      </c>
      <c r="Z22">
        <f>AND(B22&lt;&gt;"",E22&lt;&gt;"",F22="No")</f>
        <v/>
      </c>
      <c r="AA22">
        <f>AND(OR(B22&lt;&gt;"",E22&lt;&gt;""),F22="No")</f>
        <v/>
      </c>
      <c r="AB22">
        <f>AND(C22&lt;&gt;"",D22&lt;&gt;"",F22="No")</f>
        <v/>
      </c>
      <c r="AC22">
        <f>AND(OR(C22&lt;&gt;"",D22&lt;&gt;""),F22="No")</f>
        <v/>
      </c>
      <c r="AD22">
        <f>AND(C22&lt;&gt;"",E22&lt;&gt;"",F22="No")</f>
        <v/>
      </c>
      <c r="AE22">
        <f>AND(OR(C22&lt;&gt;"",E22&lt;&gt;""),F22="No")</f>
        <v/>
      </c>
      <c r="AF22">
        <f>AND(D22&lt;&gt;"",E22&lt;&gt;"",F22="No")</f>
        <v/>
      </c>
      <c r="AG22">
        <f>AND(OR(D22&lt;&gt;"",E22&lt;&gt;""),F22="No")</f>
        <v/>
      </c>
    </row>
    <row r="23">
      <c r="A23" s="44" t="inlineStr">
        <is>
          <t>GS.4.12</t>
        </is>
      </c>
      <c r="B23" s="27" t="inlineStr">
        <is>
          <t>X</t>
        </is>
      </c>
      <c r="C23" s="27" t="inlineStr">
        <is>
          <t>X</t>
        </is>
      </c>
      <c r="D23" s="27" t="inlineStr">
        <is>
          <t>X</t>
        </is>
      </c>
      <c r="E23" s="27" t="inlineStr">
        <is>
          <t>X</t>
        </is>
      </c>
      <c r="F23" s="47" t="inlineStr">
        <is>
          <t>No</t>
        </is>
      </c>
      <c r="H23">
        <f>AND(B23&lt;&gt;"",C23&lt;&gt;"")</f>
        <v/>
      </c>
      <c r="I23">
        <f>OR(B23&lt;&gt;"",C23&lt;&gt;"")</f>
        <v/>
      </c>
      <c r="J23">
        <f>AND(B23&lt;&gt;"",D23&lt;&gt;"")</f>
        <v/>
      </c>
      <c r="K23">
        <f>OR(B23&lt;&gt;"",D23&lt;&gt;"")</f>
        <v/>
      </c>
      <c r="L23">
        <f>AND(B23&lt;&gt;"",E23&lt;&gt;"")</f>
        <v/>
      </c>
      <c r="M23">
        <f>OR(B23&lt;&gt;"",E23&lt;&gt;"")</f>
        <v/>
      </c>
      <c r="N23">
        <f>AND(C23&lt;&gt;"",D23&lt;&gt;"")</f>
        <v/>
      </c>
      <c r="O23">
        <f>OR(C23&lt;&gt;"",D23&lt;&gt;"")</f>
        <v/>
      </c>
      <c r="P23">
        <f>AND(C23&lt;&gt;"",E23&lt;&gt;"")</f>
        <v/>
      </c>
      <c r="Q23">
        <f>OR(C23&lt;&gt;"",E23&lt;&gt;"")</f>
        <v/>
      </c>
      <c r="R23">
        <f>AND(D23&lt;&gt;"",E23&lt;&gt;"")</f>
        <v/>
      </c>
      <c r="S23">
        <f>OR(D23&lt;&gt;"",E23&lt;&gt;"")</f>
        <v/>
      </c>
      <c r="V23">
        <f>AND(B23&lt;&gt;"",C23&lt;&gt;"",F23="No")</f>
        <v/>
      </c>
      <c r="W23">
        <f>AND(OR(B23&lt;&gt;"",C23&lt;&gt;""),F23="No")</f>
        <v/>
      </c>
      <c r="X23">
        <f>AND(B23&lt;&gt;"",D23&lt;&gt;"",F23="No")</f>
        <v/>
      </c>
      <c r="Y23">
        <f>AND(OR(B23&lt;&gt;"",D23&lt;&gt;""),F23="No")</f>
        <v/>
      </c>
      <c r="Z23">
        <f>AND(B23&lt;&gt;"",E23&lt;&gt;"",F23="No")</f>
        <v/>
      </c>
      <c r="AA23">
        <f>AND(OR(B23&lt;&gt;"",E23&lt;&gt;""),F23="No")</f>
        <v/>
      </c>
      <c r="AB23">
        <f>AND(C23&lt;&gt;"",D23&lt;&gt;"",F23="No")</f>
        <v/>
      </c>
      <c r="AC23">
        <f>AND(OR(C23&lt;&gt;"",D23&lt;&gt;""),F23="No")</f>
        <v/>
      </c>
      <c r="AD23">
        <f>AND(C23&lt;&gt;"",E23&lt;&gt;"",F23="No")</f>
        <v/>
      </c>
      <c r="AE23">
        <f>AND(OR(C23&lt;&gt;"",E23&lt;&gt;""),F23="No")</f>
        <v/>
      </c>
      <c r="AF23">
        <f>AND(D23&lt;&gt;"",E23&lt;&gt;"",F23="No")</f>
        <v/>
      </c>
      <c r="AG23">
        <f>AND(OR(D23&lt;&gt;"",E23&lt;&gt;""),F23="No")</f>
        <v/>
      </c>
    </row>
    <row r="24">
      <c r="A24" s="44" t="inlineStr">
        <is>
          <t>GS.4.18</t>
        </is>
      </c>
      <c r="D24" s="27" t="inlineStr">
        <is>
          <t>X</t>
        </is>
      </c>
      <c r="F24" s="47" t="inlineStr">
        <is>
          <t>No</t>
        </is>
      </c>
      <c r="H24">
        <f>AND(B24&lt;&gt;"",C24&lt;&gt;"")</f>
        <v/>
      </c>
      <c r="I24">
        <f>OR(B24&lt;&gt;"",C24&lt;&gt;"")</f>
        <v/>
      </c>
      <c r="J24">
        <f>AND(B24&lt;&gt;"",D24&lt;&gt;"")</f>
        <v/>
      </c>
      <c r="K24">
        <f>OR(B24&lt;&gt;"",D24&lt;&gt;"")</f>
        <v/>
      </c>
      <c r="L24">
        <f>AND(B24&lt;&gt;"",E24&lt;&gt;"")</f>
        <v/>
      </c>
      <c r="M24">
        <f>OR(B24&lt;&gt;"",E24&lt;&gt;"")</f>
        <v/>
      </c>
      <c r="N24">
        <f>AND(C24&lt;&gt;"",D24&lt;&gt;"")</f>
        <v/>
      </c>
      <c r="O24">
        <f>OR(C24&lt;&gt;"",D24&lt;&gt;"")</f>
        <v/>
      </c>
      <c r="P24">
        <f>AND(C24&lt;&gt;"",E24&lt;&gt;"")</f>
        <v/>
      </c>
      <c r="Q24">
        <f>OR(C24&lt;&gt;"",E24&lt;&gt;"")</f>
        <v/>
      </c>
      <c r="R24">
        <f>AND(D24&lt;&gt;"",E24&lt;&gt;"")</f>
        <v/>
      </c>
      <c r="S24">
        <f>OR(D24&lt;&gt;"",E24&lt;&gt;"")</f>
        <v/>
      </c>
      <c r="V24">
        <f>AND(B24&lt;&gt;"",C24&lt;&gt;"",F24="No")</f>
        <v/>
      </c>
      <c r="W24">
        <f>AND(OR(B24&lt;&gt;"",C24&lt;&gt;""),F24="No")</f>
        <v/>
      </c>
      <c r="X24">
        <f>AND(B24&lt;&gt;"",D24&lt;&gt;"",F24="No")</f>
        <v/>
      </c>
      <c r="Y24">
        <f>AND(OR(B24&lt;&gt;"",D24&lt;&gt;""),F24="No")</f>
        <v/>
      </c>
      <c r="Z24">
        <f>AND(B24&lt;&gt;"",E24&lt;&gt;"",F24="No")</f>
        <v/>
      </c>
      <c r="AA24">
        <f>AND(OR(B24&lt;&gt;"",E24&lt;&gt;""),F24="No")</f>
        <v/>
      </c>
      <c r="AB24">
        <f>AND(C24&lt;&gt;"",D24&lt;&gt;"",F24="No")</f>
        <v/>
      </c>
      <c r="AC24">
        <f>AND(OR(C24&lt;&gt;"",D24&lt;&gt;""),F24="No")</f>
        <v/>
      </c>
      <c r="AD24">
        <f>AND(C24&lt;&gt;"",E24&lt;&gt;"",F24="No")</f>
        <v/>
      </c>
      <c r="AE24">
        <f>AND(OR(C24&lt;&gt;"",E24&lt;&gt;""),F24="No")</f>
        <v/>
      </c>
      <c r="AF24">
        <f>AND(D24&lt;&gt;"",E24&lt;&gt;"",F24="No")</f>
        <v/>
      </c>
      <c r="AG24">
        <f>AND(OR(D24&lt;&gt;"",E24&lt;&gt;""),F24="No")</f>
        <v/>
      </c>
    </row>
    <row r="25" ht="15" customHeight="1" s="54">
      <c r="A25" s="44" t="inlineStr">
        <is>
          <t>M0_iii.4.2</t>
        </is>
      </c>
      <c r="D25" s="27" t="inlineStr">
        <is>
          <t>X</t>
        </is>
      </c>
      <c r="F25" s="47" t="inlineStr">
        <is>
          <t>Yes</t>
        </is>
      </c>
      <c r="H25">
        <f>AND(B25&lt;&gt;"",C25&lt;&gt;"")</f>
        <v/>
      </c>
      <c r="I25">
        <f>OR(B25&lt;&gt;"",C25&lt;&gt;"")</f>
        <v/>
      </c>
      <c r="J25">
        <f>AND(B25&lt;&gt;"",D25&lt;&gt;"")</f>
        <v/>
      </c>
      <c r="K25">
        <f>OR(B25&lt;&gt;"",D25&lt;&gt;"")</f>
        <v/>
      </c>
      <c r="L25">
        <f>AND(B25&lt;&gt;"",E25&lt;&gt;"")</f>
        <v/>
      </c>
      <c r="M25">
        <f>OR(B25&lt;&gt;"",E25&lt;&gt;"")</f>
        <v/>
      </c>
      <c r="N25">
        <f>AND(C25&lt;&gt;"",D25&lt;&gt;"")</f>
        <v/>
      </c>
      <c r="O25">
        <f>OR(C25&lt;&gt;"",D25&lt;&gt;"")</f>
        <v/>
      </c>
      <c r="P25">
        <f>AND(C25&lt;&gt;"",E25&lt;&gt;"")</f>
        <v/>
      </c>
      <c r="Q25">
        <f>OR(C25&lt;&gt;"",E25&lt;&gt;"")</f>
        <v/>
      </c>
      <c r="R25">
        <f>AND(D25&lt;&gt;"",E25&lt;&gt;"")</f>
        <v/>
      </c>
      <c r="S25">
        <f>OR(D25&lt;&gt;"",E25&lt;&gt;"")</f>
        <v/>
      </c>
      <c r="V25">
        <f>AND(B25&lt;&gt;"",C25&lt;&gt;"",F25="No")</f>
        <v/>
      </c>
      <c r="W25">
        <f>AND(OR(B25&lt;&gt;"",C25&lt;&gt;""),F25="No")</f>
        <v/>
      </c>
      <c r="X25">
        <f>AND(B25&lt;&gt;"",D25&lt;&gt;"",F25="No")</f>
        <v/>
      </c>
      <c r="Y25">
        <f>AND(OR(B25&lt;&gt;"",D25&lt;&gt;""),F25="No")</f>
        <v/>
      </c>
      <c r="Z25">
        <f>AND(B25&lt;&gt;"",E25&lt;&gt;"",F25="No")</f>
        <v/>
      </c>
      <c r="AA25">
        <f>AND(OR(B25&lt;&gt;"",E25&lt;&gt;""),F25="No")</f>
        <v/>
      </c>
      <c r="AB25">
        <f>AND(C25&lt;&gt;"",D25&lt;&gt;"",F25="No")</f>
        <v/>
      </c>
      <c r="AC25">
        <f>AND(OR(C25&lt;&gt;"",D25&lt;&gt;""),F25="No")</f>
        <v/>
      </c>
      <c r="AD25">
        <f>AND(C25&lt;&gt;"",E25&lt;&gt;"",F25="No")</f>
        <v/>
      </c>
      <c r="AE25">
        <f>AND(OR(C25&lt;&gt;"",E25&lt;&gt;""),F25="No")</f>
        <v/>
      </c>
      <c r="AF25">
        <f>AND(D25&lt;&gt;"",E25&lt;&gt;"",F25="No")</f>
        <v/>
      </c>
      <c r="AG25">
        <f>AND(OR(D25&lt;&gt;"",E25&lt;&gt;""),F25="No")</f>
        <v/>
      </c>
    </row>
    <row r="26">
      <c r="A26" s="44" t="inlineStr">
        <is>
          <t>H.5.1</t>
        </is>
      </c>
      <c r="B26" s="27" t="inlineStr">
        <is>
          <t>X</t>
        </is>
      </c>
      <c r="C26" s="27" t="inlineStr">
        <is>
          <t>X</t>
        </is>
      </c>
      <c r="D26" s="27" t="inlineStr">
        <is>
          <t>X</t>
        </is>
      </c>
      <c r="E26" s="27" t="inlineStr">
        <is>
          <t>X</t>
        </is>
      </c>
      <c r="F26" s="47" t="inlineStr">
        <is>
          <t>No</t>
        </is>
      </c>
      <c r="H26">
        <f>AND(B26&lt;&gt;"",C26&lt;&gt;"")</f>
        <v/>
      </c>
      <c r="I26">
        <f>OR(B26&lt;&gt;"",C26&lt;&gt;"")</f>
        <v/>
      </c>
      <c r="J26">
        <f>AND(B26&lt;&gt;"",D26&lt;&gt;"")</f>
        <v/>
      </c>
      <c r="K26">
        <f>OR(B26&lt;&gt;"",D26&lt;&gt;"")</f>
        <v/>
      </c>
      <c r="L26">
        <f>AND(B26&lt;&gt;"",E26&lt;&gt;"")</f>
        <v/>
      </c>
      <c r="M26">
        <f>OR(B26&lt;&gt;"",E26&lt;&gt;"")</f>
        <v/>
      </c>
      <c r="N26">
        <f>AND(C26&lt;&gt;"",D26&lt;&gt;"")</f>
        <v/>
      </c>
      <c r="O26">
        <f>OR(C26&lt;&gt;"",D26&lt;&gt;"")</f>
        <v/>
      </c>
      <c r="P26">
        <f>AND(C26&lt;&gt;"",E26&lt;&gt;"")</f>
        <v/>
      </c>
      <c r="Q26">
        <f>OR(C26&lt;&gt;"",E26&lt;&gt;"")</f>
        <v/>
      </c>
      <c r="R26">
        <f>AND(D26&lt;&gt;"",E26&lt;&gt;"")</f>
        <v/>
      </c>
      <c r="S26">
        <f>OR(D26&lt;&gt;"",E26&lt;&gt;"")</f>
        <v/>
      </c>
      <c r="V26">
        <f>AND(B26&lt;&gt;"",C26&lt;&gt;"",F26="No")</f>
        <v/>
      </c>
      <c r="W26">
        <f>AND(OR(B26&lt;&gt;"",C26&lt;&gt;""),F26="No")</f>
        <v/>
      </c>
      <c r="X26">
        <f>AND(B26&lt;&gt;"",D26&lt;&gt;"",F26="No")</f>
        <v/>
      </c>
      <c r="Y26">
        <f>AND(OR(B26&lt;&gt;"",D26&lt;&gt;""),F26="No")</f>
        <v/>
      </c>
      <c r="Z26">
        <f>AND(B26&lt;&gt;"",E26&lt;&gt;"",F26="No")</f>
        <v/>
      </c>
      <c r="AA26">
        <f>AND(OR(B26&lt;&gt;"",E26&lt;&gt;""),F26="No")</f>
        <v/>
      </c>
      <c r="AB26">
        <f>AND(C26&lt;&gt;"",D26&lt;&gt;"",F26="No")</f>
        <v/>
      </c>
      <c r="AC26">
        <f>AND(OR(C26&lt;&gt;"",D26&lt;&gt;""),F26="No")</f>
        <v/>
      </c>
      <c r="AD26">
        <f>AND(C26&lt;&gt;"",E26&lt;&gt;"",F26="No")</f>
        <v/>
      </c>
      <c r="AE26">
        <f>AND(OR(C26&lt;&gt;"",E26&lt;&gt;""),F26="No")</f>
        <v/>
      </c>
      <c r="AF26">
        <f>AND(D26&lt;&gt;"",E26&lt;&gt;"",F26="No")</f>
        <v/>
      </c>
      <c r="AG26">
        <f>AND(OR(D26&lt;&gt;"",E26&lt;&gt;""),F26="No")</f>
        <v/>
      </c>
    </row>
    <row r="27">
      <c r="A27" s="44" t="inlineStr">
        <is>
          <t>GS.5.5</t>
        </is>
      </c>
      <c r="B27" s="27" t="inlineStr">
        <is>
          <t>X</t>
        </is>
      </c>
      <c r="E27" s="27" t="inlineStr">
        <is>
          <t>X</t>
        </is>
      </c>
      <c r="F27" s="47" t="inlineStr">
        <is>
          <t>No</t>
        </is>
      </c>
      <c r="H27">
        <f>AND(B27&lt;&gt;"",C27&lt;&gt;"")</f>
        <v/>
      </c>
      <c r="I27">
        <f>OR(B27&lt;&gt;"",C27&lt;&gt;"")</f>
        <v/>
      </c>
      <c r="J27">
        <f>AND(B27&lt;&gt;"",D27&lt;&gt;"")</f>
        <v/>
      </c>
      <c r="K27">
        <f>OR(B27&lt;&gt;"",D27&lt;&gt;"")</f>
        <v/>
      </c>
      <c r="L27">
        <f>AND(B27&lt;&gt;"",E27&lt;&gt;"")</f>
        <v/>
      </c>
      <c r="M27">
        <f>OR(B27&lt;&gt;"",E27&lt;&gt;"")</f>
        <v/>
      </c>
      <c r="N27">
        <f>AND(C27&lt;&gt;"",D27&lt;&gt;"")</f>
        <v/>
      </c>
      <c r="O27">
        <f>OR(C27&lt;&gt;"",D27&lt;&gt;"")</f>
        <v/>
      </c>
      <c r="P27">
        <f>AND(C27&lt;&gt;"",E27&lt;&gt;"")</f>
        <v/>
      </c>
      <c r="Q27">
        <f>OR(C27&lt;&gt;"",E27&lt;&gt;"")</f>
        <v/>
      </c>
      <c r="R27">
        <f>AND(D27&lt;&gt;"",E27&lt;&gt;"")</f>
        <v/>
      </c>
      <c r="S27">
        <f>OR(D27&lt;&gt;"",E27&lt;&gt;"")</f>
        <v/>
      </c>
      <c r="V27">
        <f>AND(B27&lt;&gt;"",C27&lt;&gt;"",F27="No")</f>
        <v/>
      </c>
      <c r="W27">
        <f>AND(OR(B27&lt;&gt;"",C27&lt;&gt;""),F27="No")</f>
        <v/>
      </c>
      <c r="X27">
        <f>AND(B27&lt;&gt;"",D27&lt;&gt;"",F27="No")</f>
        <v/>
      </c>
      <c r="Y27">
        <f>AND(OR(B27&lt;&gt;"",D27&lt;&gt;""),F27="No")</f>
        <v/>
      </c>
      <c r="Z27">
        <f>AND(B27&lt;&gt;"",E27&lt;&gt;"",F27="No")</f>
        <v/>
      </c>
      <c r="AA27">
        <f>AND(OR(B27&lt;&gt;"",E27&lt;&gt;""),F27="No")</f>
        <v/>
      </c>
      <c r="AB27">
        <f>AND(C27&lt;&gt;"",D27&lt;&gt;"",F27="No")</f>
        <v/>
      </c>
      <c r="AC27">
        <f>AND(OR(C27&lt;&gt;"",D27&lt;&gt;""),F27="No")</f>
        <v/>
      </c>
      <c r="AD27">
        <f>AND(C27&lt;&gt;"",E27&lt;&gt;"",F27="No")</f>
        <v/>
      </c>
      <c r="AE27">
        <f>AND(OR(C27&lt;&gt;"",E27&lt;&gt;""),F27="No")</f>
        <v/>
      </c>
      <c r="AF27">
        <f>AND(D27&lt;&gt;"",E27&lt;&gt;"",F27="No")</f>
        <v/>
      </c>
      <c r="AG27">
        <f>AND(OR(D27&lt;&gt;"",E27&lt;&gt;""),F27="No")</f>
        <v/>
      </c>
    </row>
    <row r="28">
      <c r="A28" t="inlineStr">
        <is>
          <t>M0.5.3; M0_iii.5.3</t>
        </is>
      </c>
      <c r="B28" s="27" t="inlineStr">
        <is>
          <t>X</t>
        </is>
      </c>
      <c r="D28" s="27" t="inlineStr">
        <is>
          <t>X</t>
        </is>
      </c>
      <c r="F28" s="47" t="inlineStr">
        <is>
          <t>Yes</t>
        </is>
      </c>
      <c r="H28">
        <f>AND(B28&lt;&gt;"",C28&lt;&gt;"")</f>
        <v/>
      </c>
      <c r="I28">
        <f>OR(B28&lt;&gt;"",C28&lt;&gt;"")</f>
        <v/>
      </c>
      <c r="J28">
        <f>AND(B28&lt;&gt;"",D28&lt;&gt;"")</f>
        <v/>
      </c>
      <c r="K28">
        <f>OR(B28&lt;&gt;"",D28&lt;&gt;"")</f>
        <v/>
      </c>
      <c r="L28">
        <f>AND(B28&lt;&gt;"",E28&lt;&gt;"")</f>
        <v/>
      </c>
      <c r="M28">
        <f>OR(B28&lt;&gt;"",E28&lt;&gt;"")</f>
        <v/>
      </c>
      <c r="N28">
        <f>AND(C28&lt;&gt;"",D28&lt;&gt;"")</f>
        <v/>
      </c>
      <c r="O28">
        <f>OR(C28&lt;&gt;"",D28&lt;&gt;"")</f>
        <v/>
      </c>
      <c r="P28">
        <f>AND(C28&lt;&gt;"",E28&lt;&gt;"")</f>
        <v/>
      </c>
      <c r="Q28">
        <f>OR(C28&lt;&gt;"",E28&lt;&gt;"")</f>
        <v/>
      </c>
      <c r="R28">
        <f>AND(D28&lt;&gt;"",E28&lt;&gt;"")</f>
        <v/>
      </c>
      <c r="S28">
        <f>OR(D28&lt;&gt;"",E28&lt;&gt;"")</f>
        <v/>
      </c>
      <c r="V28">
        <f>AND(B28&lt;&gt;"",C28&lt;&gt;"",F28="No")</f>
        <v/>
      </c>
      <c r="W28">
        <f>AND(OR(B28&lt;&gt;"",C28&lt;&gt;""),F28="No")</f>
        <v/>
      </c>
      <c r="X28">
        <f>AND(B28&lt;&gt;"",D28&lt;&gt;"",F28="No")</f>
        <v/>
      </c>
      <c r="Y28">
        <f>AND(OR(B28&lt;&gt;"",D28&lt;&gt;""),F28="No")</f>
        <v/>
      </c>
      <c r="Z28">
        <f>AND(B28&lt;&gt;"",E28&lt;&gt;"",F28="No")</f>
        <v/>
      </c>
      <c r="AA28">
        <f>AND(OR(B28&lt;&gt;"",E28&lt;&gt;""),F28="No")</f>
        <v/>
      </c>
      <c r="AB28">
        <f>AND(C28&lt;&gt;"",D28&lt;&gt;"",F28="No")</f>
        <v/>
      </c>
      <c r="AC28">
        <f>AND(OR(C28&lt;&gt;"",D28&lt;&gt;""),F28="No")</f>
        <v/>
      </c>
      <c r="AD28">
        <f>AND(C28&lt;&gt;"",E28&lt;&gt;"",F28="No")</f>
        <v/>
      </c>
      <c r="AE28">
        <f>AND(OR(C28&lt;&gt;"",E28&lt;&gt;""),F28="No")</f>
        <v/>
      </c>
      <c r="AF28">
        <f>AND(D28&lt;&gt;"",E28&lt;&gt;"",F28="No")</f>
        <v/>
      </c>
      <c r="AG28">
        <f>AND(OR(D28&lt;&gt;"",E28&lt;&gt;""),F28="No")</f>
        <v/>
      </c>
    </row>
    <row r="29">
      <c r="A29" s="44" t="inlineStr">
        <is>
          <t>H.6.1</t>
        </is>
      </c>
      <c r="B29" s="27" t="inlineStr">
        <is>
          <t>X</t>
        </is>
      </c>
      <c r="C29" s="27" t="inlineStr">
        <is>
          <t>X</t>
        </is>
      </c>
      <c r="D29" s="27" t="inlineStr">
        <is>
          <t>X</t>
        </is>
      </c>
      <c r="E29" s="27" t="inlineStr">
        <is>
          <t>X</t>
        </is>
      </c>
      <c r="F29" s="47" t="inlineStr">
        <is>
          <t>No</t>
        </is>
      </c>
      <c r="H29">
        <f>AND(B29&lt;&gt;"",C29&lt;&gt;"")</f>
        <v/>
      </c>
      <c r="I29">
        <f>OR(B29&lt;&gt;"",C29&lt;&gt;"")</f>
        <v/>
      </c>
      <c r="J29">
        <f>AND(B29&lt;&gt;"",D29&lt;&gt;"")</f>
        <v/>
      </c>
      <c r="K29">
        <f>OR(B29&lt;&gt;"",D29&lt;&gt;"")</f>
        <v/>
      </c>
      <c r="L29">
        <f>AND(B29&lt;&gt;"",E29&lt;&gt;"")</f>
        <v/>
      </c>
      <c r="M29">
        <f>OR(B29&lt;&gt;"",E29&lt;&gt;"")</f>
        <v/>
      </c>
      <c r="N29">
        <f>AND(C29&lt;&gt;"",D29&lt;&gt;"")</f>
        <v/>
      </c>
      <c r="O29">
        <f>OR(C29&lt;&gt;"",D29&lt;&gt;"")</f>
        <v/>
      </c>
      <c r="P29">
        <f>AND(C29&lt;&gt;"",E29&lt;&gt;"")</f>
        <v/>
      </c>
      <c r="Q29">
        <f>OR(C29&lt;&gt;"",E29&lt;&gt;"")</f>
        <v/>
      </c>
      <c r="R29">
        <f>AND(D29&lt;&gt;"",E29&lt;&gt;"")</f>
        <v/>
      </c>
      <c r="S29">
        <f>OR(D29&lt;&gt;"",E29&lt;&gt;"")</f>
        <v/>
      </c>
      <c r="V29">
        <f>AND(B29&lt;&gt;"",C29&lt;&gt;"",F29="No")</f>
        <v/>
      </c>
      <c r="W29">
        <f>AND(OR(B29&lt;&gt;"",C29&lt;&gt;""),F29="No")</f>
        <v/>
      </c>
      <c r="X29">
        <f>AND(B29&lt;&gt;"",D29&lt;&gt;"",F29="No")</f>
        <v/>
      </c>
      <c r="Y29">
        <f>AND(OR(B29&lt;&gt;"",D29&lt;&gt;""),F29="No")</f>
        <v/>
      </c>
      <c r="Z29">
        <f>AND(B29&lt;&gt;"",E29&lt;&gt;"",F29="No")</f>
        <v/>
      </c>
      <c r="AA29">
        <f>AND(OR(B29&lt;&gt;"",E29&lt;&gt;""),F29="No")</f>
        <v/>
      </c>
      <c r="AB29">
        <f>AND(C29&lt;&gt;"",D29&lt;&gt;"",F29="No")</f>
        <v/>
      </c>
      <c r="AC29">
        <f>AND(OR(C29&lt;&gt;"",D29&lt;&gt;""),F29="No")</f>
        <v/>
      </c>
      <c r="AD29">
        <f>AND(C29&lt;&gt;"",E29&lt;&gt;"",F29="No")</f>
        <v/>
      </c>
      <c r="AE29">
        <f>AND(OR(C29&lt;&gt;"",E29&lt;&gt;""),F29="No")</f>
        <v/>
      </c>
      <c r="AF29">
        <f>AND(D29&lt;&gt;"",E29&lt;&gt;"",F29="No")</f>
        <v/>
      </c>
      <c r="AG29">
        <f>AND(OR(D29&lt;&gt;"",E29&lt;&gt;""),F29="No")</f>
        <v/>
      </c>
    </row>
    <row r="30">
      <c r="A30" s="44" t="inlineStr">
        <is>
          <t>GS.6.3</t>
        </is>
      </c>
      <c r="B30" s="27" t="inlineStr">
        <is>
          <t>X</t>
        </is>
      </c>
      <c r="F30" s="47" t="inlineStr">
        <is>
          <t>No</t>
        </is>
      </c>
      <c r="H30">
        <f>AND(B30&lt;&gt;"",C30&lt;&gt;"")</f>
        <v/>
      </c>
      <c r="I30">
        <f>OR(B30&lt;&gt;"",C30&lt;&gt;"")</f>
        <v/>
      </c>
      <c r="J30">
        <f>AND(B30&lt;&gt;"",D30&lt;&gt;"")</f>
        <v/>
      </c>
      <c r="K30">
        <f>OR(B30&lt;&gt;"",D30&lt;&gt;"")</f>
        <v/>
      </c>
      <c r="L30">
        <f>AND(B30&lt;&gt;"",E30&lt;&gt;"")</f>
        <v/>
      </c>
      <c r="M30">
        <f>OR(B30&lt;&gt;"",E30&lt;&gt;"")</f>
        <v/>
      </c>
      <c r="N30">
        <f>AND(C30&lt;&gt;"",D30&lt;&gt;"")</f>
        <v/>
      </c>
      <c r="O30">
        <f>OR(C30&lt;&gt;"",D30&lt;&gt;"")</f>
        <v/>
      </c>
      <c r="P30">
        <f>AND(C30&lt;&gt;"",E30&lt;&gt;"")</f>
        <v/>
      </c>
      <c r="Q30">
        <f>OR(C30&lt;&gt;"",E30&lt;&gt;"")</f>
        <v/>
      </c>
      <c r="R30">
        <f>AND(D30&lt;&gt;"",E30&lt;&gt;"")</f>
        <v/>
      </c>
      <c r="S30">
        <f>OR(D30&lt;&gt;"",E30&lt;&gt;"")</f>
        <v/>
      </c>
      <c r="V30">
        <f>AND(B30&lt;&gt;"",C30&lt;&gt;"",F30="No")</f>
        <v/>
      </c>
      <c r="W30">
        <f>AND(OR(B30&lt;&gt;"",C30&lt;&gt;""),F30="No")</f>
        <v/>
      </c>
      <c r="X30">
        <f>AND(B30&lt;&gt;"",D30&lt;&gt;"",F30="No")</f>
        <v/>
      </c>
      <c r="Y30">
        <f>AND(OR(B30&lt;&gt;"",D30&lt;&gt;""),F30="No")</f>
        <v/>
      </c>
      <c r="Z30">
        <f>AND(B30&lt;&gt;"",E30&lt;&gt;"",F30="No")</f>
        <v/>
      </c>
      <c r="AA30">
        <f>AND(OR(B30&lt;&gt;"",E30&lt;&gt;""),F30="No")</f>
        <v/>
      </c>
      <c r="AB30">
        <f>AND(C30&lt;&gt;"",D30&lt;&gt;"",F30="No")</f>
        <v/>
      </c>
      <c r="AC30">
        <f>AND(OR(C30&lt;&gt;"",D30&lt;&gt;""),F30="No")</f>
        <v/>
      </c>
      <c r="AD30">
        <f>AND(C30&lt;&gt;"",E30&lt;&gt;"",F30="No")</f>
        <v/>
      </c>
      <c r="AE30">
        <f>AND(OR(C30&lt;&gt;"",E30&lt;&gt;""),F30="No")</f>
        <v/>
      </c>
      <c r="AF30">
        <f>AND(D30&lt;&gt;"",E30&lt;&gt;"",F30="No")</f>
        <v/>
      </c>
      <c r="AG30">
        <f>AND(OR(D30&lt;&gt;"",E30&lt;&gt;""),F30="No")</f>
        <v/>
      </c>
    </row>
    <row r="31">
      <c r="A31" s="44" t="inlineStr">
        <is>
          <t>H.7.1</t>
        </is>
      </c>
      <c r="B31" s="27" t="inlineStr">
        <is>
          <t>P</t>
        </is>
      </c>
      <c r="C31" s="27" t="inlineStr">
        <is>
          <t>P</t>
        </is>
      </c>
      <c r="D31" s="27" t="inlineStr">
        <is>
          <t>P</t>
        </is>
      </c>
      <c r="E31" s="27" t="inlineStr">
        <is>
          <t>P</t>
        </is>
      </c>
      <c r="F31" s="47" t="inlineStr">
        <is>
          <t>No</t>
        </is>
      </c>
      <c r="H31">
        <f>AND(B31&lt;&gt;"",C31&lt;&gt;"")</f>
        <v/>
      </c>
      <c r="I31">
        <f>OR(B31&lt;&gt;"",C31&lt;&gt;"")</f>
        <v/>
      </c>
      <c r="J31">
        <f>AND(B31&lt;&gt;"",D31&lt;&gt;"")</f>
        <v/>
      </c>
      <c r="K31">
        <f>OR(B31&lt;&gt;"",D31&lt;&gt;"")</f>
        <v/>
      </c>
      <c r="L31">
        <f>AND(B31&lt;&gt;"",E31&lt;&gt;"")</f>
        <v/>
      </c>
      <c r="M31">
        <f>OR(B31&lt;&gt;"",E31&lt;&gt;"")</f>
        <v/>
      </c>
      <c r="N31">
        <f>AND(C31&lt;&gt;"",D31&lt;&gt;"")</f>
        <v/>
      </c>
      <c r="O31">
        <f>OR(C31&lt;&gt;"",D31&lt;&gt;"")</f>
        <v/>
      </c>
      <c r="P31">
        <f>AND(C31&lt;&gt;"",E31&lt;&gt;"")</f>
        <v/>
      </c>
      <c r="Q31">
        <f>OR(C31&lt;&gt;"",E31&lt;&gt;"")</f>
        <v/>
      </c>
      <c r="R31">
        <f>AND(D31&lt;&gt;"",E31&lt;&gt;"")</f>
        <v/>
      </c>
      <c r="S31">
        <f>OR(D31&lt;&gt;"",E31&lt;&gt;"")</f>
        <v/>
      </c>
      <c r="V31">
        <f>AND(B31&lt;&gt;"",C31&lt;&gt;"",F31="No")</f>
        <v/>
      </c>
      <c r="W31">
        <f>AND(OR(B31&lt;&gt;"",C31&lt;&gt;""),F31="No")</f>
        <v/>
      </c>
      <c r="X31">
        <f>AND(B31&lt;&gt;"",D31&lt;&gt;"",F31="No")</f>
        <v/>
      </c>
      <c r="Y31">
        <f>AND(OR(B31&lt;&gt;"",D31&lt;&gt;""),F31="No")</f>
        <v/>
      </c>
      <c r="Z31">
        <f>AND(B31&lt;&gt;"",E31&lt;&gt;"",F31="No")</f>
        <v/>
      </c>
      <c r="AA31">
        <f>AND(OR(B31&lt;&gt;"",E31&lt;&gt;""),F31="No")</f>
        <v/>
      </c>
      <c r="AB31">
        <f>AND(C31&lt;&gt;"",D31&lt;&gt;"",F31="No")</f>
        <v/>
      </c>
      <c r="AC31">
        <f>AND(OR(C31&lt;&gt;"",D31&lt;&gt;""),F31="No")</f>
        <v/>
      </c>
      <c r="AD31">
        <f>AND(C31&lt;&gt;"",E31&lt;&gt;"",F31="No")</f>
        <v/>
      </c>
      <c r="AE31">
        <f>AND(OR(C31&lt;&gt;"",E31&lt;&gt;""),F31="No")</f>
        <v/>
      </c>
      <c r="AF31">
        <f>AND(D31&lt;&gt;"",E31&lt;&gt;"",F31="No")</f>
        <v/>
      </c>
      <c r="AG31">
        <f>AND(OR(D31&lt;&gt;"",E31&lt;&gt;""),F31="No")</f>
        <v/>
      </c>
    </row>
    <row r="32">
      <c r="A32" s="44" t="inlineStr">
        <is>
          <t>H.7.2</t>
        </is>
      </c>
      <c r="B32" s="27" t="inlineStr">
        <is>
          <t>P</t>
        </is>
      </c>
      <c r="E32" s="27" t="inlineStr">
        <is>
          <t>P</t>
        </is>
      </c>
      <c r="F32" s="47" t="inlineStr">
        <is>
          <t>No</t>
        </is>
      </c>
      <c r="H32">
        <f>AND(B32&lt;&gt;"",C32&lt;&gt;"")</f>
        <v/>
      </c>
      <c r="I32">
        <f>OR(B32&lt;&gt;"",C32&lt;&gt;"")</f>
        <v/>
      </c>
      <c r="J32">
        <f>AND(B32&lt;&gt;"",D32&lt;&gt;"")</f>
        <v/>
      </c>
      <c r="K32">
        <f>OR(B32&lt;&gt;"",D32&lt;&gt;"")</f>
        <v/>
      </c>
      <c r="L32">
        <f>AND(B32&lt;&gt;"",E32&lt;&gt;"")</f>
        <v/>
      </c>
      <c r="M32">
        <f>OR(B32&lt;&gt;"",E32&lt;&gt;"")</f>
        <v/>
      </c>
      <c r="N32">
        <f>AND(C32&lt;&gt;"",D32&lt;&gt;"")</f>
        <v/>
      </c>
      <c r="O32">
        <f>OR(C32&lt;&gt;"",D32&lt;&gt;"")</f>
        <v/>
      </c>
      <c r="P32">
        <f>AND(C32&lt;&gt;"",E32&lt;&gt;"")</f>
        <v/>
      </c>
      <c r="Q32">
        <f>OR(C32&lt;&gt;"",E32&lt;&gt;"")</f>
        <v/>
      </c>
      <c r="R32">
        <f>AND(D32&lt;&gt;"",E32&lt;&gt;"")</f>
        <v/>
      </c>
      <c r="S32">
        <f>OR(D32&lt;&gt;"",E32&lt;&gt;"")</f>
        <v/>
      </c>
      <c r="V32">
        <f>AND(B32&lt;&gt;"",C32&lt;&gt;"",F32="No")</f>
        <v/>
      </c>
      <c r="W32">
        <f>AND(OR(B32&lt;&gt;"",C32&lt;&gt;""),F32="No")</f>
        <v/>
      </c>
      <c r="X32">
        <f>AND(B32&lt;&gt;"",D32&lt;&gt;"",F32="No")</f>
        <v/>
      </c>
      <c r="Y32">
        <f>AND(OR(B32&lt;&gt;"",D32&lt;&gt;""),F32="No")</f>
        <v/>
      </c>
      <c r="Z32">
        <f>AND(B32&lt;&gt;"",E32&lt;&gt;"",F32="No")</f>
        <v/>
      </c>
      <c r="AA32">
        <f>AND(OR(B32&lt;&gt;"",E32&lt;&gt;""),F32="No")</f>
        <v/>
      </c>
      <c r="AB32">
        <f>AND(C32&lt;&gt;"",D32&lt;&gt;"",F32="No")</f>
        <v/>
      </c>
      <c r="AC32">
        <f>AND(OR(C32&lt;&gt;"",D32&lt;&gt;""),F32="No")</f>
        <v/>
      </c>
      <c r="AD32">
        <f>AND(C32&lt;&gt;"",E32&lt;&gt;"",F32="No")</f>
        <v/>
      </c>
      <c r="AE32">
        <f>AND(OR(C32&lt;&gt;"",E32&lt;&gt;""),F32="No")</f>
        <v/>
      </c>
      <c r="AF32">
        <f>AND(D32&lt;&gt;"",E32&lt;&gt;"",F32="No")</f>
        <v/>
      </c>
      <c r="AG32">
        <f>AND(OR(D32&lt;&gt;"",E32&lt;&gt;""),F32="No")</f>
        <v/>
      </c>
    </row>
    <row r="33">
      <c r="A33" s="44" t="inlineStr">
        <is>
          <t>GS.7.5</t>
        </is>
      </c>
      <c r="B33" s="27" t="inlineStr">
        <is>
          <t>X</t>
        </is>
      </c>
      <c r="C33" s="27" t="inlineStr">
        <is>
          <t>X</t>
        </is>
      </c>
      <c r="F33" s="47" t="inlineStr">
        <is>
          <t>No</t>
        </is>
      </c>
      <c r="H33">
        <f>AND(B33&lt;&gt;"",C33&lt;&gt;"")</f>
        <v/>
      </c>
      <c r="I33">
        <f>OR(B33&lt;&gt;"",C33&lt;&gt;"")</f>
        <v/>
      </c>
      <c r="J33">
        <f>AND(B33&lt;&gt;"",D33&lt;&gt;"")</f>
        <v/>
      </c>
      <c r="K33">
        <f>OR(B33&lt;&gt;"",D33&lt;&gt;"")</f>
        <v/>
      </c>
      <c r="L33">
        <f>AND(B33&lt;&gt;"",E33&lt;&gt;"")</f>
        <v/>
      </c>
      <c r="M33">
        <f>OR(B33&lt;&gt;"",E33&lt;&gt;"")</f>
        <v/>
      </c>
      <c r="N33">
        <f>AND(C33&lt;&gt;"",D33&lt;&gt;"")</f>
        <v/>
      </c>
      <c r="O33">
        <f>OR(C33&lt;&gt;"",D33&lt;&gt;"")</f>
        <v/>
      </c>
      <c r="P33">
        <f>AND(C33&lt;&gt;"",E33&lt;&gt;"")</f>
        <v/>
      </c>
      <c r="Q33">
        <f>OR(C33&lt;&gt;"",E33&lt;&gt;"")</f>
        <v/>
      </c>
      <c r="R33">
        <f>AND(D33&lt;&gt;"",E33&lt;&gt;"")</f>
        <v/>
      </c>
      <c r="S33">
        <f>OR(D33&lt;&gt;"",E33&lt;&gt;"")</f>
        <v/>
      </c>
      <c r="V33">
        <f>AND(B33&lt;&gt;"",C33&lt;&gt;"",F33="No")</f>
        <v/>
      </c>
      <c r="W33">
        <f>AND(OR(B33&lt;&gt;"",C33&lt;&gt;""),F33="No")</f>
        <v/>
      </c>
      <c r="X33">
        <f>AND(B33&lt;&gt;"",D33&lt;&gt;"",F33="No")</f>
        <v/>
      </c>
      <c r="Y33">
        <f>AND(OR(B33&lt;&gt;"",D33&lt;&gt;""),F33="No")</f>
        <v/>
      </c>
      <c r="Z33">
        <f>AND(B33&lt;&gt;"",E33&lt;&gt;"",F33="No")</f>
        <v/>
      </c>
      <c r="AA33">
        <f>AND(OR(B33&lt;&gt;"",E33&lt;&gt;""),F33="No")</f>
        <v/>
      </c>
      <c r="AB33">
        <f>AND(C33&lt;&gt;"",D33&lt;&gt;"",F33="No")</f>
        <v/>
      </c>
      <c r="AC33">
        <f>AND(OR(C33&lt;&gt;"",D33&lt;&gt;""),F33="No")</f>
        <v/>
      </c>
      <c r="AD33">
        <f>AND(C33&lt;&gt;"",E33&lt;&gt;"",F33="No")</f>
        <v/>
      </c>
      <c r="AE33">
        <f>AND(OR(C33&lt;&gt;"",E33&lt;&gt;""),F33="No")</f>
        <v/>
      </c>
      <c r="AF33">
        <f>AND(D33&lt;&gt;"",E33&lt;&gt;"",F33="No")</f>
        <v/>
      </c>
      <c r="AG33">
        <f>AND(OR(D33&lt;&gt;"",E33&lt;&gt;""),F33="No")</f>
        <v/>
      </c>
    </row>
    <row r="34" ht="15" customHeight="1" s="54">
      <c r="A34" s="44" t="inlineStr">
        <is>
          <t>M0_ii.7.1</t>
        </is>
      </c>
      <c r="C34" s="27" t="inlineStr">
        <is>
          <t>X</t>
        </is>
      </c>
      <c r="F34" s="47" t="inlineStr">
        <is>
          <t>Yes</t>
        </is>
      </c>
      <c r="H34">
        <f>AND(B34&lt;&gt;"",C34&lt;&gt;"")</f>
        <v/>
      </c>
      <c r="I34">
        <f>OR(B34&lt;&gt;"",C34&lt;&gt;"")</f>
        <v/>
      </c>
      <c r="J34">
        <f>AND(B34&lt;&gt;"",D34&lt;&gt;"")</f>
        <v/>
      </c>
      <c r="K34">
        <f>OR(B34&lt;&gt;"",D34&lt;&gt;"")</f>
        <v/>
      </c>
      <c r="L34">
        <f>AND(B34&lt;&gt;"",E34&lt;&gt;"")</f>
        <v/>
      </c>
      <c r="M34">
        <f>OR(B34&lt;&gt;"",E34&lt;&gt;"")</f>
        <v/>
      </c>
      <c r="N34">
        <f>AND(C34&lt;&gt;"",D34&lt;&gt;"")</f>
        <v/>
      </c>
      <c r="O34">
        <f>OR(C34&lt;&gt;"",D34&lt;&gt;"")</f>
        <v/>
      </c>
      <c r="P34">
        <f>AND(C34&lt;&gt;"",E34&lt;&gt;"")</f>
        <v/>
      </c>
      <c r="Q34">
        <f>OR(C34&lt;&gt;"",E34&lt;&gt;"")</f>
        <v/>
      </c>
      <c r="R34">
        <f>AND(D34&lt;&gt;"",E34&lt;&gt;"")</f>
        <v/>
      </c>
      <c r="S34">
        <f>OR(D34&lt;&gt;"",E34&lt;&gt;"")</f>
        <v/>
      </c>
      <c r="V34">
        <f>AND(B34&lt;&gt;"",C34&lt;&gt;"",F34="No")</f>
        <v/>
      </c>
      <c r="W34">
        <f>AND(OR(B34&lt;&gt;"",C34&lt;&gt;""),F34="No")</f>
        <v/>
      </c>
      <c r="X34">
        <f>AND(B34&lt;&gt;"",D34&lt;&gt;"",F34="No")</f>
        <v/>
      </c>
      <c r="Y34">
        <f>AND(OR(B34&lt;&gt;"",D34&lt;&gt;""),F34="No")</f>
        <v/>
      </c>
      <c r="Z34">
        <f>AND(B34&lt;&gt;"",E34&lt;&gt;"",F34="No")</f>
        <v/>
      </c>
      <c r="AA34">
        <f>AND(OR(B34&lt;&gt;"",E34&lt;&gt;""),F34="No")</f>
        <v/>
      </c>
      <c r="AB34">
        <f>AND(C34&lt;&gt;"",D34&lt;&gt;"",F34="No")</f>
        <v/>
      </c>
      <c r="AC34">
        <f>AND(OR(C34&lt;&gt;"",D34&lt;&gt;""),F34="No")</f>
        <v/>
      </c>
      <c r="AD34">
        <f>AND(C34&lt;&gt;"",E34&lt;&gt;"",F34="No")</f>
        <v/>
      </c>
      <c r="AE34">
        <f>AND(OR(C34&lt;&gt;"",E34&lt;&gt;""),F34="No")</f>
        <v/>
      </c>
      <c r="AF34">
        <f>AND(D34&lt;&gt;"",E34&lt;&gt;"",F34="No")</f>
        <v/>
      </c>
      <c r="AG34">
        <f>AND(OR(D34&lt;&gt;"",E34&lt;&gt;""),F34="No")</f>
        <v/>
      </c>
    </row>
    <row r="35" ht="15" customHeight="1" s="54">
      <c r="A35" t="inlineStr">
        <is>
          <t>M0_ii.7.4</t>
        </is>
      </c>
      <c r="C35" s="27" t="inlineStr">
        <is>
          <t>X</t>
        </is>
      </c>
      <c r="F35" s="47" t="inlineStr">
        <is>
          <t>Yes</t>
        </is>
      </c>
      <c r="H35">
        <f>AND(B35&lt;&gt;"",C35&lt;&gt;"")</f>
        <v/>
      </c>
      <c r="I35">
        <f>OR(B35&lt;&gt;"",C35&lt;&gt;"")</f>
        <v/>
      </c>
      <c r="J35">
        <f>AND(B35&lt;&gt;"",D35&lt;&gt;"")</f>
        <v/>
      </c>
      <c r="K35">
        <f>OR(B35&lt;&gt;"",D35&lt;&gt;"")</f>
        <v/>
      </c>
      <c r="L35">
        <f>AND(B35&lt;&gt;"",E35&lt;&gt;"")</f>
        <v/>
      </c>
      <c r="M35">
        <f>OR(B35&lt;&gt;"",E35&lt;&gt;"")</f>
        <v/>
      </c>
      <c r="N35">
        <f>AND(C35&lt;&gt;"",D35&lt;&gt;"")</f>
        <v/>
      </c>
      <c r="O35">
        <f>OR(C35&lt;&gt;"",D35&lt;&gt;"")</f>
        <v/>
      </c>
      <c r="P35">
        <f>AND(C35&lt;&gt;"",E35&lt;&gt;"")</f>
        <v/>
      </c>
      <c r="Q35">
        <f>OR(C35&lt;&gt;"",E35&lt;&gt;"")</f>
        <v/>
      </c>
      <c r="R35">
        <f>AND(D35&lt;&gt;"",E35&lt;&gt;"")</f>
        <v/>
      </c>
      <c r="S35">
        <f>OR(D35&lt;&gt;"",E35&lt;&gt;"")</f>
        <v/>
      </c>
      <c r="V35">
        <f>AND(B35&lt;&gt;"",C35&lt;&gt;"",F35="No")</f>
        <v/>
      </c>
      <c r="W35">
        <f>AND(OR(B35&lt;&gt;"",C35&lt;&gt;""),F35="No")</f>
        <v/>
      </c>
      <c r="X35">
        <f>AND(B35&lt;&gt;"",D35&lt;&gt;"",F35="No")</f>
        <v/>
      </c>
      <c r="Y35">
        <f>AND(OR(B35&lt;&gt;"",D35&lt;&gt;""),F35="No")</f>
        <v/>
      </c>
      <c r="Z35">
        <f>AND(B35&lt;&gt;"",E35&lt;&gt;"",F35="No")</f>
        <v/>
      </c>
      <c r="AA35">
        <f>AND(OR(B35&lt;&gt;"",E35&lt;&gt;""),F35="No")</f>
        <v/>
      </c>
      <c r="AB35">
        <f>AND(C35&lt;&gt;"",D35&lt;&gt;"",F35="No")</f>
        <v/>
      </c>
      <c r="AC35">
        <f>AND(OR(C35&lt;&gt;"",D35&lt;&gt;""),F35="No")</f>
        <v/>
      </c>
      <c r="AD35">
        <f>AND(C35&lt;&gt;"",E35&lt;&gt;"",F35="No")</f>
        <v/>
      </c>
      <c r="AE35">
        <f>AND(OR(C35&lt;&gt;"",E35&lt;&gt;""),F35="No")</f>
        <v/>
      </c>
      <c r="AF35">
        <f>AND(D35&lt;&gt;"",E35&lt;&gt;"",F35="No")</f>
        <v/>
      </c>
      <c r="AG35">
        <f>AND(OR(D35&lt;&gt;"",E35&lt;&gt;""),F35="No")</f>
        <v/>
      </c>
    </row>
    <row r="36" ht="15" customHeight="1" s="54">
      <c r="A36" t="inlineStr">
        <is>
          <t>M0_ii.7.5</t>
        </is>
      </c>
      <c r="C36" s="27" t="inlineStr">
        <is>
          <t>X</t>
        </is>
      </c>
      <c r="F36" s="47" t="inlineStr">
        <is>
          <t>Yes</t>
        </is>
      </c>
      <c r="H36">
        <f>AND(B36&lt;&gt;"",C36&lt;&gt;"")</f>
        <v/>
      </c>
      <c r="I36">
        <f>OR(B36&lt;&gt;"",C36&lt;&gt;"")</f>
        <v/>
      </c>
      <c r="J36">
        <f>AND(B36&lt;&gt;"",D36&lt;&gt;"")</f>
        <v/>
      </c>
      <c r="K36">
        <f>OR(B36&lt;&gt;"",D36&lt;&gt;"")</f>
        <v/>
      </c>
      <c r="L36">
        <f>AND(B36&lt;&gt;"",E36&lt;&gt;"")</f>
        <v/>
      </c>
      <c r="M36">
        <f>OR(B36&lt;&gt;"",E36&lt;&gt;"")</f>
        <v/>
      </c>
      <c r="N36">
        <f>AND(C36&lt;&gt;"",D36&lt;&gt;"")</f>
        <v/>
      </c>
      <c r="O36">
        <f>OR(C36&lt;&gt;"",D36&lt;&gt;"")</f>
        <v/>
      </c>
      <c r="P36">
        <f>AND(C36&lt;&gt;"",E36&lt;&gt;"")</f>
        <v/>
      </c>
      <c r="Q36">
        <f>OR(C36&lt;&gt;"",E36&lt;&gt;"")</f>
        <v/>
      </c>
      <c r="R36">
        <f>AND(D36&lt;&gt;"",E36&lt;&gt;"")</f>
        <v/>
      </c>
      <c r="S36">
        <f>OR(D36&lt;&gt;"",E36&lt;&gt;"")</f>
        <v/>
      </c>
      <c r="V36">
        <f>AND(B36&lt;&gt;"",C36&lt;&gt;"",F36="No")</f>
        <v/>
      </c>
      <c r="W36">
        <f>AND(OR(B36&lt;&gt;"",C36&lt;&gt;""),F36="No")</f>
        <v/>
      </c>
      <c r="X36">
        <f>AND(B36&lt;&gt;"",D36&lt;&gt;"",F36="No")</f>
        <v/>
      </c>
      <c r="Y36">
        <f>AND(OR(B36&lt;&gt;"",D36&lt;&gt;""),F36="No")</f>
        <v/>
      </c>
      <c r="Z36">
        <f>AND(B36&lt;&gt;"",E36&lt;&gt;"",F36="No")</f>
        <v/>
      </c>
      <c r="AA36">
        <f>AND(OR(B36&lt;&gt;"",E36&lt;&gt;""),F36="No")</f>
        <v/>
      </c>
      <c r="AB36">
        <f>AND(C36&lt;&gt;"",D36&lt;&gt;"",F36="No")</f>
        <v/>
      </c>
      <c r="AC36">
        <f>AND(OR(C36&lt;&gt;"",D36&lt;&gt;""),F36="No")</f>
        <v/>
      </c>
      <c r="AD36">
        <f>AND(C36&lt;&gt;"",E36&lt;&gt;"",F36="No")</f>
        <v/>
      </c>
      <c r="AE36">
        <f>AND(OR(C36&lt;&gt;"",E36&lt;&gt;""),F36="No")</f>
        <v/>
      </c>
      <c r="AF36">
        <f>AND(D36&lt;&gt;"",E36&lt;&gt;"",F36="No")</f>
        <v/>
      </c>
      <c r="AG36">
        <f>AND(OR(D36&lt;&gt;"",E36&lt;&gt;""),F36="No")</f>
        <v/>
      </c>
    </row>
    <row r="37" ht="15" customHeight="1" s="54">
      <c r="A37" t="inlineStr">
        <is>
          <t>M0_iv.7.3</t>
        </is>
      </c>
      <c r="E37" s="27" t="inlineStr">
        <is>
          <t>X</t>
        </is>
      </c>
      <c r="F37" s="47" t="inlineStr">
        <is>
          <t>Yes</t>
        </is>
      </c>
      <c r="H37">
        <f>AND(B37&lt;&gt;"",C37&lt;&gt;"")</f>
        <v/>
      </c>
      <c r="I37">
        <f>OR(B37&lt;&gt;"",C37&lt;&gt;"")</f>
        <v/>
      </c>
      <c r="J37">
        <f>AND(B37&lt;&gt;"",D37&lt;&gt;"")</f>
        <v/>
      </c>
      <c r="K37">
        <f>OR(B37&lt;&gt;"",D37&lt;&gt;"")</f>
        <v/>
      </c>
      <c r="L37">
        <f>AND(B37&lt;&gt;"",E37&lt;&gt;"")</f>
        <v/>
      </c>
      <c r="M37">
        <f>OR(B37&lt;&gt;"",E37&lt;&gt;"")</f>
        <v/>
      </c>
      <c r="N37">
        <f>AND(C37&lt;&gt;"",D37&lt;&gt;"")</f>
        <v/>
      </c>
      <c r="O37">
        <f>OR(C37&lt;&gt;"",D37&lt;&gt;"")</f>
        <v/>
      </c>
      <c r="P37">
        <f>AND(C37&lt;&gt;"",E37&lt;&gt;"")</f>
        <v/>
      </c>
      <c r="Q37">
        <f>OR(C37&lt;&gt;"",E37&lt;&gt;"")</f>
        <v/>
      </c>
      <c r="R37">
        <f>AND(D37&lt;&gt;"",E37&lt;&gt;"")</f>
        <v/>
      </c>
      <c r="S37">
        <f>OR(D37&lt;&gt;"",E37&lt;&gt;"")</f>
        <v/>
      </c>
      <c r="V37">
        <f>AND(B37&lt;&gt;"",C37&lt;&gt;"",F37="No")</f>
        <v/>
      </c>
      <c r="W37">
        <f>AND(OR(B37&lt;&gt;"",C37&lt;&gt;""),F37="No")</f>
        <v/>
      </c>
      <c r="X37">
        <f>AND(B37&lt;&gt;"",D37&lt;&gt;"",F37="No")</f>
        <v/>
      </c>
      <c r="Y37">
        <f>AND(OR(B37&lt;&gt;"",D37&lt;&gt;""),F37="No")</f>
        <v/>
      </c>
      <c r="Z37">
        <f>AND(B37&lt;&gt;"",E37&lt;&gt;"",F37="No")</f>
        <v/>
      </c>
      <c r="AA37">
        <f>AND(OR(B37&lt;&gt;"",E37&lt;&gt;""),F37="No")</f>
        <v/>
      </c>
      <c r="AB37">
        <f>AND(C37&lt;&gt;"",D37&lt;&gt;"",F37="No")</f>
        <v/>
      </c>
      <c r="AC37">
        <f>AND(OR(C37&lt;&gt;"",D37&lt;&gt;""),F37="No")</f>
        <v/>
      </c>
      <c r="AD37">
        <f>AND(C37&lt;&gt;"",E37&lt;&gt;"",F37="No")</f>
        <v/>
      </c>
      <c r="AE37">
        <f>AND(OR(C37&lt;&gt;"",E37&lt;&gt;""),F37="No")</f>
        <v/>
      </c>
      <c r="AF37">
        <f>AND(D37&lt;&gt;"",E37&lt;&gt;"",F37="No")</f>
        <v/>
      </c>
      <c r="AG37">
        <f>AND(OR(D37&lt;&gt;"",E37&lt;&gt;""),F37="No")</f>
        <v/>
      </c>
    </row>
    <row r="38" ht="15" customHeight="1" s="54">
      <c r="A38" t="inlineStr">
        <is>
          <t>M0_iv.7.5</t>
        </is>
      </c>
      <c r="E38" s="27" t="inlineStr">
        <is>
          <t>X</t>
        </is>
      </c>
      <c r="F38" s="47" t="inlineStr">
        <is>
          <t>Yes</t>
        </is>
      </c>
      <c r="H38">
        <f>AND(B38&lt;&gt;"",C38&lt;&gt;"")</f>
        <v/>
      </c>
      <c r="I38">
        <f>OR(B38&lt;&gt;"",C38&lt;&gt;"")</f>
        <v/>
      </c>
      <c r="J38">
        <f>AND(B38&lt;&gt;"",D38&lt;&gt;"")</f>
        <v/>
      </c>
      <c r="K38">
        <f>OR(B38&lt;&gt;"",D38&lt;&gt;"")</f>
        <v/>
      </c>
      <c r="L38">
        <f>AND(B38&lt;&gt;"",E38&lt;&gt;"")</f>
        <v/>
      </c>
      <c r="M38">
        <f>OR(B38&lt;&gt;"",E38&lt;&gt;"")</f>
        <v/>
      </c>
      <c r="N38">
        <f>AND(C38&lt;&gt;"",D38&lt;&gt;"")</f>
        <v/>
      </c>
      <c r="O38">
        <f>OR(C38&lt;&gt;"",D38&lt;&gt;"")</f>
        <v/>
      </c>
      <c r="P38">
        <f>AND(C38&lt;&gt;"",E38&lt;&gt;"")</f>
        <v/>
      </c>
      <c r="Q38">
        <f>OR(C38&lt;&gt;"",E38&lt;&gt;"")</f>
        <v/>
      </c>
      <c r="R38">
        <f>AND(D38&lt;&gt;"",E38&lt;&gt;"")</f>
        <v/>
      </c>
      <c r="S38">
        <f>OR(D38&lt;&gt;"",E38&lt;&gt;"")</f>
        <v/>
      </c>
      <c r="V38">
        <f>AND(B38&lt;&gt;"",C38&lt;&gt;"",F38="No")</f>
        <v/>
      </c>
      <c r="W38">
        <f>AND(OR(B38&lt;&gt;"",C38&lt;&gt;""),F38="No")</f>
        <v/>
      </c>
      <c r="X38">
        <f>AND(B38&lt;&gt;"",D38&lt;&gt;"",F38="No")</f>
        <v/>
      </c>
      <c r="Y38">
        <f>AND(OR(B38&lt;&gt;"",D38&lt;&gt;""),F38="No")</f>
        <v/>
      </c>
      <c r="Z38">
        <f>AND(B38&lt;&gt;"",E38&lt;&gt;"",F38="No")</f>
        <v/>
      </c>
      <c r="AA38">
        <f>AND(OR(B38&lt;&gt;"",E38&lt;&gt;""),F38="No")</f>
        <v/>
      </c>
      <c r="AB38">
        <f>AND(C38&lt;&gt;"",D38&lt;&gt;"",F38="No")</f>
        <v/>
      </c>
      <c r="AC38">
        <f>AND(OR(C38&lt;&gt;"",D38&lt;&gt;""),F38="No")</f>
        <v/>
      </c>
      <c r="AD38">
        <f>AND(C38&lt;&gt;"",E38&lt;&gt;"",F38="No")</f>
        <v/>
      </c>
      <c r="AE38">
        <f>AND(OR(C38&lt;&gt;"",E38&lt;&gt;""),F38="No")</f>
        <v/>
      </c>
      <c r="AF38">
        <f>AND(D38&lt;&gt;"",E38&lt;&gt;"",F38="No")</f>
        <v/>
      </c>
      <c r="AG38">
        <f>AND(OR(D38&lt;&gt;"",E38&lt;&gt;""),F38="No")</f>
        <v/>
      </c>
    </row>
    <row r="39">
      <c r="A39" s="44" t="inlineStr">
        <is>
          <t>H.8.1</t>
        </is>
      </c>
      <c r="B39" s="27" t="inlineStr">
        <is>
          <t>X</t>
        </is>
      </c>
      <c r="C39" s="27" t="inlineStr">
        <is>
          <t>X</t>
        </is>
      </c>
      <c r="D39" s="27" t="inlineStr">
        <is>
          <t>X</t>
        </is>
      </c>
      <c r="E39" s="27" t="inlineStr">
        <is>
          <t>X</t>
        </is>
      </c>
      <c r="F39" s="47" t="inlineStr">
        <is>
          <t>No</t>
        </is>
      </c>
      <c r="H39">
        <f>AND(B39&lt;&gt;"",C39&lt;&gt;"")</f>
        <v/>
      </c>
      <c r="I39">
        <f>OR(B39&lt;&gt;"",C39&lt;&gt;"")</f>
        <v/>
      </c>
      <c r="J39">
        <f>AND(B39&lt;&gt;"",D39&lt;&gt;"")</f>
        <v/>
      </c>
      <c r="K39">
        <f>OR(B39&lt;&gt;"",D39&lt;&gt;"")</f>
        <v/>
      </c>
      <c r="L39">
        <f>AND(B39&lt;&gt;"",E39&lt;&gt;"")</f>
        <v/>
      </c>
      <c r="M39">
        <f>OR(B39&lt;&gt;"",E39&lt;&gt;"")</f>
        <v/>
      </c>
      <c r="N39">
        <f>AND(C39&lt;&gt;"",D39&lt;&gt;"")</f>
        <v/>
      </c>
      <c r="O39">
        <f>OR(C39&lt;&gt;"",D39&lt;&gt;"")</f>
        <v/>
      </c>
      <c r="P39">
        <f>AND(C39&lt;&gt;"",E39&lt;&gt;"")</f>
        <v/>
      </c>
      <c r="Q39">
        <f>OR(C39&lt;&gt;"",E39&lt;&gt;"")</f>
        <v/>
      </c>
      <c r="R39">
        <f>AND(D39&lt;&gt;"",E39&lt;&gt;"")</f>
        <v/>
      </c>
      <c r="S39">
        <f>OR(D39&lt;&gt;"",E39&lt;&gt;"")</f>
        <v/>
      </c>
      <c r="V39">
        <f>AND(B39&lt;&gt;"",C39&lt;&gt;"",F39="No")</f>
        <v/>
      </c>
      <c r="W39">
        <f>AND(OR(B39&lt;&gt;"",C39&lt;&gt;""),F39="No")</f>
        <v/>
      </c>
      <c r="X39">
        <f>AND(B39&lt;&gt;"",D39&lt;&gt;"",F39="No")</f>
        <v/>
      </c>
      <c r="Y39">
        <f>AND(OR(B39&lt;&gt;"",D39&lt;&gt;""),F39="No")</f>
        <v/>
      </c>
      <c r="Z39">
        <f>AND(B39&lt;&gt;"",E39&lt;&gt;"",F39="No")</f>
        <v/>
      </c>
      <c r="AA39">
        <f>AND(OR(B39&lt;&gt;"",E39&lt;&gt;""),F39="No")</f>
        <v/>
      </c>
      <c r="AB39">
        <f>AND(C39&lt;&gt;"",D39&lt;&gt;"",F39="No")</f>
        <v/>
      </c>
      <c r="AC39">
        <f>AND(OR(C39&lt;&gt;"",D39&lt;&gt;""),F39="No")</f>
        <v/>
      </c>
      <c r="AD39">
        <f>AND(C39&lt;&gt;"",E39&lt;&gt;"",F39="No")</f>
        <v/>
      </c>
      <c r="AE39">
        <f>AND(OR(C39&lt;&gt;"",E39&lt;&gt;""),F39="No")</f>
        <v/>
      </c>
      <c r="AF39">
        <f>AND(D39&lt;&gt;"",E39&lt;&gt;"",F39="No")</f>
        <v/>
      </c>
      <c r="AG39">
        <f>AND(OR(D39&lt;&gt;"",E39&lt;&gt;""),F39="No")</f>
        <v/>
      </c>
    </row>
    <row r="40">
      <c r="A40" t="inlineStr">
        <is>
          <t>M0_ii.8.2; M0_iii.8.1</t>
        </is>
      </c>
      <c r="C40" s="27" t="inlineStr">
        <is>
          <t>X</t>
        </is>
      </c>
      <c r="D40" s="27" t="inlineStr">
        <is>
          <t>X</t>
        </is>
      </c>
      <c r="F40" s="47" t="inlineStr">
        <is>
          <t>Yes</t>
        </is>
      </c>
      <c r="H40">
        <f>AND(B40&lt;&gt;"",C40&lt;&gt;"")</f>
        <v/>
      </c>
      <c r="I40">
        <f>OR(B40&lt;&gt;"",C40&lt;&gt;"")</f>
        <v/>
      </c>
      <c r="J40">
        <f>AND(B40&lt;&gt;"",D40&lt;&gt;"")</f>
        <v/>
      </c>
      <c r="K40">
        <f>OR(B40&lt;&gt;"",D40&lt;&gt;"")</f>
        <v/>
      </c>
      <c r="L40">
        <f>AND(B40&lt;&gt;"",E40&lt;&gt;"")</f>
        <v/>
      </c>
      <c r="M40">
        <f>OR(B40&lt;&gt;"",E40&lt;&gt;"")</f>
        <v/>
      </c>
      <c r="N40">
        <f>AND(C40&lt;&gt;"",D40&lt;&gt;"")</f>
        <v/>
      </c>
      <c r="O40">
        <f>OR(C40&lt;&gt;"",D40&lt;&gt;"")</f>
        <v/>
      </c>
      <c r="P40">
        <f>AND(C40&lt;&gt;"",E40&lt;&gt;"")</f>
        <v/>
      </c>
      <c r="Q40">
        <f>OR(C40&lt;&gt;"",E40&lt;&gt;"")</f>
        <v/>
      </c>
      <c r="R40">
        <f>AND(D40&lt;&gt;"",E40&lt;&gt;"")</f>
        <v/>
      </c>
      <c r="S40">
        <f>OR(D40&lt;&gt;"",E40&lt;&gt;"")</f>
        <v/>
      </c>
      <c r="V40">
        <f>AND(B40&lt;&gt;"",C40&lt;&gt;"",F40="No")</f>
        <v/>
      </c>
      <c r="W40">
        <f>AND(OR(B40&lt;&gt;"",C40&lt;&gt;""),F40="No")</f>
        <v/>
      </c>
      <c r="X40">
        <f>AND(B40&lt;&gt;"",D40&lt;&gt;"",F40="No")</f>
        <v/>
      </c>
      <c r="Y40">
        <f>AND(OR(B40&lt;&gt;"",D40&lt;&gt;""),F40="No")</f>
        <v/>
      </c>
      <c r="Z40">
        <f>AND(B40&lt;&gt;"",E40&lt;&gt;"",F40="No")</f>
        <v/>
      </c>
      <c r="AA40">
        <f>AND(OR(B40&lt;&gt;"",E40&lt;&gt;""),F40="No")</f>
        <v/>
      </c>
      <c r="AB40">
        <f>AND(C40&lt;&gt;"",D40&lt;&gt;"",F40="No")</f>
        <v/>
      </c>
      <c r="AC40">
        <f>AND(OR(C40&lt;&gt;"",D40&lt;&gt;""),F40="No")</f>
        <v/>
      </c>
      <c r="AD40">
        <f>AND(C40&lt;&gt;"",E40&lt;&gt;"",F40="No")</f>
        <v/>
      </c>
      <c r="AE40">
        <f>AND(OR(C40&lt;&gt;"",E40&lt;&gt;""),F40="No")</f>
        <v/>
      </c>
      <c r="AF40">
        <f>AND(D40&lt;&gt;"",E40&lt;&gt;"",F40="No")</f>
        <v/>
      </c>
      <c r="AG40">
        <f>AND(OR(D40&lt;&gt;"",E40&lt;&gt;""),F40="No")</f>
        <v/>
      </c>
    </row>
    <row r="41">
      <c r="A41" t="inlineStr">
        <is>
          <t>M0_ii.8.3</t>
        </is>
      </c>
      <c r="C41" s="27" t="inlineStr">
        <is>
          <t>X</t>
        </is>
      </c>
      <c r="F41" s="47" t="inlineStr">
        <is>
          <t>Yes</t>
        </is>
      </c>
      <c r="H41">
        <f>AND(B41&lt;&gt;"",C41&lt;&gt;"")</f>
        <v/>
      </c>
      <c r="I41">
        <f>OR(B41&lt;&gt;"",C41&lt;&gt;"")</f>
        <v/>
      </c>
      <c r="J41">
        <f>AND(B41&lt;&gt;"",D41&lt;&gt;"")</f>
        <v/>
      </c>
      <c r="K41">
        <f>OR(B41&lt;&gt;"",D41&lt;&gt;"")</f>
        <v/>
      </c>
      <c r="L41">
        <f>AND(B41&lt;&gt;"",E41&lt;&gt;"")</f>
        <v/>
      </c>
      <c r="M41">
        <f>OR(B41&lt;&gt;"",E41&lt;&gt;"")</f>
        <v/>
      </c>
      <c r="N41">
        <f>AND(C41&lt;&gt;"",D41&lt;&gt;"")</f>
        <v/>
      </c>
      <c r="O41">
        <f>OR(C41&lt;&gt;"",D41&lt;&gt;"")</f>
        <v/>
      </c>
      <c r="P41">
        <f>AND(C41&lt;&gt;"",E41&lt;&gt;"")</f>
        <v/>
      </c>
      <c r="Q41">
        <f>OR(C41&lt;&gt;"",E41&lt;&gt;"")</f>
        <v/>
      </c>
      <c r="R41">
        <f>AND(D41&lt;&gt;"",E41&lt;&gt;"")</f>
        <v/>
      </c>
      <c r="S41">
        <f>OR(D41&lt;&gt;"",E41&lt;&gt;"")</f>
        <v/>
      </c>
      <c r="V41">
        <f>AND(B41&lt;&gt;"",C41&lt;&gt;"",F41="No")</f>
        <v/>
      </c>
      <c r="W41">
        <f>AND(OR(B41&lt;&gt;"",C41&lt;&gt;""),F41="No")</f>
        <v/>
      </c>
      <c r="X41">
        <f>AND(B41&lt;&gt;"",D41&lt;&gt;"",F41="No")</f>
        <v/>
      </c>
      <c r="Y41">
        <f>AND(OR(B41&lt;&gt;"",D41&lt;&gt;""),F41="No")</f>
        <v/>
      </c>
      <c r="Z41">
        <f>AND(B41&lt;&gt;"",E41&lt;&gt;"",F41="No")</f>
        <v/>
      </c>
      <c r="AA41">
        <f>AND(OR(B41&lt;&gt;"",E41&lt;&gt;""),F41="No")</f>
        <v/>
      </c>
      <c r="AB41">
        <f>AND(C41&lt;&gt;"",D41&lt;&gt;"",F41="No")</f>
        <v/>
      </c>
      <c r="AC41">
        <f>AND(OR(C41&lt;&gt;"",D41&lt;&gt;""),F41="No")</f>
        <v/>
      </c>
      <c r="AD41">
        <f>AND(C41&lt;&gt;"",E41&lt;&gt;"",F41="No")</f>
        <v/>
      </c>
      <c r="AE41">
        <f>AND(OR(C41&lt;&gt;"",E41&lt;&gt;""),F41="No")</f>
        <v/>
      </c>
      <c r="AF41">
        <f>AND(D41&lt;&gt;"",E41&lt;&gt;"",F41="No")</f>
        <v/>
      </c>
      <c r="AG41">
        <f>AND(OR(D41&lt;&gt;"",E41&lt;&gt;""),F41="No")</f>
        <v/>
      </c>
    </row>
    <row r="42">
      <c r="A42" t="inlineStr">
        <is>
          <t>M0_ii.8.4</t>
        </is>
      </c>
      <c r="C42" s="27" t="inlineStr">
        <is>
          <t>X</t>
        </is>
      </c>
      <c r="F42" s="47" t="inlineStr">
        <is>
          <t>Yes</t>
        </is>
      </c>
      <c r="H42">
        <f>AND(B42&lt;&gt;"",C42&lt;&gt;"")</f>
        <v/>
      </c>
      <c r="I42">
        <f>OR(B42&lt;&gt;"",C42&lt;&gt;"")</f>
        <v/>
      </c>
      <c r="J42">
        <f>AND(B42&lt;&gt;"",D42&lt;&gt;"")</f>
        <v/>
      </c>
      <c r="K42">
        <f>OR(B42&lt;&gt;"",D42&lt;&gt;"")</f>
        <v/>
      </c>
      <c r="L42">
        <f>AND(B42&lt;&gt;"",E42&lt;&gt;"")</f>
        <v/>
      </c>
      <c r="M42">
        <f>OR(B42&lt;&gt;"",E42&lt;&gt;"")</f>
        <v/>
      </c>
      <c r="N42">
        <f>AND(C42&lt;&gt;"",D42&lt;&gt;"")</f>
        <v/>
      </c>
      <c r="O42">
        <f>OR(C42&lt;&gt;"",D42&lt;&gt;"")</f>
        <v/>
      </c>
      <c r="P42">
        <f>AND(C42&lt;&gt;"",E42&lt;&gt;"")</f>
        <v/>
      </c>
      <c r="Q42">
        <f>OR(C42&lt;&gt;"",E42&lt;&gt;"")</f>
        <v/>
      </c>
      <c r="R42">
        <f>AND(D42&lt;&gt;"",E42&lt;&gt;"")</f>
        <v/>
      </c>
      <c r="S42">
        <f>OR(D42&lt;&gt;"",E42&lt;&gt;"")</f>
        <v/>
      </c>
      <c r="V42">
        <f>AND(B42&lt;&gt;"",C42&lt;&gt;"",F42="No")</f>
        <v/>
      </c>
      <c r="W42">
        <f>AND(OR(B42&lt;&gt;"",C42&lt;&gt;""),F42="No")</f>
        <v/>
      </c>
      <c r="X42">
        <f>AND(B42&lt;&gt;"",D42&lt;&gt;"",F42="No")</f>
        <v/>
      </c>
      <c r="Y42">
        <f>AND(OR(B42&lt;&gt;"",D42&lt;&gt;""),F42="No")</f>
        <v/>
      </c>
      <c r="Z42">
        <f>AND(B42&lt;&gt;"",E42&lt;&gt;"",F42="No")</f>
        <v/>
      </c>
      <c r="AA42">
        <f>AND(OR(B42&lt;&gt;"",E42&lt;&gt;""),F42="No")</f>
        <v/>
      </c>
      <c r="AB42">
        <f>AND(C42&lt;&gt;"",D42&lt;&gt;"",F42="No")</f>
        <v/>
      </c>
      <c r="AC42">
        <f>AND(OR(C42&lt;&gt;"",D42&lt;&gt;""),F42="No")</f>
        <v/>
      </c>
      <c r="AD42">
        <f>AND(C42&lt;&gt;"",E42&lt;&gt;"",F42="No")</f>
        <v/>
      </c>
      <c r="AE42">
        <f>AND(OR(C42&lt;&gt;"",E42&lt;&gt;""),F42="No")</f>
        <v/>
      </c>
      <c r="AF42">
        <f>AND(D42&lt;&gt;"",E42&lt;&gt;"",F42="No")</f>
        <v/>
      </c>
      <c r="AG42">
        <f>AND(OR(D42&lt;&gt;"",E42&lt;&gt;""),F42="No")</f>
        <v/>
      </c>
    </row>
    <row r="43">
      <c r="A43" t="inlineStr">
        <is>
          <t>M0_ii.8.5</t>
        </is>
      </c>
      <c r="C43" s="27" t="inlineStr">
        <is>
          <t>X</t>
        </is>
      </c>
      <c r="F43" s="47" t="inlineStr">
        <is>
          <t>Yes</t>
        </is>
      </c>
      <c r="H43">
        <f>AND(B43&lt;&gt;"",C43&lt;&gt;"")</f>
        <v/>
      </c>
      <c r="I43">
        <f>OR(B43&lt;&gt;"",C43&lt;&gt;"")</f>
        <v/>
      </c>
      <c r="J43">
        <f>AND(B43&lt;&gt;"",D43&lt;&gt;"")</f>
        <v/>
      </c>
      <c r="K43">
        <f>OR(B43&lt;&gt;"",D43&lt;&gt;"")</f>
        <v/>
      </c>
      <c r="L43">
        <f>AND(B43&lt;&gt;"",E43&lt;&gt;"")</f>
        <v/>
      </c>
      <c r="M43">
        <f>OR(B43&lt;&gt;"",E43&lt;&gt;"")</f>
        <v/>
      </c>
      <c r="N43">
        <f>AND(C43&lt;&gt;"",D43&lt;&gt;"")</f>
        <v/>
      </c>
      <c r="O43">
        <f>OR(C43&lt;&gt;"",D43&lt;&gt;"")</f>
        <v/>
      </c>
      <c r="P43">
        <f>AND(C43&lt;&gt;"",E43&lt;&gt;"")</f>
        <v/>
      </c>
      <c r="Q43">
        <f>OR(C43&lt;&gt;"",E43&lt;&gt;"")</f>
        <v/>
      </c>
      <c r="R43">
        <f>AND(D43&lt;&gt;"",E43&lt;&gt;"")</f>
        <v/>
      </c>
      <c r="S43">
        <f>OR(D43&lt;&gt;"",E43&lt;&gt;"")</f>
        <v/>
      </c>
      <c r="V43">
        <f>AND(B43&lt;&gt;"",C43&lt;&gt;"",F43="No")</f>
        <v/>
      </c>
      <c r="W43">
        <f>AND(OR(B43&lt;&gt;"",C43&lt;&gt;""),F43="No")</f>
        <v/>
      </c>
      <c r="X43">
        <f>AND(B43&lt;&gt;"",D43&lt;&gt;"",F43="No")</f>
        <v/>
      </c>
      <c r="Y43">
        <f>AND(OR(B43&lt;&gt;"",D43&lt;&gt;""),F43="No")</f>
        <v/>
      </c>
      <c r="Z43">
        <f>AND(B43&lt;&gt;"",E43&lt;&gt;"",F43="No")</f>
        <v/>
      </c>
      <c r="AA43">
        <f>AND(OR(B43&lt;&gt;"",E43&lt;&gt;""),F43="No")</f>
        <v/>
      </c>
      <c r="AB43">
        <f>AND(C43&lt;&gt;"",D43&lt;&gt;"",F43="No")</f>
        <v/>
      </c>
      <c r="AC43">
        <f>AND(OR(C43&lt;&gt;"",D43&lt;&gt;""),F43="No")</f>
        <v/>
      </c>
      <c r="AD43">
        <f>AND(C43&lt;&gt;"",E43&lt;&gt;"",F43="No")</f>
        <v/>
      </c>
      <c r="AE43">
        <f>AND(OR(C43&lt;&gt;"",E43&lt;&gt;""),F43="No")</f>
        <v/>
      </c>
      <c r="AF43">
        <f>AND(D43&lt;&gt;"",E43&lt;&gt;"",F43="No")</f>
        <v/>
      </c>
      <c r="AG43">
        <f>AND(OR(D43&lt;&gt;"",E43&lt;&gt;""),F43="No")</f>
        <v/>
      </c>
    </row>
    <row r="44">
      <c r="A44" t="inlineStr">
        <is>
          <t>M0_iii.8.3</t>
        </is>
      </c>
      <c r="D44" s="27" t="inlineStr">
        <is>
          <t>X</t>
        </is>
      </c>
      <c r="F44" s="47" t="inlineStr">
        <is>
          <t>Yes</t>
        </is>
      </c>
      <c r="H44">
        <f>AND(B44&lt;&gt;"",C44&lt;&gt;"")</f>
        <v/>
      </c>
      <c r="I44">
        <f>OR(B44&lt;&gt;"",C44&lt;&gt;"")</f>
        <v/>
      </c>
      <c r="J44">
        <f>AND(B44&lt;&gt;"",D44&lt;&gt;"")</f>
        <v/>
      </c>
      <c r="K44">
        <f>OR(B44&lt;&gt;"",D44&lt;&gt;"")</f>
        <v/>
      </c>
      <c r="L44">
        <f>AND(B44&lt;&gt;"",E44&lt;&gt;"")</f>
        <v/>
      </c>
      <c r="M44">
        <f>OR(B44&lt;&gt;"",E44&lt;&gt;"")</f>
        <v/>
      </c>
      <c r="N44">
        <f>AND(C44&lt;&gt;"",D44&lt;&gt;"")</f>
        <v/>
      </c>
      <c r="O44">
        <f>OR(C44&lt;&gt;"",D44&lt;&gt;"")</f>
        <v/>
      </c>
      <c r="P44">
        <f>AND(C44&lt;&gt;"",E44&lt;&gt;"")</f>
        <v/>
      </c>
      <c r="Q44">
        <f>OR(C44&lt;&gt;"",E44&lt;&gt;"")</f>
        <v/>
      </c>
      <c r="R44">
        <f>AND(D44&lt;&gt;"",E44&lt;&gt;"")</f>
        <v/>
      </c>
      <c r="S44">
        <f>OR(D44&lt;&gt;"",E44&lt;&gt;"")</f>
        <v/>
      </c>
      <c r="V44">
        <f>AND(B44&lt;&gt;"",C44&lt;&gt;"",F44="No")</f>
        <v/>
      </c>
      <c r="W44">
        <f>AND(OR(B44&lt;&gt;"",C44&lt;&gt;""),F44="No")</f>
        <v/>
      </c>
      <c r="X44">
        <f>AND(B44&lt;&gt;"",D44&lt;&gt;"",F44="No")</f>
        <v/>
      </c>
      <c r="Y44">
        <f>AND(OR(B44&lt;&gt;"",D44&lt;&gt;""),F44="No")</f>
        <v/>
      </c>
      <c r="Z44">
        <f>AND(B44&lt;&gt;"",E44&lt;&gt;"",F44="No")</f>
        <v/>
      </c>
      <c r="AA44">
        <f>AND(OR(B44&lt;&gt;"",E44&lt;&gt;""),F44="No")</f>
        <v/>
      </c>
      <c r="AB44">
        <f>AND(C44&lt;&gt;"",D44&lt;&gt;"",F44="No")</f>
        <v/>
      </c>
      <c r="AC44">
        <f>AND(OR(C44&lt;&gt;"",D44&lt;&gt;""),F44="No")</f>
        <v/>
      </c>
      <c r="AD44">
        <f>AND(C44&lt;&gt;"",E44&lt;&gt;"",F44="No")</f>
        <v/>
      </c>
      <c r="AE44">
        <f>AND(OR(C44&lt;&gt;"",E44&lt;&gt;""),F44="No")</f>
        <v/>
      </c>
      <c r="AF44">
        <f>AND(D44&lt;&gt;"",E44&lt;&gt;"",F44="No")</f>
        <v/>
      </c>
      <c r="AG44">
        <f>AND(OR(D44&lt;&gt;"",E44&lt;&gt;""),F44="No")</f>
        <v/>
      </c>
    </row>
    <row r="45">
      <c r="A45" s="44" t="inlineStr">
        <is>
          <t>M0_iv.8.1</t>
        </is>
      </c>
      <c r="E45" s="27" t="inlineStr">
        <is>
          <t>X</t>
        </is>
      </c>
      <c r="F45" s="47" t="inlineStr">
        <is>
          <t>Yes</t>
        </is>
      </c>
      <c r="H45">
        <f>AND(B45&lt;&gt;"",C45&lt;&gt;"")</f>
        <v/>
      </c>
      <c r="I45">
        <f>OR(B45&lt;&gt;"",C45&lt;&gt;"")</f>
        <v/>
      </c>
      <c r="J45">
        <f>AND(B45&lt;&gt;"",D45&lt;&gt;"")</f>
        <v/>
      </c>
      <c r="K45">
        <f>OR(B45&lt;&gt;"",D45&lt;&gt;"")</f>
        <v/>
      </c>
      <c r="L45">
        <f>AND(B45&lt;&gt;"",E45&lt;&gt;"")</f>
        <v/>
      </c>
      <c r="M45">
        <f>OR(B45&lt;&gt;"",E45&lt;&gt;"")</f>
        <v/>
      </c>
      <c r="N45">
        <f>AND(C45&lt;&gt;"",D45&lt;&gt;"")</f>
        <v/>
      </c>
      <c r="O45">
        <f>OR(C45&lt;&gt;"",D45&lt;&gt;"")</f>
        <v/>
      </c>
      <c r="P45">
        <f>AND(C45&lt;&gt;"",E45&lt;&gt;"")</f>
        <v/>
      </c>
      <c r="Q45">
        <f>OR(C45&lt;&gt;"",E45&lt;&gt;"")</f>
        <v/>
      </c>
      <c r="R45">
        <f>AND(D45&lt;&gt;"",E45&lt;&gt;"")</f>
        <v/>
      </c>
      <c r="S45">
        <f>OR(D45&lt;&gt;"",E45&lt;&gt;"")</f>
        <v/>
      </c>
      <c r="V45">
        <f>AND(B45&lt;&gt;"",C45&lt;&gt;"",F45="No")</f>
        <v/>
      </c>
      <c r="W45">
        <f>AND(OR(B45&lt;&gt;"",C45&lt;&gt;""),F45="No")</f>
        <v/>
      </c>
      <c r="X45">
        <f>AND(B45&lt;&gt;"",D45&lt;&gt;"",F45="No")</f>
        <v/>
      </c>
      <c r="Y45">
        <f>AND(OR(B45&lt;&gt;"",D45&lt;&gt;""),F45="No")</f>
        <v/>
      </c>
      <c r="Z45">
        <f>AND(B45&lt;&gt;"",E45&lt;&gt;"",F45="No")</f>
        <v/>
      </c>
      <c r="AA45">
        <f>AND(OR(B45&lt;&gt;"",E45&lt;&gt;""),F45="No")</f>
        <v/>
      </c>
      <c r="AB45">
        <f>AND(C45&lt;&gt;"",D45&lt;&gt;"",F45="No")</f>
        <v/>
      </c>
      <c r="AC45">
        <f>AND(OR(C45&lt;&gt;"",D45&lt;&gt;""),F45="No")</f>
        <v/>
      </c>
      <c r="AD45">
        <f>AND(C45&lt;&gt;"",E45&lt;&gt;"",F45="No")</f>
        <v/>
      </c>
      <c r="AE45">
        <f>AND(OR(C45&lt;&gt;"",E45&lt;&gt;""),F45="No")</f>
        <v/>
      </c>
      <c r="AF45">
        <f>AND(D45&lt;&gt;"",E45&lt;&gt;"",F45="No")</f>
        <v/>
      </c>
      <c r="AG45">
        <f>AND(OR(D45&lt;&gt;"",E45&lt;&gt;""),F45="No")</f>
        <v/>
      </c>
    </row>
    <row r="46">
      <c r="A46" s="44" t="inlineStr">
        <is>
          <t>M0_iv.8.2</t>
        </is>
      </c>
      <c r="E46" s="27" t="inlineStr">
        <is>
          <t>X</t>
        </is>
      </c>
      <c r="F46" s="47" t="inlineStr">
        <is>
          <t>Yes</t>
        </is>
      </c>
      <c r="H46">
        <f>AND(B46&lt;&gt;"",C46&lt;&gt;"")</f>
        <v/>
      </c>
      <c r="I46">
        <f>OR(B46&lt;&gt;"",C46&lt;&gt;"")</f>
        <v/>
      </c>
      <c r="J46">
        <f>AND(B46&lt;&gt;"",D46&lt;&gt;"")</f>
        <v/>
      </c>
      <c r="K46">
        <f>OR(B46&lt;&gt;"",D46&lt;&gt;"")</f>
        <v/>
      </c>
      <c r="L46">
        <f>AND(B46&lt;&gt;"",E46&lt;&gt;"")</f>
        <v/>
      </c>
      <c r="M46">
        <f>OR(B46&lt;&gt;"",E46&lt;&gt;"")</f>
        <v/>
      </c>
      <c r="N46">
        <f>AND(C46&lt;&gt;"",D46&lt;&gt;"")</f>
        <v/>
      </c>
      <c r="O46">
        <f>OR(C46&lt;&gt;"",D46&lt;&gt;"")</f>
        <v/>
      </c>
      <c r="P46">
        <f>AND(C46&lt;&gt;"",E46&lt;&gt;"")</f>
        <v/>
      </c>
      <c r="Q46">
        <f>OR(C46&lt;&gt;"",E46&lt;&gt;"")</f>
        <v/>
      </c>
      <c r="R46">
        <f>AND(D46&lt;&gt;"",E46&lt;&gt;"")</f>
        <v/>
      </c>
      <c r="S46">
        <f>OR(D46&lt;&gt;"",E46&lt;&gt;"")</f>
        <v/>
      </c>
      <c r="V46">
        <f>AND(B46&lt;&gt;"",C46&lt;&gt;"",F46="No")</f>
        <v/>
      </c>
      <c r="W46">
        <f>AND(OR(B46&lt;&gt;"",C46&lt;&gt;""),F46="No")</f>
        <v/>
      </c>
      <c r="X46">
        <f>AND(B46&lt;&gt;"",D46&lt;&gt;"",F46="No")</f>
        <v/>
      </c>
      <c r="Y46">
        <f>AND(OR(B46&lt;&gt;"",D46&lt;&gt;""),F46="No")</f>
        <v/>
      </c>
      <c r="Z46">
        <f>AND(B46&lt;&gt;"",E46&lt;&gt;"",F46="No")</f>
        <v/>
      </c>
      <c r="AA46">
        <f>AND(OR(B46&lt;&gt;"",E46&lt;&gt;""),F46="No")</f>
        <v/>
      </c>
      <c r="AB46">
        <f>AND(C46&lt;&gt;"",D46&lt;&gt;"",F46="No")</f>
        <v/>
      </c>
      <c r="AC46">
        <f>AND(OR(C46&lt;&gt;"",D46&lt;&gt;""),F46="No")</f>
        <v/>
      </c>
      <c r="AD46">
        <f>AND(C46&lt;&gt;"",E46&lt;&gt;"",F46="No")</f>
        <v/>
      </c>
      <c r="AE46">
        <f>AND(OR(C46&lt;&gt;"",E46&lt;&gt;""),F46="No")</f>
        <v/>
      </c>
      <c r="AF46">
        <f>AND(D46&lt;&gt;"",E46&lt;&gt;"",F46="No")</f>
        <v/>
      </c>
      <c r="AG46">
        <f>AND(OR(D46&lt;&gt;"",E46&lt;&gt;""),F46="No")</f>
        <v/>
      </c>
    </row>
    <row r="47">
      <c r="A47" s="44" t="inlineStr">
        <is>
          <t>H.9.1</t>
        </is>
      </c>
      <c r="B47" s="27" t="inlineStr">
        <is>
          <t>X</t>
        </is>
      </c>
      <c r="C47" s="27" t="inlineStr">
        <is>
          <t>X</t>
        </is>
      </c>
      <c r="D47" s="27" t="inlineStr">
        <is>
          <t>P</t>
        </is>
      </c>
      <c r="E47" s="27" t="inlineStr">
        <is>
          <t>X</t>
        </is>
      </c>
      <c r="F47" s="47" t="inlineStr">
        <is>
          <t>No</t>
        </is>
      </c>
      <c r="H47">
        <f>AND(B47&lt;&gt;"",C47&lt;&gt;"")</f>
        <v/>
      </c>
      <c r="I47">
        <f>OR(B47&lt;&gt;"",C47&lt;&gt;"")</f>
        <v/>
      </c>
      <c r="J47">
        <f>AND(B47&lt;&gt;"",D47&lt;&gt;"")</f>
        <v/>
      </c>
      <c r="K47">
        <f>OR(B47&lt;&gt;"",D47&lt;&gt;"")</f>
        <v/>
      </c>
      <c r="L47">
        <f>AND(B47&lt;&gt;"",E47&lt;&gt;"")</f>
        <v/>
      </c>
      <c r="M47">
        <f>OR(B47&lt;&gt;"",E47&lt;&gt;"")</f>
        <v/>
      </c>
      <c r="N47">
        <f>AND(C47&lt;&gt;"",D47&lt;&gt;"")</f>
        <v/>
      </c>
      <c r="O47">
        <f>OR(C47&lt;&gt;"",D47&lt;&gt;"")</f>
        <v/>
      </c>
      <c r="P47">
        <f>AND(C47&lt;&gt;"",E47&lt;&gt;"")</f>
        <v/>
      </c>
      <c r="Q47">
        <f>OR(C47&lt;&gt;"",E47&lt;&gt;"")</f>
        <v/>
      </c>
      <c r="R47">
        <f>AND(D47&lt;&gt;"",E47&lt;&gt;"")</f>
        <v/>
      </c>
      <c r="S47">
        <f>OR(D47&lt;&gt;"",E47&lt;&gt;"")</f>
        <v/>
      </c>
      <c r="V47">
        <f>AND(B47&lt;&gt;"",C47&lt;&gt;"",F47="No")</f>
        <v/>
      </c>
      <c r="W47">
        <f>AND(OR(B47&lt;&gt;"",C47&lt;&gt;""),F47="No")</f>
        <v/>
      </c>
      <c r="X47">
        <f>AND(B47&lt;&gt;"",D47&lt;&gt;"",F47="No")</f>
        <v/>
      </c>
      <c r="Y47">
        <f>AND(OR(B47&lt;&gt;"",D47&lt;&gt;""),F47="No")</f>
        <v/>
      </c>
      <c r="Z47">
        <f>AND(B47&lt;&gt;"",E47&lt;&gt;"",F47="No")</f>
        <v/>
      </c>
      <c r="AA47">
        <f>AND(OR(B47&lt;&gt;"",E47&lt;&gt;""),F47="No")</f>
        <v/>
      </c>
      <c r="AB47">
        <f>AND(C47&lt;&gt;"",D47&lt;&gt;"",F47="No")</f>
        <v/>
      </c>
      <c r="AC47">
        <f>AND(OR(C47&lt;&gt;"",D47&lt;&gt;""),F47="No")</f>
        <v/>
      </c>
      <c r="AD47">
        <f>AND(C47&lt;&gt;"",E47&lt;&gt;"",F47="No")</f>
        <v/>
      </c>
      <c r="AE47">
        <f>AND(OR(C47&lt;&gt;"",E47&lt;&gt;""),F47="No")</f>
        <v/>
      </c>
      <c r="AF47">
        <f>AND(D47&lt;&gt;"",E47&lt;&gt;"",F47="No")</f>
        <v/>
      </c>
      <c r="AG47">
        <f>AND(OR(D47&lt;&gt;"",E47&lt;&gt;""),F47="No")</f>
        <v/>
      </c>
    </row>
    <row r="48">
      <c r="A48" s="44" t="inlineStr">
        <is>
          <t>H.9.2</t>
        </is>
      </c>
      <c r="B48" s="27" t="inlineStr">
        <is>
          <t>P</t>
        </is>
      </c>
      <c r="F48" s="47" t="inlineStr">
        <is>
          <t>No</t>
        </is>
      </c>
      <c r="H48">
        <f>AND(B48&lt;&gt;"",C48&lt;&gt;"")</f>
        <v/>
      </c>
      <c r="I48">
        <f>OR(B48&lt;&gt;"",C48&lt;&gt;"")</f>
        <v/>
      </c>
      <c r="J48">
        <f>AND(B48&lt;&gt;"",D48&lt;&gt;"")</f>
        <v/>
      </c>
      <c r="K48">
        <f>OR(B48&lt;&gt;"",D48&lt;&gt;"")</f>
        <v/>
      </c>
      <c r="L48">
        <f>AND(B48&lt;&gt;"",E48&lt;&gt;"")</f>
        <v/>
      </c>
      <c r="M48">
        <f>OR(B48&lt;&gt;"",E48&lt;&gt;"")</f>
        <v/>
      </c>
      <c r="N48">
        <f>AND(C48&lt;&gt;"",D48&lt;&gt;"")</f>
        <v/>
      </c>
      <c r="O48">
        <f>OR(C48&lt;&gt;"",D48&lt;&gt;"")</f>
        <v/>
      </c>
      <c r="P48">
        <f>AND(C48&lt;&gt;"",E48&lt;&gt;"")</f>
        <v/>
      </c>
      <c r="Q48">
        <f>OR(C48&lt;&gt;"",E48&lt;&gt;"")</f>
        <v/>
      </c>
      <c r="R48">
        <f>AND(D48&lt;&gt;"",E48&lt;&gt;"")</f>
        <v/>
      </c>
      <c r="S48">
        <f>OR(D48&lt;&gt;"",E48&lt;&gt;"")</f>
        <v/>
      </c>
      <c r="V48">
        <f>AND(B48&lt;&gt;"",C48&lt;&gt;"",F48="No")</f>
        <v/>
      </c>
      <c r="W48">
        <f>AND(OR(B48&lt;&gt;"",C48&lt;&gt;""),F48="No")</f>
        <v/>
      </c>
      <c r="X48">
        <f>AND(B48&lt;&gt;"",D48&lt;&gt;"",F48="No")</f>
        <v/>
      </c>
      <c r="Y48">
        <f>AND(OR(B48&lt;&gt;"",D48&lt;&gt;""),F48="No")</f>
        <v/>
      </c>
      <c r="Z48">
        <f>AND(B48&lt;&gt;"",E48&lt;&gt;"",F48="No")</f>
        <v/>
      </c>
      <c r="AA48">
        <f>AND(OR(B48&lt;&gt;"",E48&lt;&gt;""),F48="No")</f>
        <v/>
      </c>
      <c r="AB48">
        <f>AND(C48&lt;&gt;"",D48&lt;&gt;"",F48="No")</f>
        <v/>
      </c>
      <c r="AC48">
        <f>AND(OR(C48&lt;&gt;"",D48&lt;&gt;""),F48="No")</f>
        <v/>
      </c>
      <c r="AD48">
        <f>AND(C48&lt;&gt;"",E48&lt;&gt;"",F48="No")</f>
        <v/>
      </c>
      <c r="AE48">
        <f>AND(OR(C48&lt;&gt;"",E48&lt;&gt;""),F48="No")</f>
        <v/>
      </c>
      <c r="AF48">
        <f>AND(D48&lt;&gt;"",E48&lt;&gt;"",F48="No")</f>
        <v/>
      </c>
      <c r="AG48">
        <f>AND(OR(D48&lt;&gt;"",E48&lt;&gt;""),F48="No")</f>
        <v/>
      </c>
    </row>
    <row r="49">
      <c r="A49" s="44" t="inlineStr">
        <is>
          <t>H.9.3</t>
        </is>
      </c>
      <c r="B49" s="27" t="inlineStr">
        <is>
          <t>X</t>
        </is>
      </c>
      <c r="C49" s="27" t="inlineStr">
        <is>
          <t>X</t>
        </is>
      </c>
      <c r="D49" s="27" t="inlineStr">
        <is>
          <t>X</t>
        </is>
      </c>
      <c r="E49" s="27" t="inlineStr">
        <is>
          <t>X</t>
        </is>
      </c>
      <c r="F49" s="47" t="inlineStr">
        <is>
          <t>No</t>
        </is>
      </c>
      <c r="H49">
        <f>AND(B49&lt;&gt;"",C49&lt;&gt;"")</f>
        <v/>
      </c>
      <c r="I49">
        <f>OR(B49&lt;&gt;"",C49&lt;&gt;"")</f>
        <v/>
      </c>
      <c r="J49">
        <f>AND(B49&lt;&gt;"",D49&lt;&gt;"")</f>
        <v/>
      </c>
      <c r="K49">
        <f>OR(B49&lt;&gt;"",D49&lt;&gt;"")</f>
        <v/>
      </c>
      <c r="L49">
        <f>AND(B49&lt;&gt;"",E49&lt;&gt;"")</f>
        <v/>
      </c>
      <c r="M49">
        <f>OR(B49&lt;&gt;"",E49&lt;&gt;"")</f>
        <v/>
      </c>
      <c r="N49">
        <f>AND(C49&lt;&gt;"",D49&lt;&gt;"")</f>
        <v/>
      </c>
      <c r="O49">
        <f>OR(C49&lt;&gt;"",D49&lt;&gt;"")</f>
        <v/>
      </c>
      <c r="P49">
        <f>AND(C49&lt;&gt;"",E49&lt;&gt;"")</f>
        <v/>
      </c>
      <c r="Q49">
        <f>OR(C49&lt;&gt;"",E49&lt;&gt;"")</f>
        <v/>
      </c>
      <c r="R49">
        <f>AND(D49&lt;&gt;"",E49&lt;&gt;"")</f>
        <v/>
      </c>
      <c r="S49">
        <f>OR(D49&lt;&gt;"",E49&lt;&gt;"")</f>
        <v/>
      </c>
      <c r="V49">
        <f>AND(B49&lt;&gt;"",C49&lt;&gt;"",F49="No")</f>
        <v/>
      </c>
      <c r="W49">
        <f>AND(OR(B49&lt;&gt;"",C49&lt;&gt;""),F49="No")</f>
        <v/>
      </c>
      <c r="X49">
        <f>AND(B49&lt;&gt;"",D49&lt;&gt;"",F49="No")</f>
        <v/>
      </c>
      <c r="Y49">
        <f>AND(OR(B49&lt;&gt;"",D49&lt;&gt;""),F49="No")</f>
        <v/>
      </c>
      <c r="Z49">
        <f>AND(B49&lt;&gt;"",E49&lt;&gt;"",F49="No")</f>
        <v/>
      </c>
      <c r="AA49">
        <f>AND(OR(B49&lt;&gt;"",E49&lt;&gt;""),F49="No")</f>
        <v/>
      </c>
      <c r="AB49">
        <f>AND(C49&lt;&gt;"",D49&lt;&gt;"",F49="No")</f>
        <v/>
      </c>
      <c r="AC49">
        <f>AND(OR(C49&lt;&gt;"",D49&lt;&gt;""),F49="No")</f>
        <v/>
      </c>
      <c r="AD49">
        <f>AND(C49&lt;&gt;"",E49&lt;&gt;"",F49="No")</f>
        <v/>
      </c>
      <c r="AE49">
        <f>AND(OR(C49&lt;&gt;"",E49&lt;&gt;""),F49="No")</f>
        <v/>
      </c>
      <c r="AF49">
        <f>AND(D49&lt;&gt;"",E49&lt;&gt;"",F49="No")</f>
        <v/>
      </c>
      <c r="AG49">
        <f>AND(OR(D49&lt;&gt;"",E49&lt;&gt;""),F49="No")</f>
        <v/>
      </c>
    </row>
    <row r="50">
      <c r="A50" s="44" t="inlineStr">
        <is>
          <t>H.10.1</t>
        </is>
      </c>
      <c r="B50" s="27" t="inlineStr">
        <is>
          <t>X</t>
        </is>
      </c>
      <c r="C50" s="27" t="inlineStr">
        <is>
          <t>X</t>
        </is>
      </c>
      <c r="D50" s="27" t="inlineStr">
        <is>
          <t>X</t>
        </is>
      </c>
      <c r="E50" s="27" t="inlineStr">
        <is>
          <t>X</t>
        </is>
      </c>
      <c r="F50" s="47" t="inlineStr">
        <is>
          <t>No</t>
        </is>
      </c>
      <c r="H50">
        <f>AND(B50&lt;&gt;"",C50&lt;&gt;"")</f>
        <v/>
      </c>
      <c r="I50">
        <f>OR(B50&lt;&gt;"",C50&lt;&gt;"")</f>
        <v/>
      </c>
      <c r="J50">
        <f>AND(B50&lt;&gt;"",D50&lt;&gt;"")</f>
        <v/>
      </c>
      <c r="K50">
        <f>OR(B50&lt;&gt;"",D50&lt;&gt;"")</f>
        <v/>
      </c>
      <c r="L50">
        <f>AND(B50&lt;&gt;"",E50&lt;&gt;"")</f>
        <v/>
      </c>
      <c r="M50">
        <f>OR(B50&lt;&gt;"",E50&lt;&gt;"")</f>
        <v/>
      </c>
      <c r="N50">
        <f>AND(C50&lt;&gt;"",D50&lt;&gt;"")</f>
        <v/>
      </c>
      <c r="O50">
        <f>OR(C50&lt;&gt;"",D50&lt;&gt;"")</f>
        <v/>
      </c>
      <c r="P50">
        <f>AND(C50&lt;&gt;"",E50&lt;&gt;"")</f>
        <v/>
      </c>
      <c r="Q50">
        <f>OR(C50&lt;&gt;"",E50&lt;&gt;"")</f>
        <v/>
      </c>
      <c r="R50">
        <f>AND(D50&lt;&gt;"",E50&lt;&gt;"")</f>
        <v/>
      </c>
      <c r="S50">
        <f>OR(D50&lt;&gt;"",E50&lt;&gt;"")</f>
        <v/>
      </c>
      <c r="V50">
        <f>AND(B50&lt;&gt;"",C50&lt;&gt;"",F50="No")</f>
        <v/>
      </c>
      <c r="W50">
        <f>AND(OR(B50&lt;&gt;"",C50&lt;&gt;""),F50="No")</f>
        <v/>
      </c>
      <c r="X50">
        <f>AND(B50&lt;&gt;"",D50&lt;&gt;"",F50="No")</f>
        <v/>
      </c>
      <c r="Y50">
        <f>AND(OR(B50&lt;&gt;"",D50&lt;&gt;""),F50="No")</f>
        <v/>
      </c>
      <c r="Z50">
        <f>AND(B50&lt;&gt;"",E50&lt;&gt;"",F50="No")</f>
        <v/>
      </c>
      <c r="AA50">
        <f>AND(OR(B50&lt;&gt;"",E50&lt;&gt;""),F50="No")</f>
        <v/>
      </c>
      <c r="AB50">
        <f>AND(C50&lt;&gt;"",D50&lt;&gt;"",F50="No")</f>
        <v/>
      </c>
      <c r="AC50">
        <f>AND(OR(C50&lt;&gt;"",D50&lt;&gt;""),F50="No")</f>
        <v/>
      </c>
      <c r="AD50">
        <f>AND(C50&lt;&gt;"",E50&lt;&gt;"",F50="No")</f>
        <v/>
      </c>
      <c r="AE50">
        <f>AND(OR(C50&lt;&gt;"",E50&lt;&gt;""),F50="No")</f>
        <v/>
      </c>
      <c r="AF50">
        <f>AND(D50&lt;&gt;"",E50&lt;&gt;"",F50="No")</f>
        <v/>
      </c>
      <c r="AG50">
        <f>AND(OR(D50&lt;&gt;"",E50&lt;&gt;""),F50="No")</f>
        <v/>
      </c>
    </row>
    <row r="51">
      <c r="A51" s="44" t="inlineStr">
        <is>
          <t>H.10.2</t>
        </is>
      </c>
      <c r="B51" s="27" t="inlineStr">
        <is>
          <t>X</t>
        </is>
      </c>
      <c r="C51" s="27" t="inlineStr">
        <is>
          <t>X</t>
        </is>
      </c>
      <c r="D51" s="27" t="inlineStr">
        <is>
          <t>X</t>
        </is>
      </c>
      <c r="F51" s="47" t="inlineStr">
        <is>
          <t>No</t>
        </is>
      </c>
      <c r="H51">
        <f>AND(B51&lt;&gt;"",C51&lt;&gt;"")</f>
        <v/>
      </c>
      <c r="I51">
        <f>OR(B51&lt;&gt;"",C51&lt;&gt;"")</f>
        <v/>
      </c>
      <c r="J51">
        <f>AND(B51&lt;&gt;"",D51&lt;&gt;"")</f>
        <v/>
      </c>
      <c r="K51">
        <f>OR(B51&lt;&gt;"",D51&lt;&gt;"")</f>
        <v/>
      </c>
      <c r="L51">
        <f>AND(B51&lt;&gt;"",E51&lt;&gt;"")</f>
        <v/>
      </c>
      <c r="M51">
        <f>OR(B51&lt;&gt;"",E51&lt;&gt;"")</f>
        <v/>
      </c>
      <c r="N51">
        <f>AND(C51&lt;&gt;"",D51&lt;&gt;"")</f>
        <v/>
      </c>
      <c r="O51">
        <f>OR(C51&lt;&gt;"",D51&lt;&gt;"")</f>
        <v/>
      </c>
      <c r="P51">
        <f>AND(C51&lt;&gt;"",E51&lt;&gt;"")</f>
        <v/>
      </c>
      <c r="Q51">
        <f>OR(C51&lt;&gt;"",E51&lt;&gt;"")</f>
        <v/>
      </c>
      <c r="R51">
        <f>AND(D51&lt;&gt;"",E51&lt;&gt;"")</f>
        <v/>
      </c>
      <c r="S51">
        <f>OR(D51&lt;&gt;"",E51&lt;&gt;"")</f>
        <v/>
      </c>
      <c r="V51">
        <f>AND(B51&lt;&gt;"",C51&lt;&gt;"",F51="No")</f>
        <v/>
      </c>
      <c r="W51">
        <f>AND(OR(B51&lt;&gt;"",C51&lt;&gt;""),F51="No")</f>
        <v/>
      </c>
      <c r="X51">
        <f>AND(B51&lt;&gt;"",D51&lt;&gt;"",F51="No")</f>
        <v/>
      </c>
      <c r="Y51">
        <f>AND(OR(B51&lt;&gt;"",D51&lt;&gt;""),F51="No")</f>
        <v/>
      </c>
      <c r="Z51">
        <f>AND(B51&lt;&gt;"",E51&lt;&gt;"",F51="No")</f>
        <v/>
      </c>
      <c r="AA51">
        <f>AND(OR(B51&lt;&gt;"",E51&lt;&gt;""),F51="No")</f>
        <v/>
      </c>
      <c r="AB51">
        <f>AND(C51&lt;&gt;"",D51&lt;&gt;"",F51="No")</f>
        <v/>
      </c>
      <c r="AC51">
        <f>AND(OR(C51&lt;&gt;"",D51&lt;&gt;""),F51="No")</f>
        <v/>
      </c>
      <c r="AD51">
        <f>AND(C51&lt;&gt;"",E51&lt;&gt;"",F51="No")</f>
        <v/>
      </c>
      <c r="AE51">
        <f>AND(OR(C51&lt;&gt;"",E51&lt;&gt;""),F51="No")</f>
        <v/>
      </c>
      <c r="AF51">
        <f>AND(D51&lt;&gt;"",E51&lt;&gt;"",F51="No")</f>
        <v/>
      </c>
      <c r="AG51">
        <f>AND(OR(D51&lt;&gt;"",E51&lt;&gt;""),F51="No")</f>
        <v/>
      </c>
    </row>
    <row r="52">
      <c r="A52" s="44" t="inlineStr">
        <is>
          <t>H.10.3</t>
        </is>
      </c>
      <c r="B52" s="27" t="inlineStr">
        <is>
          <t>P</t>
        </is>
      </c>
      <c r="C52" s="27" t="inlineStr">
        <is>
          <t>P</t>
        </is>
      </c>
      <c r="F52" s="47" t="inlineStr">
        <is>
          <t>No</t>
        </is>
      </c>
      <c r="H52">
        <f>AND(B52&lt;&gt;"",C52&lt;&gt;"")</f>
        <v/>
      </c>
      <c r="I52">
        <f>OR(B52&lt;&gt;"",C52&lt;&gt;"")</f>
        <v/>
      </c>
      <c r="J52">
        <f>AND(B52&lt;&gt;"",D52&lt;&gt;"")</f>
        <v/>
      </c>
      <c r="K52">
        <f>OR(B52&lt;&gt;"",D52&lt;&gt;"")</f>
        <v/>
      </c>
      <c r="L52">
        <f>AND(B52&lt;&gt;"",E52&lt;&gt;"")</f>
        <v/>
      </c>
      <c r="M52">
        <f>OR(B52&lt;&gt;"",E52&lt;&gt;"")</f>
        <v/>
      </c>
      <c r="N52">
        <f>AND(C52&lt;&gt;"",D52&lt;&gt;"")</f>
        <v/>
      </c>
      <c r="O52">
        <f>OR(C52&lt;&gt;"",D52&lt;&gt;"")</f>
        <v/>
      </c>
      <c r="P52">
        <f>AND(C52&lt;&gt;"",E52&lt;&gt;"")</f>
        <v/>
      </c>
      <c r="Q52">
        <f>OR(C52&lt;&gt;"",E52&lt;&gt;"")</f>
        <v/>
      </c>
      <c r="R52">
        <f>AND(D52&lt;&gt;"",E52&lt;&gt;"")</f>
        <v/>
      </c>
      <c r="S52">
        <f>OR(D52&lt;&gt;"",E52&lt;&gt;"")</f>
        <v/>
      </c>
      <c r="V52">
        <f>AND(B52&lt;&gt;"",C52&lt;&gt;"",F52="No")</f>
        <v/>
      </c>
      <c r="W52">
        <f>AND(OR(B52&lt;&gt;"",C52&lt;&gt;""),F52="No")</f>
        <v/>
      </c>
      <c r="X52">
        <f>AND(B52&lt;&gt;"",D52&lt;&gt;"",F52="No")</f>
        <v/>
      </c>
      <c r="Y52">
        <f>AND(OR(B52&lt;&gt;"",D52&lt;&gt;""),F52="No")</f>
        <v/>
      </c>
      <c r="Z52">
        <f>AND(B52&lt;&gt;"",E52&lt;&gt;"",F52="No")</f>
        <v/>
      </c>
      <c r="AA52">
        <f>AND(OR(B52&lt;&gt;"",E52&lt;&gt;""),F52="No")</f>
        <v/>
      </c>
      <c r="AB52">
        <f>AND(C52&lt;&gt;"",D52&lt;&gt;"",F52="No")</f>
        <v/>
      </c>
      <c r="AC52">
        <f>AND(OR(C52&lt;&gt;"",D52&lt;&gt;""),F52="No")</f>
        <v/>
      </c>
      <c r="AD52">
        <f>AND(C52&lt;&gt;"",E52&lt;&gt;"",F52="No")</f>
        <v/>
      </c>
      <c r="AE52">
        <f>AND(OR(C52&lt;&gt;"",E52&lt;&gt;""),F52="No")</f>
        <v/>
      </c>
      <c r="AF52">
        <f>AND(D52&lt;&gt;"",E52&lt;&gt;"",F52="No")</f>
        <v/>
      </c>
      <c r="AG52">
        <f>AND(OR(D52&lt;&gt;"",E52&lt;&gt;""),F52="No")</f>
        <v/>
      </c>
    </row>
    <row r="53">
      <c r="A53" s="44" t="inlineStr">
        <is>
          <t>GS.10.6</t>
        </is>
      </c>
      <c r="B53" s="27" t="inlineStr">
        <is>
          <t>X</t>
        </is>
      </c>
      <c r="F53" s="47" t="inlineStr">
        <is>
          <t>No</t>
        </is>
      </c>
      <c r="H53">
        <f>AND(B53&lt;&gt;"",C53&lt;&gt;"")</f>
        <v/>
      </c>
      <c r="I53">
        <f>OR(B53&lt;&gt;"",C53&lt;&gt;"")</f>
        <v/>
      </c>
      <c r="J53">
        <f>AND(B53&lt;&gt;"",D53&lt;&gt;"")</f>
        <v/>
      </c>
      <c r="K53">
        <f>OR(B53&lt;&gt;"",D53&lt;&gt;"")</f>
        <v/>
      </c>
      <c r="L53">
        <f>AND(B53&lt;&gt;"",E53&lt;&gt;"")</f>
        <v/>
      </c>
      <c r="M53">
        <f>OR(B53&lt;&gt;"",E53&lt;&gt;"")</f>
        <v/>
      </c>
      <c r="N53">
        <f>AND(C53&lt;&gt;"",D53&lt;&gt;"")</f>
        <v/>
      </c>
      <c r="O53">
        <f>OR(C53&lt;&gt;"",D53&lt;&gt;"")</f>
        <v/>
      </c>
      <c r="P53">
        <f>AND(C53&lt;&gt;"",E53&lt;&gt;"")</f>
        <v/>
      </c>
      <c r="Q53">
        <f>OR(C53&lt;&gt;"",E53&lt;&gt;"")</f>
        <v/>
      </c>
      <c r="R53">
        <f>AND(D53&lt;&gt;"",E53&lt;&gt;"")</f>
        <v/>
      </c>
      <c r="S53">
        <f>OR(D53&lt;&gt;"",E53&lt;&gt;"")</f>
        <v/>
      </c>
      <c r="V53">
        <f>AND(B53&lt;&gt;"",C53&lt;&gt;"",F53="No")</f>
        <v/>
      </c>
      <c r="W53">
        <f>AND(OR(B53&lt;&gt;"",C53&lt;&gt;""),F53="No")</f>
        <v/>
      </c>
      <c r="X53">
        <f>AND(B53&lt;&gt;"",D53&lt;&gt;"",F53="No")</f>
        <v/>
      </c>
      <c r="Y53">
        <f>AND(OR(B53&lt;&gt;"",D53&lt;&gt;""),F53="No")</f>
        <v/>
      </c>
      <c r="Z53">
        <f>AND(B53&lt;&gt;"",E53&lt;&gt;"",F53="No")</f>
        <v/>
      </c>
      <c r="AA53">
        <f>AND(OR(B53&lt;&gt;"",E53&lt;&gt;""),F53="No")</f>
        <v/>
      </c>
      <c r="AB53">
        <f>AND(C53&lt;&gt;"",D53&lt;&gt;"",F53="No")</f>
        <v/>
      </c>
      <c r="AC53">
        <f>AND(OR(C53&lt;&gt;"",D53&lt;&gt;""),F53="No")</f>
        <v/>
      </c>
      <c r="AD53">
        <f>AND(C53&lt;&gt;"",E53&lt;&gt;"",F53="No")</f>
        <v/>
      </c>
      <c r="AE53">
        <f>AND(OR(C53&lt;&gt;"",E53&lt;&gt;""),F53="No")</f>
        <v/>
      </c>
      <c r="AF53">
        <f>AND(D53&lt;&gt;"",E53&lt;&gt;"",F53="No")</f>
        <v/>
      </c>
      <c r="AG53">
        <f>AND(OR(D53&lt;&gt;"",E53&lt;&gt;""),F53="No")</f>
        <v/>
      </c>
    </row>
    <row r="54">
      <c r="A54" s="44" t="inlineStr">
        <is>
          <t>GS.10.9</t>
        </is>
      </c>
      <c r="B54" s="27" t="inlineStr">
        <is>
          <t>X</t>
        </is>
      </c>
      <c r="F54" s="47" t="inlineStr">
        <is>
          <t>No</t>
        </is>
      </c>
      <c r="H54">
        <f>AND(B54&lt;&gt;"",C54&lt;&gt;"")</f>
        <v/>
      </c>
      <c r="I54">
        <f>OR(B54&lt;&gt;"",C54&lt;&gt;"")</f>
        <v/>
      </c>
      <c r="J54">
        <f>AND(B54&lt;&gt;"",D54&lt;&gt;"")</f>
        <v/>
      </c>
      <c r="K54">
        <f>OR(B54&lt;&gt;"",D54&lt;&gt;"")</f>
        <v/>
      </c>
      <c r="L54">
        <f>AND(B54&lt;&gt;"",E54&lt;&gt;"")</f>
        <v/>
      </c>
      <c r="M54">
        <f>OR(B54&lt;&gt;"",E54&lt;&gt;"")</f>
        <v/>
      </c>
      <c r="N54">
        <f>AND(C54&lt;&gt;"",D54&lt;&gt;"")</f>
        <v/>
      </c>
      <c r="O54">
        <f>OR(C54&lt;&gt;"",D54&lt;&gt;"")</f>
        <v/>
      </c>
      <c r="P54">
        <f>AND(C54&lt;&gt;"",E54&lt;&gt;"")</f>
        <v/>
      </c>
      <c r="Q54">
        <f>OR(C54&lt;&gt;"",E54&lt;&gt;"")</f>
        <v/>
      </c>
      <c r="R54">
        <f>AND(D54&lt;&gt;"",E54&lt;&gt;"")</f>
        <v/>
      </c>
      <c r="S54">
        <f>OR(D54&lt;&gt;"",E54&lt;&gt;"")</f>
        <v/>
      </c>
      <c r="V54">
        <f>AND(B54&lt;&gt;"",C54&lt;&gt;"",F54="No")</f>
        <v/>
      </c>
      <c r="W54">
        <f>AND(OR(B54&lt;&gt;"",C54&lt;&gt;""),F54="No")</f>
        <v/>
      </c>
      <c r="X54">
        <f>AND(B54&lt;&gt;"",D54&lt;&gt;"",F54="No")</f>
        <v/>
      </c>
      <c r="Y54">
        <f>AND(OR(B54&lt;&gt;"",D54&lt;&gt;""),F54="No")</f>
        <v/>
      </c>
      <c r="Z54">
        <f>AND(B54&lt;&gt;"",E54&lt;&gt;"",F54="No")</f>
        <v/>
      </c>
      <c r="AA54">
        <f>AND(OR(B54&lt;&gt;"",E54&lt;&gt;""),F54="No")</f>
        <v/>
      </c>
      <c r="AB54">
        <f>AND(C54&lt;&gt;"",D54&lt;&gt;"",F54="No")</f>
        <v/>
      </c>
      <c r="AC54">
        <f>AND(OR(C54&lt;&gt;"",D54&lt;&gt;""),F54="No")</f>
        <v/>
      </c>
      <c r="AD54">
        <f>AND(C54&lt;&gt;"",E54&lt;&gt;"",F54="No")</f>
        <v/>
      </c>
      <c r="AE54">
        <f>AND(OR(C54&lt;&gt;"",E54&lt;&gt;""),F54="No")</f>
        <v/>
      </c>
      <c r="AF54">
        <f>AND(D54&lt;&gt;"",E54&lt;&gt;"",F54="No")</f>
        <v/>
      </c>
      <c r="AG54">
        <f>AND(OR(D54&lt;&gt;"",E54&lt;&gt;""),F54="No")</f>
        <v/>
      </c>
    </row>
    <row r="55">
      <c r="A55" s="44" t="inlineStr">
        <is>
          <t>GS.10.10</t>
        </is>
      </c>
      <c r="B55" s="27" t="inlineStr">
        <is>
          <t>X</t>
        </is>
      </c>
      <c r="F55" s="47" t="inlineStr">
        <is>
          <t>No</t>
        </is>
      </c>
      <c r="H55">
        <f>AND(B55&lt;&gt;"",C55&lt;&gt;"")</f>
        <v/>
      </c>
      <c r="I55">
        <f>OR(B55&lt;&gt;"",C55&lt;&gt;"")</f>
        <v/>
      </c>
      <c r="J55">
        <f>AND(B55&lt;&gt;"",D55&lt;&gt;"")</f>
        <v/>
      </c>
      <c r="K55">
        <f>OR(B55&lt;&gt;"",D55&lt;&gt;"")</f>
        <v/>
      </c>
      <c r="L55">
        <f>AND(B55&lt;&gt;"",E55&lt;&gt;"")</f>
        <v/>
      </c>
      <c r="M55">
        <f>OR(B55&lt;&gt;"",E55&lt;&gt;"")</f>
        <v/>
      </c>
      <c r="N55">
        <f>AND(C55&lt;&gt;"",D55&lt;&gt;"")</f>
        <v/>
      </c>
      <c r="O55">
        <f>OR(C55&lt;&gt;"",D55&lt;&gt;"")</f>
        <v/>
      </c>
      <c r="P55">
        <f>AND(C55&lt;&gt;"",E55&lt;&gt;"")</f>
        <v/>
      </c>
      <c r="Q55">
        <f>OR(C55&lt;&gt;"",E55&lt;&gt;"")</f>
        <v/>
      </c>
      <c r="R55">
        <f>AND(D55&lt;&gt;"",E55&lt;&gt;"")</f>
        <v/>
      </c>
      <c r="S55">
        <f>OR(D55&lt;&gt;"",E55&lt;&gt;"")</f>
        <v/>
      </c>
      <c r="V55">
        <f>AND(B55&lt;&gt;"",C55&lt;&gt;"",F55="No")</f>
        <v/>
      </c>
      <c r="W55">
        <f>AND(OR(B55&lt;&gt;"",C55&lt;&gt;""),F55="No")</f>
        <v/>
      </c>
      <c r="X55">
        <f>AND(B55&lt;&gt;"",D55&lt;&gt;"",F55="No")</f>
        <v/>
      </c>
      <c r="Y55">
        <f>AND(OR(B55&lt;&gt;"",D55&lt;&gt;""),F55="No")</f>
        <v/>
      </c>
      <c r="Z55">
        <f>AND(B55&lt;&gt;"",E55&lt;&gt;"",F55="No")</f>
        <v/>
      </c>
      <c r="AA55">
        <f>AND(OR(B55&lt;&gt;"",E55&lt;&gt;""),F55="No")</f>
        <v/>
      </c>
      <c r="AB55">
        <f>AND(C55&lt;&gt;"",D55&lt;&gt;"",F55="No")</f>
        <v/>
      </c>
      <c r="AC55">
        <f>AND(OR(C55&lt;&gt;"",D55&lt;&gt;""),F55="No")</f>
        <v/>
      </c>
      <c r="AD55">
        <f>AND(C55&lt;&gt;"",E55&lt;&gt;"",F55="No")</f>
        <v/>
      </c>
      <c r="AE55">
        <f>AND(OR(C55&lt;&gt;"",E55&lt;&gt;""),F55="No")</f>
        <v/>
      </c>
      <c r="AF55">
        <f>AND(D55&lt;&gt;"",E55&lt;&gt;"",F55="No")</f>
        <v/>
      </c>
      <c r="AG55">
        <f>AND(OR(D55&lt;&gt;"",E55&lt;&gt;""),F55="No")</f>
        <v/>
      </c>
    </row>
    <row r="56" ht="15" customHeight="1" s="54">
      <c r="A56" s="44" t="n"/>
      <c r="F56" s="47" t="n"/>
    </row>
    <row r="57">
      <c r="A57" s="47" t="inlineStr">
        <is>
          <t>Count</t>
        </is>
      </c>
      <c r="H57">
        <f>COUNTIF(H2:H55,TRUE())</f>
        <v/>
      </c>
      <c r="I57">
        <f>COUNTIF(I2:I55,TRUE())</f>
        <v/>
      </c>
      <c r="J57">
        <f>COUNTIF(J2:J55,TRUE())</f>
        <v/>
      </c>
      <c r="K57">
        <f>COUNTIF(K2:K55,TRUE())</f>
        <v/>
      </c>
      <c r="L57">
        <f>COUNTIF(L2:L55,TRUE())</f>
        <v/>
      </c>
      <c r="M57">
        <f>COUNTIF(M2:M55,TRUE())</f>
        <v/>
      </c>
      <c r="N57">
        <f>COUNTIF(N2:N55,TRUE())</f>
        <v/>
      </c>
      <c r="O57">
        <f>COUNTIF(O2:O55,TRUE())</f>
        <v/>
      </c>
      <c r="P57">
        <f>COUNTIF(P2:P55,TRUE())</f>
        <v/>
      </c>
      <c r="Q57">
        <f>COUNTIF(Q2:Q55,TRUE())</f>
        <v/>
      </c>
      <c r="R57">
        <f>COUNTIF(R2:R55,TRUE())</f>
        <v/>
      </c>
      <c r="S57">
        <f>COUNTIF(S2:S55,TRUE())</f>
        <v/>
      </c>
      <c r="T57" s="16" t="inlineStr">
        <is>
          <t>Avg.</t>
        </is>
      </c>
      <c r="V57">
        <f>COUNTIF(V2:V55,TRUE())</f>
        <v/>
      </c>
      <c r="W57">
        <f>COUNTIF(W2:W55,TRUE())</f>
        <v/>
      </c>
      <c r="X57">
        <f>COUNTIF(X2:X55,TRUE())</f>
        <v/>
      </c>
      <c r="Y57">
        <f>COUNTIF(Y2:Y55,TRUE())</f>
        <v/>
      </c>
      <c r="Z57">
        <f>COUNTIF(Z2:Z55,TRUE())</f>
        <v/>
      </c>
      <c r="AA57">
        <f>COUNTIF(AA2:AA55,TRUE())</f>
        <v/>
      </c>
      <c r="AB57">
        <f>COUNTIF(AB2:AB55,TRUE())</f>
        <v/>
      </c>
      <c r="AC57">
        <f>COUNTIF(AC2:AC55,TRUE())</f>
        <v/>
      </c>
      <c r="AD57">
        <f>COUNTIF(AD2:AD55,TRUE())</f>
        <v/>
      </c>
      <c r="AE57">
        <f>COUNTIF(AE2:AE55,TRUE())</f>
        <v/>
      </c>
      <c r="AF57">
        <f>COUNTIF(AF2:AF55,TRUE())</f>
        <v/>
      </c>
      <c r="AG57">
        <f>COUNTIF(AG2:AG55,TRUE())</f>
        <v/>
      </c>
      <c r="AH57" s="16" t="inlineStr">
        <is>
          <t>Avg.</t>
        </is>
      </c>
    </row>
    <row r="58">
      <c r="G58" s="47" t="inlineStr">
        <is>
          <t>J-index</t>
        </is>
      </c>
      <c r="H58" s="55">
        <f>H57/I57</f>
        <v/>
      </c>
      <c r="J58" s="55">
        <f>J57/K57</f>
        <v/>
      </c>
      <c r="L58" s="55">
        <f>L57/M57</f>
        <v/>
      </c>
      <c r="N58" s="55">
        <f>N57/O57</f>
        <v/>
      </c>
      <c r="P58" s="55">
        <f>P57/Q57</f>
        <v/>
      </c>
      <c r="R58" s="55">
        <f>R57/S57</f>
        <v/>
      </c>
      <c r="T58" s="55">
        <f>AVERAGE(H58:S58)</f>
        <v/>
      </c>
      <c r="U58" s="47" t="inlineStr">
        <is>
          <t>J-index</t>
        </is>
      </c>
      <c r="V58" s="55">
        <f>V57/W57</f>
        <v/>
      </c>
      <c r="X58" s="55">
        <f>X57/Y57</f>
        <v/>
      </c>
      <c r="Z58" s="55">
        <f>Z57/AA57</f>
        <v/>
      </c>
      <c r="AB58" s="55">
        <f>AB57/AC57</f>
        <v/>
      </c>
      <c r="AD58" s="55">
        <f>AD57/AE57</f>
        <v/>
      </c>
      <c r="AF58" s="55">
        <f>AF57/AG57</f>
        <v/>
      </c>
      <c r="AH58" s="55">
        <f>AVERAGE(V58:AG58)</f>
        <v/>
      </c>
    </row>
    <row r="59">
      <c r="T59" s="55">
        <f>GEOMEAN(H58:S58)</f>
        <v/>
      </c>
      <c r="AH59" s="55">
        <f>GEOMEAN(V58:AG58)</f>
        <v/>
      </c>
    </row>
    <row r="1048554" ht="15" customHeight="1" s="54"/>
  </sheetData>
  <autoFilter ref="A1:F55"/>
  <mergeCells count="13">
    <mergeCell ref="L58:M58"/>
    <mergeCell ref="J58:K58"/>
    <mergeCell ref="X58:Y58"/>
    <mergeCell ref="AB58:AC58"/>
    <mergeCell ref="AF58:AG58"/>
    <mergeCell ref="P58:Q58"/>
    <mergeCell ref="N58:O58"/>
    <mergeCell ref="V58:W58"/>
    <mergeCell ref="R58:S58"/>
    <mergeCell ref="A57:G57"/>
    <mergeCell ref="H58:I58"/>
    <mergeCell ref="Z58:AA58"/>
    <mergeCell ref="AD58:AE58"/>
  </mergeCells>
  <conditionalFormatting sqref="F2:F56">
    <cfRule type="containsText" priority="2" operator="containsText" dxfId="1" text="No">
      <formula>NOT(ISERROR(SEARCH("No",F2)))</formula>
    </cfRule>
    <cfRule type="containsText" priority="3" operator="containsText" dxfId="0" text="Yes">
      <formula>NOT(ISERROR(SEARCH("Yes",F2)))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45"/>
  <sheetViews>
    <sheetView zoomScale="85" zoomScaleNormal="85" workbookViewId="0">
      <selection activeCell="A1" sqref="A1"/>
    </sheetView>
  </sheetViews>
  <sheetFormatPr baseColWidth="8" defaultColWidth="8.7109375" defaultRowHeight="14.45"/>
  <cols>
    <col width="18" customWidth="1" style="54" min="1" max="1"/>
    <col width="9.140625" customWidth="1" style="27" min="2" max="5"/>
    <col width="9.140625" customWidth="1" style="54" min="6" max="6"/>
    <col width="11.7109375" customWidth="1" style="54" min="7" max="7"/>
    <col width="12.7109375" customWidth="1" style="54" min="8" max="34"/>
  </cols>
  <sheetData>
    <row r="1">
      <c r="A1" t="inlineStr">
        <is>
          <t>#</t>
        </is>
      </c>
      <c r="B1" s="27" t="inlineStr">
        <is>
          <t>G0_i</t>
        </is>
      </c>
      <c r="C1" s="27" t="inlineStr">
        <is>
          <t>G0_ii</t>
        </is>
      </c>
      <c r="D1" s="27" t="inlineStr">
        <is>
          <t>G0_iii</t>
        </is>
      </c>
      <c r="E1" s="27" t="inlineStr">
        <is>
          <t>G0_iv</t>
        </is>
      </c>
      <c r="F1" t="inlineStr">
        <is>
          <t>Hall.</t>
        </is>
      </c>
      <c r="H1" t="inlineStr">
        <is>
          <t>G0_i &amp;&amp; G0_ii</t>
        </is>
      </c>
      <c r="I1" t="inlineStr">
        <is>
          <t>G0_i || G0_ii</t>
        </is>
      </c>
      <c r="J1" t="inlineStr">
        <is>
          <t>G0_i &amp;&amp; G0_iii</t>
        </is>
      </c>
      <c r="K1" t="inlineStr">
        <is>
          <t>G0_i || G0_iii</t>
        </is>
      </c>
      <c r="L1" t="inlineStr">
        <is>
          <t>G0_i &amp;&amp; G0_iv</t>
        </is>
      </c>
      <c r="M1" t="inlineStr">
        <is>
          <t>G0_i || G0_iv</t>
        </is>
      </c>
      <c r="N1" t="inlineStr">
        <is>
          <t>G0_ii &amp;&amp; G0_iii</t>
        </is>
      </c>
      <c r="O1" t="inlineStr">
        <is>
          <t>G0_ii || G0_iii</t>
        </is>
      </c>
      <c r="P1" t="inlineStr">
        <is>
          <t>G0_ii &amp;&amp; G0_iv</t>
        </is>
      </c>
      <c r="Q1" t="inlineStr">
        <is>
          <t>G0_ii || G0_iv</t>
        </is>
      </c>
      <c r="R1" t="inlineStr">
        <is>
          <t>G0_iii &amp;&amp; G0_iv</t>
        </is>
      </c>
      <c r="S1" t="inlineStr">
        <is>
          <t>G0_iii || G0_iv</t>
        </is>
      </c>
      <c r="V1" t="inlineStr">
        <is>
          <t>G0_i &amp;&amp; G0_ii</t>
        </is>
      </c>
      <c r="W1" t="inlineStr">
        <is>
          <t>G0_i || G0_ii</t>
        </is>
      </c>
      <c r="X1" t="inlineStr">
        <is>
          <t>G0_i &amp;&amp; G0_iii</t>
        </is>
      </c>
      <c r="Y1" t="inlineStr">
        <is>
          <t>G0_i || G0_iii</t>
        </is>
      </c>
      <c r="Z1" t="inlineStr">
        <is>
          <t>G0_i &amp;&amp; G0_iv</t>
        </is>
      </c>
      <c r="AA1" t="inlineStr">
        <is>
          <t>G0_i || G0_iv</t>
        </is>
      </c>
      <c r="AB1" t="inlineStr">
        <is>
          <t>G0_ii &amp;&amp; G0_iii</t>
        </is>
      </c>
      <c r="AC1" t="inlineStr">
        <is>
          <t>G0_ii || G0_iii</t>
        </is>
      </c>
      <c r="AD1" t="inlineStr">
        <is>
          <t>G0_ii &amp;&amp; G0_iv</t>
        </is>
      </c>
      <c r="AE1" t="inlineStr">
        <is>
          <t>G0_ii || G0_iv</t>
        </is>
      </c>
      <c r="AF1" t="inlineStr">
        <is>
          <t>G0_iii &amp;&amp; G0_iv</t>
        </is>
      </c>
      <c r="AG1" t="inlineStr">
        <is>
          <t>G0_iii || G0_iv</t>
        </is>
      </c>
    </row>
    <row r="2">
      <c r="A2" s="44" t="inlineStr">
        <is>
          <t>H.1.1</t>
        </is>
      </c>
      <c r="B2" s="27" t="inlineStr">
        <is>
          <t>P</t>
        </is>
      </c>
      <c r="C2" s="27" t="inlineStr">
        <is>
          <t>X</t>
        </is>
      </c>
      <c r="D2" s="27" t="inlineStr">
        <is>
          <t>X</t>
        </is>
      </c>
      <c r="E2" s="27" t="inlineStr">
        <is>
          <t>X</t>
        </is>
      </c>
      <c r="F2" s="47" t="inlineStr">
        <is>
          <t>No</t>
        </is>
      </c>
      <c r="H2">
        <f>AND(B2&lt;&gt;"",C2&lt;&gt;"")</f>
        <v/>
      </c>
      <c r="I2">
        <f>OR(B2&lt;&gt;"",C2&lt;&gt;"")</f>
        <v/>
      </c>
      <c r="J2">
        <f>AND(B2&lt;&gt;"",D2&lt;&gt;"")</f>
        <v/>
      </c>
      <c r="K2">
        <f>OR(B2&lt;&gt;"",D2&lt;&gt;"")</f>
        <v/>
      </c>
      <c r="L2">
        <f>AND(B2&lt;&gt;"",E2&lt;&gt;"")</f>
        <v/>
      </c>
      <c r="M2">
        <f>OR(B2&lt;&gt;"",E2&lt;&gt;"")</f>
        <v/>
      </c>
      <c r="N2">
        <f>AND(C2&lt;&gt;"",D2&lt;&gt;"")</f>
        <v/>
      </c>
      <c r="O2">
        <f>OR(C2&lt;&gt;"",D2&lt;&gt;"")</f>
        <v/>
      </c>
      <c r="P2">
        <f>AND(C2&lt;&gt;"",E2&lt;&gt;"")</f>
        <v/>
      </c>
      <c r="Q2">
        <f>OR(C2&lt;&gt;"",E2&lt;&gt;"")</f>
        <v/>
      </c>
      <c r="R2">
        <f>AND(D2&lt;&gt;"",E2&lt;&gt;"")</f>
        <v/>
      </c>
      <c r="S2">
        <f>OR(D2&lt;&gt;"",E2&lt;&gt;"")</f>
        <v/>
      </c>
      <c r="V2">
        <f>AND(B2&lt;&gt;"",C2&lt;&gt;"",F2="No")</f>
        <v/>
      </c>
      <c r="W2">
        <f>AND(OR(B2&lt;&gt;"",C2&lt;&gt;""),F2="No")</f>
        <v/>
      </c>
      <c r="X2">
        <f>AND(B2&lt;&gt;"",D2&lt;&gt;"",F2="No")</f>
        <v/>
      </c>
      <c r="Y2">
        <f>AND(OR(B2&lt;&gt;"",D2&lt;&gt;""),F2="No")</f>
        <v/>
      </c>
      <c r="Z2">
        <f>AND(B2&lt;&gt;"",E2&lt;&gt;"",F2="No")</f>
        <v/>
      </c>
      <c r="AA2">
        <f>AND(OR(B2&lt;&gt;"",E2&lt;&gt;""),F2="No")</f>
        <v/>
      </c>
      <c r="AB2">
        <f>AND(C2&lt;&gt;"",D2&lt;&gt;"",F2="No")</f>
        <v/>
      </c>
      <c r="AC2">
        <f>AND(OR(C2&lt;&gt;"",D2&lt;&gt;""),F2="No")</f>
        <v/>
      </c>
      <c r="AD2">
        <f>AND(C2&lt;&gt;"",E2&lt;&gt;"",F2="No")</f>
        <v/>
      </c>
      <c r="AE2">
        <f>AND(OR(C2&lt;&gt;"",E2&lt;&gt;""),F2="No")</f>
        <v/>
      </c>
      <c r="AF2">
        <f>AND(D2&lt;&gt;"",E2&lt;&gt;"",F2="No")</f>
        <v/>
      </c>
      <c r="AG2">
        <f>AND(OR(D2&lt;&gt;"",E2&lt;&gt;""),F2="No")</f>
        <v/>
      </c>
    </row>
    <row r="3">
      <c r="A3" s="44" t="inlineStr">
        <is>
          <t>H.2.1</t>
        </is>
      </c>
      <c r="B3" s="27" t="inlineStr">
        <is>
          <t>P</t>
        </is>
      </c>
      <c r="C3" s="27" t="inlineStr">
        <is>
          <t>X</t>
        </is>
      </c>
      <c r="D3" s="27" t="inlineStr">
        <is>
          <t>X</t>
        </is>
      </c>
      <c r="E3" s="27" t="inlineStr">
        <is>
          <t>P</t>
        </is>
      </c>
      <c r="F3" s="47" t="inlineStr">
        <is>
          <t>No</t>
        </is>
      </c>
      <c r="H3">
        <f>AND(B3&lt;&gt;"",C3&lt;&gt;"")</f>
        <v/>
      </c>
      <c r="I3">
        <f>OR(B3&lt;&gt;"",C3&lt;&gt;"")</f>
        <v/>
      </c>
      <c r="J3">
        <f>AND(B3&lt;&gt;"",D3&lt;&gt;"")</f>
        <v/>
      </c>
      <c r="K3">
        <f>OR(B3&lt;&gt;"",D3&lt;&gt;"")</f>
        <v/>
      </c>
      <c r="L3">
        <f>AND(B3&lt;&gt;"",E3&lt;&gt;"")</f>
        <v/>
      </c>
      <c r="M3">
        <f>OR(B3&lt;&gt;"",E3&lt;&gt;"")</f>
        <v/>
      </c>
      <c r="N3">
        <f>AND(C3&lt;&gt;"",D3&lt;&gt;"")</f>
        <v/>
      </c>
      <c r="O3">
        <f>OR(C3&lt;&gt;"",D3&lt;&gt;"")</f>
        <v/>
      </c>
      <c r="P3">
        <f>AND(C3&lt;&gt;"",E3&lt;&gt;"")</f>
        <v/>
      </c>
      <c r="Q3">
        <f>OR(C3&lt;&gt;"",E3&lt;&gt;"")</f>
        <v/>
      </c>
      <c r="R3">
        <f>AND(D3&lt;&gt;"",E3&lt;&gt;"")</f>
        <v/>
      </c>
      <c r="S3">
        <f>OR(D3&lt;&gt;"",E3&lt;&gt;"")</f>
        <v/>
      </c>
      <c r="V3">
        <f>AND(B3&lt;&gt;"",C3&lt;&gt;"",F3="No")</f>
        <v/>
      </c>
      <c r="W3">
        <f>AND(OR(B3&lt;&gt;"",C3&lt;&gt;""),F3="No")</f>
        <v/>
      </c>
      <c r="X3">
        <f>AND(B3&lt;&gt;"",D3&lt;&gt;"",F3="No")</f>
        <v/>
      </c>
      <c r="Y3">
        <f>AND(OR(B3&lt;&gt;"",D3&lt;&gt;""),F3="No")</f>
        <v/>
      </c>
      <c r="Z3">
        <f>AND(B3&lt;&gt;"",E3&lt;&gt;"",F3="No")</f>
        <v/>
      </c>
      <c r="AA3">
        <f>AND(OR(B3&lt;&gt;"",E3&lt;&gt;""),F3="No")</f>
        <v/>
      </c>
      <c r="AB3">
        <f>AND(C3&lt;&gt;"",D3&lt;&gt;"",F3="No")</f>
        <v/>
      </c>
      <c r="AC3">
        <f>AND(OR(C3&lt;&gt;"",D3&lt;&gt;""),F3="No")</f>
        <v/>
      </c>
      <c r="AD3">
        <f>AND(C3&lt;&gt;"",E3&lt;&gt;"",F3="No")</f>
        <v/>
      </c>
      <c r="AE3">
        <f>AND(OR(C3&lt;&gt;"",E3&lt;&gt;""),F3="No")</f>
        <v/>
      </c>
      <c r="AF3">
        <f>AND(D3&lt;&gt;"",E3&lt;&gt;"",F3="No")</f>
        <v/>
      </c>
      <c r="AG3">
        <f>AND(OR(D3&lt;&gt;"",E3&lt;&gt;""),F3="No")</f>
        <v/>
      </c>
    </row>
    <row r="4">
      <c r="A4" t="inlineStr">
        <is>
          <t>G0.2.2</t>
        </is>
      </c>
      <c r="B4" s="27" t="inlineStr">
        <is>
          <t>X</t>
        </is>
      </c>
      <c r="F4" s="47" t="inlineStr">
        <is>
          <t>Yes</t>
        </is>
      </c>
      <c r="H4">
        <f>AND(B4&lt;&gt;"",C4&lt;&gt;"")</f>
        <v/>
      </c>
      <c r="I4">
        <f>OR(B4&lt;&gt;"",C4&lt;&gt;"")</f>
        <v/>
      </c>
      <c r="J4">
        <f>AND(B4&lt;&gt;"",D4&lt;&gt;"")</f>
        <v/>
      </c>
      <c r="K4">
        <f>OR(B4&lt;&gt;"",D4&lt;&gt;"")</f>
        <v/>
      </c>
      <c r="L4">
        <f>AND(B4&lt;&gt;"",E4&lt;&gt;"")</f>
        <v/>
      </c>
      <c r="M4">
        <f>OR(B4&lt;&gt;"",E4&lt;&gt;"")</f>
        <v/>
      </c>
      <c r="N4">
        <f>AND(C4&lt;&gt;"",D4&lt;&gt;"")</f>
        <v/>
      </c>
      <c r="O4">
        <f>OR(C4&lt;&gt;"",D4&lt;&gt;"")</f>
        <v/>
      </c>
      <c r="P4">
        <f>AND(C4&lt;&gt;"",E4&lt;&gt;"")</f>
        <v/>
      </c>
      <c r="Q4">
        <f>OR(C4&lt;&gt;"",E4&lt;&gt;"")</f>
        <v/>
      </c>
      <c r="R4">
        <f>AND(D4&lt;&gt;"",E4&lt;&gt;"")</f>
        <v/>
      </c>
      <c r="S4">
        <f>OR(D4&lt;&gt;"",E4&lt;&gt;"")</f>
        <v/>
      </c>
      <c r="V4">
        <f>AND(B4&lt;&gt;"",C4&lt;&gt;"",F4="No")</f>
        <v/>
      </c>
      <c r="W4">
        <f>AND(OR(B4&lt;&gt;"",C4&lt;&gt;""),F4="No")</f>
        <v/>
      </c>
      <c r="X4">
        <f>AND(B4&lt;&gt;"",D4&lt;&gt;"",F4="No")</f>
        <v/>
      </c>
      <c r="Y4">
        <f>AND(OR(B4&lt;&gt;"",D4&lt;&gt;""),F4="No")</f>
        <v/>
      </c>
      <c r="Z4">
        <f>AND(B4&lt;&gt;"",E4&lt;&gt;"",F4="No")</f>
        <v/>
      </c>
      <c r="AA4">
        <f>AND(OR(B4&lt;&gt;"",E4&lt;&gt;""),F4="No")</f>
        <v/>
      </c>
      <c r="AB4">
        <f>AND(C4&lt;&gt;"",D4&lt;&gt;"",F4="No")</f>
        <v/>
      </c>
      <c r="AC4">
        <f>AND(OR(C4&lt;&gt;"",D4&lt;&gt;""),F4="No")</f>
        <v/>
      </c>
      <c r="AD4">
        <f>AND(C4&lt;&gt;"",E4&lt;&gt;"",F4="No")</f>
        <v/>
      </c>
      <c r="AE4">
        <f>AND(OR(C4&lt;&gt;"",E4&lt;&gt;""),F4="No")</f>
        <v/>
      </c>
      <c r="AF4">
        <f>AND(D4&lt;&gt;"",E4&lt;&gt;"",F4="No")</f>
        <v/>
      </c>
      <c r="AG4">
        <f>AND(OR(D4&lt;&gt;"",E4&lt;&gt;""),F4="No")</f>
        <v/>
      </c>
    </row>
    <row r="5">
      <c r="A5" t="inlineStr">
        <is>
          <t>G0_iii.2.3</t>
        </is>
      </c>
      <c r="D5" s="27" t="inlineStr">
        <is>
          <t>X</t>
        </is>
      </c>
      <c r="F5" s="47" t="inlineStr">
        <is>
          <t>Yes</t>
        </is>
      </c>
      <c r="H5">
        <f>AND(B5&lt;&gt;"",C5&lt;&gt;"")</f>
        <v/>
      </c>
      <c r="I5">
        <f>OR(B5&lt;&gt;"",C5&lt;&gt;"")</f>
        <v/>
      </c>
      <c r="J5">
        <f>AND(B5&lt;&gt;"",D5&lt;&gt;"")</f>
        <v/>
      </c>
      <c r="K5">
        <f>OR(B5&lt;&gt;"",D5&lt;&gt;"")</f>
        <v/>
      </c>
      <c r="L5">
        <f>AND(B5&lt;&gt;"",E5&lt;&gt;"")</f>
        <v/>
      </c>
      <c r="M5">
        <f>OR(B5&lt;&gt;"",E5&lt;&gt;"")</f>
        <v/>
      </c>
      <c r="N5">
        <f>AND(C5&lt;&gt;"",D5&lt;&gt;"")</f>
        <v/>
      </c>
      <c r="O5">
        <f>OR(C5&lt;&gt;"",D5&lt;&gt;"")</f>
        <v/>
      </c>
      <c r="P5">
        <f>AND(C5&lt;&gt;"",E5&lt;&gt;"")</f>
        <v/>
      </c>
      <c r="Q5">
        <f>OR(C5&lt;&gt;"",E5&lt;&gt;"")</f>
        <v/>
      </c>
      <c r="R5">
        <f>AND(D5&lt;&gt;"",E5&lt;&gt;"")</f>
        <v/>
      </c>
      <c r="S5">
        <f>OR(D5&lt;&gt;"",E5&lt;&gt;"")</f>
        <v/>
      </c>
      <c r="V5">
        <f>AND(B5&lt;&gt;"",C5&lt;&gt;"",F5="No")</f>
        <v/>
      </c>
      <c r="W5">
        <f>AND(OR(B5&lt;&gt;"",C5&lt;&gt;""),F5="No")</f>
        <v/>
      </c>
      <c r="X5">
        <f>AND(B5&lt;&gt;"",D5&lt;&gt;"",F5="No")</f>
        <v/>
      </c>
      <c r="Y5">
        <f>AND(OR(B5&lt;&gt;"",D5&lt;&gt;""),F5="No")</f>
        <v/>
      </c>
      <c r="Z5">
        <f>AND(B5&lt;&gt;"",E5&lt;&gt;"",F5="No")</f>
        <v/>
      </c>
      <c r="AA5">
        <f>AND(OR(B5&lt;&gt;"",E5&lt;&gt;""),F5="No")</f>
        <v/>
      </c>
      <c r="AB5">
        <f>AND(C5&lt;&gt;"",D5&lt;&gt;"",F5="No")</f>
        <v/>
      </c>
      <c r="AC5">
        <f>AND(OR(C5&lt;&gt;"",D5&lt;&gt;""),F5="No")</f>
        <v/>
      </c>
      <c r="AD5">
        <f>AND(C5&lt;&gt;"",E5&lt;&gt;"",F5="No")</f>
        <v/>
      </c>
      <c r="AE5">
        <f>AND(OR(C5&lt;&gt;"",E5&lt;&gt;""),F5="No")</f>
        <v/>
      </c>
      <c r="AF5">
        <f>AND(D5&lt;&gt;"",E5&lt;&gt;"",F5="No")</f>
        <v/>
      </c>
      <c r="AG5">
        <f>AND(OR(D5&lt;&gt;"",E5&lt;&gt;""),F5="No")</f>
        <v/>
      </c>
    </row>
    <row r="6">
      <c r="A6" s="44" t="inlineStr">
        <is>
          <t>H.3.1</t>
        </is>
      </c>
      <c r="B6" s="27" t="inlineStr">
        <is>
          <t>X</t>
        </is>
      </c>
      <c r="C6" s="27" t="inlineStr">
        <is>
          <t>X</t>
        </is>
      </c>
      <c r="D6" s="27" t="inlineStr">
        <is>
          <t>X</t>
        </is>
      </c>
      <c r="E6" s="27" t="inlineStr">
        <is>
          <t>X</t>
        </is>
      </c>
      <c r="F6" s="47" t="inlineStr">
        <is>
          <t>No</t>
        </is>
      </c>
      <c r="H6">
        <f>AND(B6&lt;&gt;"",C6&lt;&gt;"")</f>
        <v/>
      </c>
      <c r="I6">
        <f>OR(B6&lt;&gt;"",C6&lt;&gt;"")</f>
        <v/>
      </c>
      <c r="J6">
        <f>AND(B6&lt;&gt;"",D6&lt;&gt;"")</f>
        <v/>
      </c>
      <c r="K6">
        <f>OR(B6&lt;&gt;"",D6&lt;&gt;"")</f>
        <v/>
      </c>
      <c r="L6">
        <f>AND(B6&lt;&gt;"",E6&lt;&gt;"")</f>
        <v/>
      </c>
      <c r="M6">
        <f>OR(B6&lt;&gt;"",E6&lt;&gt;"")</f>
        <v/>
      </c>
      <c r="N6">
        <f>AND(C6&lt;&gt;"",D6&lt;&gt;"")</f>
        <v/>
      </c>
      <c r="O6">
        <f>OR(C6&lt;&gt;"",D6&lt;&gt;"")</f>
        <v/>
      </c>
      <c r="P6">
        <f>AND(C6&lt;&gt;"",E6&lt;&gt;"")</f>
        <v/>
      </c>
      <c r="Q6">
        <f>OR(C6&lt;&gt;"",E6&lt;&gt;"")</f>
        <v/>
      </c>
      <c r="R6">
        <f>AND(D6&lt;&gt;"",E6&lt;&gt;"")</f>
        <v/>
      </c>
      <c r="S6">
        <f>OR(D6&lt;&gt;"",E6&lt;&gt;"")</f>
        <v/>
      </c>
      <c r="V6">
        <f>AND(B6&lt;&gt;"",C6&lt;&gt;"",F6="No")</f>
        <v/>
      </c>
      <c r="W6">
        <f>AND(OR(B6&lt;&gt;"",C6&lt;&gt;""),F6="No")</f>
        <v/>
      </c>
      <c r="X6">
        <f>AND(B6&lt;&gt;"",D6&lt;&gt;"",F6="No")</f>
        <v/>
      </c>
      <c r="Y6">
        <f>AND(OR(B6&lt;&gt;"",D6&lt;&gt;""),F6="No")</f>
        <v/>
      </c>
      <c r="Z6">
        <f>AND(B6&lt;&gt;"",E6&lt;&gt;"",F6="No")</f>
        <v/>
      </c>
      <c r="AA6">
        <f>AND(OR(B6&lt;&gt;"",E6&lt;&gt;""),F6="No")</f>
        <v/>
      </c>
      <c r="AB6">
        <f>AND(C6&lt;&gt;"",D6&lt;&gt;"",F6="No")</f>
        <v/>
      </c>
      <c r="AC6">
        <f>AND(OR(C6&lt;&gt;"",D6&lt;&gt;""),F6="No")</f>
        <v/>
      </c>
      <c r="AD6">
        <f>AND(C6&lt;&gt;"",E6&lt;&gt;"",F6="No")</f>
        <v/>
      </c>
      <c r="AE6">
        <f>AND(OR(C6&lt;&gt;"",E6&lt;&gt;""),F6="No")</f>
        <v/>
      </c>
      <c r="AF6">
        <f>AND(D6&lt;&gt;"",E6&lt;&gt;"",F6="No")</f>
        <v/>
      </c>
      <c r="AG6">
        <f>AND(OR(D6&lt;&gt;"",E6&lt;&gt;""),F6="No")</f>
        <v/>
      </c>
    </row>
    <row r="7">
      <c r="A7" s="44" t="inlineStr">
        <is>
          <t>H.3.2</t>
        </is>
      </c>
      <c r="E7" s="27" t="inlineStr">
        <is>
          <t>X</t>
        </is>
      </c>
      <c r="F7" s="47" t="inlineStr">
        <is>
          <t>No</t>
        </is>
      </c>
      <c r="H7">
        <f>AND(B7&lt;&gt;"",C7&lt;&gt;"")</f>
        <v/>
      </c>
      <c r="I7">
        <f>OR(B7&lt;&gt;"",C7&lt;&gt;"")</f>
        <v/>
      </c>
      <c r="J7">
        <f>AND(B7&lt;&gt;"",D7&lt;&gt;"")</f>
        <v/>
      </c>
      <c r="K7">
        <f>OR(B7&lt;&gt;"",D7&lt;&gt;"")</f>
        <v/>
      </c>
      <c r="L7">
        <f>AND(B7&lt;&gt;"",E7&lt;&gt;"")</f>
        <v/>
      </c>
      <c r="M7">
        <f>OR(B7&lt;&gt;"",E7&lt;&gt;"")</f>
        <v/>
      </c>
      <c r="N7">
        <f>AND(C7&lt;&gt;"",D7&lt;&gt;"")</f>
        <v/>
      </c>
      <c r="O7">
        <f>OR(C7&lt;&gt;"",D7&lt;&gt;"")</f>
        <v/>
      </c>
      <c r="P7">
        <f>AND(C7&lt;&gt;"",E7&lt;&gt;"")</f>
        <v/>
      </c>
      <c r="Q7">
        <f>OR(C7&lt;&gt;"",E7&lt;&gt;"")</f>
        <v/>
      </c>
      <c r="R7">
        <f>AND(D7&lt;&gt;"",E7&lt;&gt;"")</f>
        <v/>
      </c>
      <c r="S7">
        <f>OR(D7&lt;&gt;"",E7&lt;&gt;"")</f>
        <v/>
      </c>
      <c r="V7">
        <f>AND(B7&lt;&gt;"",C7&lt;&gt;"",F7="No")</f>
        <v/>
      </c>
      <c r="W7">
        <f>AND(OR(B7&lt;&gt;"",C7&lt;&gt;""),F7="No")</f>
        <v/>
      </c>
      <c r="X7">
        <f>AND(B7&lt;&gt;"",D7&lt;&gt;"",F7="No")</f>
        <v/>
      </c>
      <c r="Y7">
        <f>AND(OR(B7&lt;&gt;"",D7&lt;&gt;""),F7="No")</f>
        <v/>
      </c>
      <c r="Z7">
        <f>AND(B7&lt;&gt;"",E7&lt;&gt;"",F7="No")</f>
        <v/>
      </c>
      <c r="AA7">
        <f>AND(OR(B7&lt;&gt;"",E7&lt;&gt;""),F7="No")</f>
        <v/>
      </c>
      <c r="AB7">
        <f>AND(C7&lt;&gt;"",D7&lt;&gt;"",F7="No")</f>
        <v/>
      </c>
      <c r="AC7">
        <f>AND(OR(C7&lt;&gt;"",D7&lt;&gt;""),F7="No")</f>
        <v/>
      </c>
      <c r="AD7">
        <f>AND(C7&lt;&gt;"",E7&lt;&gt;"",F7="No")</f>
        <v/>
      </c>
      <c r="AE7">
        <f>AND(OR(C7&lt;&gt;"",E7&lt;&gt;""),F7="No")</f>
        <v/>
      </c>
      <c r="AF7">
        <f>AND(D7&lt;&gt;"",E7&lt;&gt;"",F7="No")</f>
        <v/>
      </c>
      <c r="AG7">
        <f>AND(OR(D7&lt;&gt;"",E7&lt;&gt;""),F7="No")</f>
        <v/>
      </c>
    </row>
    <row r="8">
      <c r="A8" s="44" t="inlineStr">
        <is>
          <t>H.3.4</t>
        </is>
      </c>
      <c r="B8" s="27" t="inlineStr">
        <is>
          <t>X</t>
        </is>
      </c>
      <c r="C8" s="27" t="inlineStr">
        <is>
          <t>X</t>
        </is>
      </c>
      <c r="E8" s="27" t="inlineStr">
        <is>
          <t>P</t>
        </is>
      </c>
      <c r="F8" s="47" t="inlineStr">
        <is>
          <t>No</t>
        </is>
      </c>
      <c r="H8">
        <f>AND(B8&lt;&gt;"",C8&lt;&gt;"")</f>
        <v/>
      </c>
      <c r="I8">
        <f>OR(B8&lt;&gt;"",C8&lt;&gt;"")</f>
        <v/>
      </c>
      <c r="J8">
        <f>AND(B8&lt;&gt;"",D8&lt;&gt;"")</f>
        <v/>
      </c>
      <c r="K8">
        <f>OR(B8&lt;&gt;"",D8&lt;&gt;"")</f>
        <v/>
      </c>
      <c r="L8">
        <f>AND(B8&lt;&gt;"",E8&lt;&gt;"")</f>
        <v/>
      </c>
      <c r="M8">
        <f>OR(B8&lt;&gt;"",E8&lt;&gt;"")</f>
        <v/>
      </c>
      <c r="N8">
        <f>AND(C8&lt;&gt;"",D8&lt;&gt;"")</f>
        <v/>
      </c>
      <c r="O8">
        <f>OR(C8&lt;&gt;"",D8&lt;&gt;"")</f>
        <v/>
      </c>
      <c r="P8">
        <f>AND(C8&lt;&gt;"",E8&lt;&gt;"")</f>
        <v/>
      </c>
      <c r="Q8">
        <f>OR(C8&lt;&gt;"",E8&lt;&gt;"")</f>
        <v/>
      </c>
      <c r="R8">
        <f>AND(D8&lt;&gt;"",E8&lt;&gt;"")</f>
        <v/>
      </c>
      <c r="S8">
        <f>OR(D8&lt;&gt;"",E8&lt;&gt;"")</f>
        <v/>
      </c>
      <c r="V8">
        <f>AND(B8&lt;&gt;"",C8&lt;&gt;"",F8="No")</f>
        <v/>
      </c>
      <c r="W8">
        <f>AND(OR(B8&lt;&gt;"",C8&lt;&gt;""),F8="No")</f>
        <v/>
      </c>
      <c r="X8">
        <f>AND(B8&lt;&gt;"",D8&lt;&gt;"",F8="No")</f>
        <v/>
      </c>
      <c r="Y8">
        <f>AND(OR(B8&lt;&gt;"",D8&lt;&gt;""),F8="No")</f>
        <v/>
      </c>
      <c r="Z8">
        <f>AND(B8&lt;&gt;"",E8&lt;&gt;"",F8="No")</f>
        <v/>
      </c>
      <c r="AA8">
        <f>AND(OR(B8&lt;&gt;"",E8&lt;&gt;""),F8="No")</f>
        <v/>
      </c>
      <c r="AB8">
        <f>AND(C8&lt;&gt;"",D8&lt;&gt;"",F8="No")</f>
        <v/>
      </c>
      <c r="AC8">
        <f>AND(OR(C8&lt;&gt;"",D8&lt;&gt;""),F8="No")</f>
        <v/>
      </c>
      <c r="AD8">
        <f>AND(C8&lt;&gt;"",E8&lt;&gt;"",F8="No")</f>
        <v/>
      </c>
      <c r="AE8">
        <f>AND(OR(C8&lt;&gt;"",E8&lt;&gt;""),F8="No")</f>
        <v/>
      </c>
      <c r="AF8">
        <f>AND(D8&lt;&gt;"",E8&lt;&gt;"",F8="No")</f>
        <v/>
      </c>
      <c r="AG8">
        <f>AND(OR(D8&lt;&gt;"",E8&lt;&gt;""),F8="No")</f>
        <v/>
      </c>
    </row>
    <row r="9">
      <c r="A9" s="44" t="inlineStr">
        <is>
          <t>GS.3.6</t>
        </is>
      </c>
      <c r="D9" s="27" t="inlineStr">
        <is>
          <t>X</t>
        </is>
      </c>
      <c r="F9" s="47" t="inlineStr">
        <is>
          <t>No</t>
        </is>
      </c>
      <c r="H9">
        <f>AND(B9&lt;&gt;"",C9&lt;&gt;"")</f>
        <v/>
      </c>
      <c r="I9">
        <f>OR(B9&lt;&gt;"",C9&lt;&gt;"")</f>
        <v/>
      </c>
      <c r="J9">
        <f>AND(B9&lt;&gt;"",D9&lt;&gt;"")</f>
        <v/>
      </c>
      <c r="K9">
        <f>OR(B9&lt;&gt;"",D9&lt;&gt;"")</f>
        <v/>
      </c>
      <c r="L9">
        <f>AND(B9&lt;&gt;"",E9&lt;&gt;"")</f>
        <v/>
      </c>
      <c r="M9">
        <f>OR(B9&lt;&gt;"",E9&lt;&gt;"")</f>
        <v/>
      </c>
      <c r="N9">
        <f>AND(C9&lt;&gt;"",D9&lt;&gt;"")</f>
        <v/>
      </c>
      <c r="O9">
        <f>OR(C9&lt;&gt;"",D9&lt;&gt;"")</f>
        <v/>
      </c>
      <c r="P9">
        <f>AND(C9&lt;&gt;"",E9&lt;&gt;"")</f>
        <v/>
      </c>
      <c r="Q9">
        <f>OR(C9&lt;&gt;"",E9&lt;&gt;"")</f>
        <v/>
      </c>
      <c r="R9">
        <f>AND(D9&lt;&gt;"",E9&lt;&gt;"")</f>
        <v/>
      </c>
      <c r="S9">
        <f>OR(D9&lt;&gt;"",E9&lt;&gt;"")</f>
        <v/>
      </c>
      <c r="V9">
        <f>AND(B9&lt;&gt;"",C9&lt;&gt;"",F9="No")</f>
        <v/>
      </c>
      <c r="W9">
        <f>AND(OR(B9&lt;&gt;"",C9&lt;&gt;""),F9="No")</f>
        <v/>
      </c>
      <c r="X9">
        <f>AND(B9&lt;&gt;"",D9&lt;&gt;"",F9="No")</f>
        <v/>
      </c>
      <c r="Y9">
        <f>AND(OR(B9&lt;&gt;"",D9&lt;&gt;""),F9="No")</f>
        <v/>
      </c>
      <c r="Z9">
        <f>AND(B9&lt;&gt;"",E9&lt;&gt;"",F9="No")</f>
        <v/>
      </c>
      <c r="AA9">
        <f>AND(OR(B9&lt;&gt;"",E9&lt;&gt;""),F9="No")</f>
        <v/>
      </c>
      <c r="AB9">
        <f>AND(C9&lt;&gt;"",D9&lt;&gt;"",F9="No")</f>
        <v/>
      </c>
      <c r="AC9">
        <f>AND(OR(C9&lt;&gt;"",D9&lt;&gt;""),F9="No")</f>
        <v/>
      </c>
      <c r="AD9">
        <f>AND(C9&lt;&gt;"",E9&lt;&gt;"",F9="No")</f>
        <v/>
      </c>
      <c r="AE9">
        <f>AND(OR(C9&lt;&gt;"",E9&lt;&gt;""),F9="No")</f>
        <v/>
      </c>
      <c r="AF9">
        <f>AND(D9&lt;&gt;"",E9&lt;&gt;"",F9="No")</f>
        <v/>
      </c>
      <c r="AG9">
        <f>AND(OR(D9&lt;&gt;"",E9&lt;&gt;""),F9="No")</f>
        <v/>
      </c>
    </row>
    <row r="10">
      <c r="A10" t="inlineStr">
        <is>
          <t>G0_iii.3.2</t>
        </is>
      </c>
      <c r="D10" s="27" t="inlineStr">
        <is>
          <t>X</t>
        </is>
      </c>
      <c r="F10" s="47" t="inlineStr">
        <is>
          <t>Yes</t>
        </is>
      </c>
      <c r="H10">
        <f>AND(B10&lt;&gt;"",C10&lt;&gt;"")</f>
        <v/>
      </c>
      <c r="I10">
        <f>OR(B10&lt;&gt;"",C10&lt;&gt;"")</f>
        <v/>
      </c>
      <c r="J10">
        <f>AND(B10&lt;&gt;"",D10&lt;&gt;"")</f>
        <v/>
      </c>
      <c r="K10">
        <f>OR(B10&lt;&gt;"",D10&lt;&gt;"")</f>
        <v/>
      </c>
      <c r="L10">
        <f>AND(B10&lt;&gt;"",E10&lt;&gt;"")</f>
        <v/>
      </c>
      <c r="M10">
        <f>OR(B10&lt;&gt;"",E10&lt;&gt;"")</f>
        <v/>
      </c>
      <c r="N10">
        <f>AND(C10&lt;&gt;"",D10&lt;&gt;"")</f>
        <v/>
      </c>
      <c r="O10">
        <f>OR(C10&lt;&gt;"",D10&lt;&gt;"")</f>
        <v/>
      </c>
      <c r="P10">
        <f>AND(C10&lt;&gt;"",E10&lt;&gt;"")</f>
        <v/>
      </c>
      <c r="Q10">
        <f>OR(C10&lt;&gt;"",E10&lt;&gt;"")</f>
        <v/>
      </c>
      <c r="R10">
        <f>AND(D10&lt;&gt;"",E10&lt;&gt;"")</f>
        <v/>
      </c>
      <c r="S10">
        <f>OR(D10&lt;&gt;"",E10&lt;&gt;"")</f>
        <v/>
      </c>
      <c r="V10">
        <f>AND(B10&lt;&gt;"",C10&lt;&gt;"",F10="No")</f>
        <v/>
      </c>
      <c r="W10">
        <f>AND(OR(B10&lt;&gt;"",C10&lt;&gt;""),F10="No")</f>
        <v/>
      </c>
      <c r="X10">
        <f>AND(B10&lt;&gt;"",D10&lt;&gt;"",F10="No")</f>
        <v/>
      </c>
      <c r="Y10">
        <f>AND(OR(B10&lt;&gt;"",D10&lt;&gt;""),F10="No")</f>
        <v/>
      </c>
      <c r="Z10">
        <f>AND(B10&lt;&gt;"",E10&lt;&gt;"",F10="No")</f>
        <v/>
      </c>
      <c r="AA10">
        <f>AND(OR(B10&lt;&gt;"",E10&lt;&gt;""),F10="No")</f>
        <v/>
      </c>
      <c r="AB10">
        <f>AND(C10&lt;&gt;"",D10&lt;&gt;"",F10="No")</f>
        <v/>
      </c>
      <c r="AC10">
        <f>AND(OR(C10&lt;&gt;"",D10&lt;&gt;""),F10="No")</f>
        <v/>
      </c>
      <c r="AD10">
        <f>AND(C10&lt;&gt;"",E10&lt;&gt;"",F10="No")</f>
        <v/>
      </c>
      <c r="AE10">
        <f>AND(OR(C10&lt;&gt;"",E10&lt;&gt;""),F10="No")</f>
        <v/>
      </c>
      <c r="AF10">
        <f>AND(D10&lt;&gt;"",E10&lt;&gt;"",F10="No")</f>
        <v/>
      </c>
      <c r="AG10">
        <f>AND(OR(D10&lt;&gt;"",E10&lt;&gt;""),F10="No")</f>
        <v/>
      </c>
    </row>
    <row r="11">
      <c r="A11" t="inlineStr">
        <is>
          <t>G0_iv.3.3</t>
        </is>
      </c>
      <c r="E11" s="27" t="inlineStr">
        <is>
          <t>X</t>
        </is>
      </c>
      <c r="F11" s="47" t="inlineStr">
        <is>
          <t>Yes</t>
        </is>
      </c>
      <c r="H11">
        <f>AND(B11&lt;&gt;"",C11&lt;&gt;"")</f>
        <v/>
      </c>
      <c r="I11">
        <f>OR(B11&lt;&gt;"",C11&lt;&gt;"")</f>
        <v/>
      </c>
      <c r="J11">
        <f>AND(B11&lt;&gt;"",D11&lt;&gt;"")</f>
        <v/>
      </c>
      <c r="K11">
        <f>OR(B11&lt;&gt;"",D11&lt;&gt;"")</f>
        <v/>
      </c>
      <c r="L11">
        <f>AND(B11&lt;&gt;"",E11&lt;&gt;"")</f>
        <v/>
      </c>
      <c r="M11">
        <f>OR(B11&lt;&gt;"",E11&lt;&gt;"")</f>
        <v/>
      </c>
      <c r="N11">
        <f>AND(C11&lt;&gt;"",D11&lt;&gt;"")</f>
        <v/>
      </c>
      <c r="O11">
        <f>OR(C11&lt;&gt;"",D11&lt;&gt;"")</f>
        <v/>
      </c>
      <c r="P11">
        <f>AND(C11&lt;&gt;"",E11&lt;&gt;"")</f>
        <v/>
      </c>
      <c r="Q11">
        <f>OR(C11&lt;&gt;"",E11&lt;&gt;"")</f>
        <v/>
      </c>
      <c r="R11">
        <f>AND(D11&lt;&gt;"",E11&lt;&gt;"")</f>
        <v/>
      </c>
      <c r="S11">
        <f>OR(D11&lt;&gt;"",E11&lt;&gt;"")</f>
        <v/>
      </c>
      <c r="V11">
        <f>AND(B11&lt;&gt;"",C11&lt;&gt;"",F11="No")</f>
        <v/>
      </c>
      <c r="W11">
        <f>AND(OR(B11&lt;&gt;"",C11&lt;&gt;""),F11="No")</f>
        <v/>
      </c>
      <c r="X11">
        <f>AND(B11&lt;&gt;"",D11&lt;&gt;"",F11="No")</f>
        <v/>
      </c>
      <c r="Y11">
        <f>AND(OR(B11&lt;&gt;"",D11&lt;&gt;""),F11="No")</f>
        <v/>
      </c>
      <c r="Z11">
        <f>AND(B11&lt;&gt;"",E11&lt;&gt;"",F11="No")</f>
        <v/>
      </c>
      <c r="AA11">
        <f>AND(OR(B11&lt;&gt;"",E11&lt;&gt;""),F11="No")</f>
        <v/>
      </c>
      <c r="AB11">
        <f>AND(C11&lt;&gt;"",D11&lt;&gt;"",F11="No")</f>
        <v/>
      </c>
      <c r="AC11">
        <f>AND(OR(C11&lt;&gt;"",D11&lt;&gt;""),F11="No")</f>
        <v/>
      </c>
      <c r="AD11">
        <f>AND(C11&lt;&gt;"",E11&lt;&gt;"",F11="No")</f>
        <v/>
      </c>
      <c r="AE11">
        <f>AND(OR(C11&lt;&gt;"",E11&lt;&gt;""),F11="No")</f>
        <v/>
      </c>
      <c r="AF11">
        <f>AND(D11&lt;&gt;"",E11&lt;&gt;"",F11="No")</f>
        <v/>
      </c>
      <c r="AG11">
        <f>AND(OR(D11&lt;&gt;"",E11&lt;&gt;""),F11="No")</f>
        <v/>
      </c>
    </row>
    <row r="12">
      <c r="A12" s="28" t="inlineStr">
        <is>
          <t>H.4.7</t>
        </is>
      </c>
      <c r="C12" s="27" t="inlineStr">
        <is>
          <t>X</t>
        </is>
      </c>
      <c r="D12" s="27" t="inlineStr">
        <is>
          <t>X</t>
        </is>
      </c>
      <c r="E12" s="27" t="inlineStr">
        <is>
          <t>P</t>
        </is>
      </c>
      <c r="F12" s="47" t="inlineStr">
        <is>
          <t>No</t>
        </is>
      </c>
      <c r="H12">
        <f>AND(B12&lt;&gt;"",C12&lt;&gt;"")</f>
        <v/>
      </c>
      <c r="I12">
        <f>OR(B12&lt;&gt;"",C12&lt;&gt;"")</f>
        <v/>
      </c>
      <c r="J12">
        <f>AND(B12&lt;&gt;"",D12&lt;&gt;"")</f>
        <v/>
      </c>
      <c r="K12">
        <f>OR(B12&lt;&gt;"",D12&lt;&gt;"")</f>
        <v/>
      </c>
      <c r="L12">
        <f>AND(B12&lt;&gt;"",E12&lt;&gt;"")</f>
        <v/>
      </c>
      <c r="M12">
        <f>OR(B12&lt;&gt;"",E12&lt;&gt;"")</f>
        <v/>
      </c>
      <c r="N12">
        <f>AND(C12&lt;&gt;"",D12&lt;&gt;"")</f>
        <v/>
      </c>
      <c r="O12">
        <f>OR(C12&lt;&gt;"",D12&lt;&gt;"")</f>
        <v/>
      </c>
      <c r="P12">
        <f>AND(C12&lt;&gt;"",E12&lt;&gt;"")</f>
        <v/>
      </c>
      <c r="Q12">
        <f>OR(C12&lt;&gt;"",E12&lt;&gt;"")</f>
        <v/>
      </c>
      <c r="R12">
        <f>AND(D12&lt;&gt;"",E12&lt;&gt;"")</f>
        <v/>
      </c>
      <c r="S12">
        <f>OR(D12&lt;&gt;"",E12&lt;&gt;"")</f>
        <v/>
      </c>
      <c r="V12">
        <f>AND(B12&lt;&gt;"",C12&lt;&gt;"",F12="No")</f>
        <v/>
      </c>
      <c r="W12">
        <f>AND(OR(B12&lt;&gt;"",C12&lt;&gt;""),F12="No")</f>
        <v/>
      </c>
      <c r="X12">
        <f>AND(B12&lt;&gt;"",D12&lt;&gt;"",F12="No")</f>
        <v/>
      </c>
      <c r="Y12">
        <f>AND(OR(B12&lt;&gt;"",D12&lt;&gt;""),F12="No")</f>
        <v/>
      </c>
      <c r="Z12">
        <f>AND(B12&lt;&gt;"",E12&lt;&gt;"",F12="No")</f>
        <v/>
      </c>
      <c r="AA12">
        <f>AND(OR(B12&lt;&gt;"",E12&lt;&gt;""),F12="No")</f>
        <v/>
      </c>
      <c r="AB12">
        <f>AND(C12&lt;&gt;"",D12&lt;&gt;"",F12="No")</f>
        <v/>
      </c>
      <c r="AC12">
        <f>AND(OR(C12&lt;&gt;"",D12&lt;&gt;""),F12="No")</f>
        <v/>
      </c>
      <c r="AD12">
        <f>AND(C12&lt;&gt;"",E12&lt;&gt;"",F12="No")</f>
        <v/>
      </c>
      <c r="AE12">
        <f>AND(OR(C12&lt;&gt;"",E12&lt;&gt;""),F12="No")</f>
        <v/>
      </c>
      <c r="AF12">
        <f>AND(D12&lt;&gt;"",E12&lt;&gt;"",F12="No")</f>
        <v/>
      </c>
      <c r="AG12">
        <f>AND(OR(D12&lt;&gt;"",E12&lt;&gt;""),F12="No")</f>
        <v/>
      </c>
    </row>
    <row r="13">
      <c r="A13" s="44" t="inlineStr">
        <is>
          <t>H.4.8</t>
        </is>
      </c>
      <c r="B13" s="27" t="inlineStr">
        <is>
          <t>P</t>
        </is>
      </c>
      <c r="C13" s="27" t="inlineStr">
        <is>
          <t>P</t>
        </is>
      </c>
      <c r="F13" s="47" t="inlineStr">
        <is>
          <t>No</t>
        </is>
      </c>
      <c r="H13">
        <f>AND(B13&lt;&gt;"",C13&lt;&gt;"")</f>
        <v/>
      </c>
      <c r="I13">
        <f>OR(B13&lt;&gt;"",C13&lt;&gt;"")</f>
        <v/>
      </c>
      <c r="J13">
        <f>AND(B13&lt;&gt;"",D13&lt;&gt;"")</f>
        <v/>
      </c>
      <c r="K13">
        <f>OR(B13&lt;&gt;"",D13&lt;&gt;"")</f>
        <v/>
      </c>
      <c r="L13">
        <f>AND(B13&lt;&gt;"",E13&lt;&gt;"")</f>
        <v/>
      </c>
      <c r="M13">
        <f>OR(B13&lt;&gt;"",E13&lt;&gt;"")</f>
        <v/>
      </c>
      <c r="N13">
        <f>AND(C13&lt;&gt;"",D13&lt;&gt;"")</f>
        <v/>
      </c>
      <c r="O13">
        <f>OR(C13&lt;&gt;"",D13&lt;&gt;"")</f>
        <v/>
      </c>
      <c r="P13">
        <f>AND(C13&lt;&gt;"",E13&lt;&gt;"")</f>
        <v/>
      </c>
      <c r="Q13">
        <f>OR(C13&lt;&gt;"",E13&lt;&gt;"")</f>
        <v/>
      </c>
      <c r="R13">
        <f>AND(D13&lt;&gt;"",E13&lt;&gt;"")</f>
        <v/>
      </c>
      <c r="S13">
        <f>OR(D13&lt;&gt;"",E13&lt;&gt;"")</f>
        <v/>
      </c>
      <c r="V13">
        <f>AND(B13&lt;&gt;"",C13&lt;&gt;"",F13="No")</f>
        <v/>
      </c>
      <c r="W13">
        <f>AND(OR(B13&lt;&gt;"",C13&lt;&gt;""),F13="No")</f>
        <v/>
      </c>
      <c r="X13">
        <f>AND(B13&lt;&gt;"",D13&lt;&gt;"",F13="No")</f>
        <v/>
      </c>
      <c r="Y13">
        <f>AND(OR(B13&lt;&gt;"",D13&lt;&gt;""),F13="No")</f>
        <v/>
      </c>
      <c r="Z13">
        <f>AND(B13&lt;&gt;"",E13&lt;&gt;"",F13="No")</f>
        <v/>
      </c>
      <c r="AA13">
        <f>AND(OR(B13&lt;&gt;"",E13&lt;&gt;""),F13="No")</f>
        <v/>
      </c>
      <c r="AB13">
        <f>AND(C13&lt;&gt;"",D13&lt;&gt;"",F13="No")</f>
        <v/>
      </c>
      <c r="AC13">
        <f>AND(OR(C13&lt;&gt;"",D13&lt;&gt;""),F13="No")</f>
        <v/>
      </c>
      <c r="AD13">
        <f>AND(C13&lt;&gt;"",E13&lt;&gt;"",F13="No")</f>
        <v/>
      </c>
      <c r="AE13">
        <f>AND(OR(C13&lt;&gt;"",E13&lt;&gt;""),F13="No")</f>
        <v/>
      </c>
      <c r="AF13">
        <f>AND(D13&lt;&gt;"",E13&lt;&gt;"",F13="No")</f>
        <v/>
      </c>
      <c r="AG13">
        <f>AND(OR(D13&lt;&gt;"",E13&lt;&gt;""),F13="No")</f>
        <v/>
      </c>
    </row>
    <row r="14">
      <c r="A14" s="44" t="inlineStr">
        <is>
          <t>GS.4.19</t>
        </is>
      </c>
      <c r="B14" s="27" t="inlineStr">
        <is>
          <t>X</t>
        </is>
      </c>
      <c r="D14" s="27" t="inlineStr">
        <is>
          <t>X</t>
        </is>
      </c>
      <c r="E14" s="27" t="inlineStr">
        <is>
          <t>X</t>
        </is>
      </c>
      <c r="F14" s="47" t="inlineStr">
        <is>
          <t>No</t>
        </is>
      </c>
      <c r="H14">
        <f>AND(B14&lt;&gt;"",C14&lt;&gt;"")</f>
        <v/>
      </c>
      <c r="I14">
        <f>OR(B14&lt;&gt;"",C14&lt;&gt;"")</f>
        <v/>
      </c>
      <c r="J14">
        <f>AND(B14&lt;&gt;"",D14&lt;&gt;"")</f>
        <v/>
      </c>
      <c r="K14">
        <f>OR(B14&lt;&gt;"",D14&lt;&gt;"")</f>
        <v/>
      </c>
      <c r="L14">
        <f>AND(B14&lt;&gt;"",E14&lt;&gt;"")</f>
        <v/>
      </c>
      <c r="M14">
        <f>OR(B14&lt;&gt;"",E14&lt;&gt;"")</f>
        <v/>
      </c>
      <c r="N14">
        <f>AND(C14&lt;&gt;"",D14&lt;&gt;"")</f>
        <v/>
      </c>
      <c r="O14">
        <f>OR(C14&lt;&gt;"",D14&lt;&gt;"")</f>
        <v/>
      </c>
      <c r="P14">
        <f>AND(C14&lt;&gt;"",E14&lt;&gt;"")</f>
        <v/>
      </c>
      <c r="Q14">
        <f>OR(C14&lt;&gt;"",E14&lt;&gt;"")</f>
        <v/>
      </c>
      <c r="R14">
        <f>AND(D14&lt;&gt;"",E14&lt;&gt;"")</f>
        <v/>
      </c>
      <c r="S14">
        <f>OR(D14&lt;&gt;"",E14&lt;&gt;"")</f>
        <v/>
      </c>
      <c r="V14">
        <f>AND(B14&lt;&gt;"",C14&lt;&gt;"",F14="No")</f>
        <v/>
      </c>
      <c r="W14">
        <f>AND(OR(B14&lt;&gt;"",C14&lt;&gt;""),F14="No")</f>
        <v/>
      </c>
      <c r="X14">
        <f>AND(B14&lt;&gt;"",D14&lt;&gt;"",F14="No")</f>
        <v/>
      </c>
      <c r="Y14">
        <f>AND(OR(B14&lt;&gt;"",D14&lt;&gt;""),F14="No")</f>
        <v/>
      </c>
      <c r="Z14">
        <f>AND(B14&lt;&gt;"",E14&lt;&gt;"",F14="No")</f>
        <v/>
      </c>
      <c r="AA14">
        <f>AND(OR(B14&lt;&gt;"",E14&lt;&gt;""),F14="No")</f>
        <v/>
      </c>
      <c r="AB14">
        <f>AND(C14&lt;&gt;"",D14&lt;&gt;"",F14="No")</f>
        <v/>
      </c>
      <c r="AC14">
        <f>AND(OR(C14&lt;&gt;"",D14&lt;&gt;""),F14="No")</f>
        <v/>
      </c>
      <c r="AD14">
        <f>AND(C14&lt;&gt;"",E14&lt;&gt;"",F14="No")</f>
        <v/>
      </c>
      <c r="AE14">
        <f>AND(OR(C14&lt;&gt;"",E14&lt;&gt;""),F14="No")</f>
        <v/>
      </c>
      <c r="AF14">
        <f>AND(D14&lt;&gt;"",E14&lt;&gt;"",F14="No")</f>
        <v/>
      </c>
      <c r="AG14">
        <f>AND(OR(D14&lt;&gt;"",E14&lt;&gt;""),F14="No")</f>
        <v/>
      </c>
    </row>
    <row r="15">
      <c r="A15" t="inlineStr">
        <is>
          <t>G0.4.1</t>
        </is>
      </c>
      <c r="B15" s="27" t="inlineStr">
        <is>
          <t>X</t>
        </is>
      </c>
      <c r="F15" s="47" t="inlineStr">
        <is>
          <t>Yes</t>
        </is>
      </c>
      <c r="H15">
        <f>AND(B15&lt;&gt;"",C15&lt;&gt;"")</f>
        <v/>
      </c>
      <c r="I15">
        <f>OR(B15&lt;&gt;"",C15&lt;&gt;"")</f>
        <v/>
      </c>
      <c r="J15">
        <f>AND(B15&lt;&gt;"",D15&lt;&gt;"")</f>
        <v/>
      </c>
      <c r="K15">
        <f>OR(B15&lt;&gt;"",D15&lt;&gt;"")</f>
        <v/>
      </c>
      <c r="L15">
        <f>AND(B15&lt;&gt;"",E15&lt;&gt;"")</f>
        <v/>
      </c>
      <c r="M15">
        <f>OR(B15&lt;&gt;"",E15&lt;&gt;"")</f>
        <v/>
      </c>
      <c r="N15">
        <f>AND(C15&lt;&gt;"",D15&lt;&gt;"")</f>
        <v/>
      </c>
      <c r="O15">
        <f>OR(C15&lt;&gt;"",D15&lt;&gt;"")</f>
        <v/>
      </c>
      <c r="P15">
        <f>AND(C15&lt;&gt;"",E15&lt;&gt;"")</f>
        <v/>
      </c>
      <c r="Q15">
        <f>OR(C15&lt;&gt;"",E15&lt;&gt;"")</f>
        <v/>
      </c>
      <c r="R15">
        <f>AND(D15&lt;&gt;"",E15&lt;&gt;"")</f>
        <v/>
      </c>
      <c r="S15">
        <f>OR(D15&lt;&gt;"",E15&lt;&gt;"")</f>
        <v/>
      </c>
      <c r="V15">
        <f>AND(B15&lt;&gt;"",C15&lt;&gt;"",F15="No")</f>
        <v/>
      </c>
      <c r="W15">
        <f>AND(OR(B15&lt;&gt;"",C15&lt;&gt;""),F15="No")</f>
        <v/>
      </c>
      <c r="X15">
        <f>AND(B15&lt;&gt;"",D15&lt;&gt;"",F15="No")</f>
        <v/>
      </c>
      <c r="Y15">
        <f>AND(OR(B15&lt;&gt;"",D15&lt;&gt;""),F15="No")</f>
        <v/>
      </c>
      <c r="Z15">
        <f>AND(B15&lt;&gt;"",E15&lt;&gt;"",F15="No")</f>
        <v/>
      </c>
      <c r="AA15">
        <f>AND(OR(B15&lt;&gt;"",E15&lt;&gt;""),F15="No")</f>
        <v/>
      </c>
      <c r="AB15">
        <f>AND(C15&lt;&gt;"",D15&lt;&gt;"",F15="No")</f>
        <v/>
      </c>
      <c r="AC15">
        <f>AND(OR(C15&lt;&gt;"",D15&lt;&gt;""),F15="No")</f>
        <v/>
      </c>
      <c r="AD15">
        <f>AND(C15&lt;&gt;"",E15&lt;&gt;"",F15="No")</f>
        <v/>
      </c>
      <c r="AE15">
        <f>AND(OR(C15&lt;&gt;"",E15&lt;&gt;""),F15="No")</f>
        <v/>
      </c>
      <c r="AF15">
        <f>AND(D15&lt;&gt;"",E15&lt;&gt;"",F15="No")</f>
        <v/>
      </c>
      <c r="AG15">
        <f>AND(OR(D15&lt;&gt;"",E15&lt;&gt;""),F15="No")</f>
        <v/>
      </c>
    </row>
    <row r="16">
      <c r="A16" t="inlineStr">
        <is>
          <t>G0.4.2</t>
        </is>
      </c>
      <c r="B16" s="27" t="inlineStr">
        <is>
          <t>X</t>
        </is>
      </c>
      <c r="F16" s="47" t="inlineStr">
        <is>
          <t>Yes</t>
        </is>
      </c>
      <c r="H16">
        <f>AND(B16&lt;&gt;"",C16&lt;&gt;"")</f>
        <v/>
      </c>
      <c r="I16">
        <f>OR(B16&lt;&gt;"",C16&lt;&gt;"")</f>
        <v/>
      </c>
      <c r="J16">
        <f>AND(B16&lt;&gt;"",D16&lt;&gt;"")</f>
        <v/>
      </c>
      <c r="K16">
        <f>OR(B16&lt;&gt;"",D16&lt;&gt;"")</f>
        <v/>
      </c>
      <c r="L16">
        <f>AND(B16&lt;&gt;"",E16&lt;&gt;"")</f>
        <v/>
      </c>
      <c r="M16">
        <f>OR(B16&lt;&gt;"",E16&lt;&gt;"")</f>
        <v/>
      </c>
      <c r="N16">
        <f>AND(C16&lt;&gt;"",D16&lt;&gt;"")</f>
        <v/>
      </c>
      <c r="O16">
        <f>OR(C16&lt;&gt;"",D16&lt;&gt;"")</f>
        <v/>
      </c>
      <c r="P16">
        <f>AND(C16&lt;&gt;"",E16&lt;&gt;"")</f>
        <v/>
      </c>
      <c r="Q16">
        <f>OR(C16&lt;&gt;"",E16&lt;&gt;"")</f>
        <v/>
      </c>
      <c r="R16">
        <f>AND(D16&lt;&gt;"",E16&lt;&gt;"")</f>
        <v/>
      </c>
      <c r="S16">
        <f>OR(D16&lt;&gt;"",E16&lt;&gt;"")</f>
        <v/>
      </c>
      <c r="V16">
        <f>AND(B16&lt;&gt;"",C16&lt;&gt;"",F16="No")</f>
        <v/>
      </c>
      <c r="W16">
        <f>AND(OR(B16&lt;&gt;"",C16&lt;&gt;""),F16="No")</f>
        <v/>
      </c>
      <c r="X16">
        <f>AND(B16&lt;&gt;"",D16&lt;&gt;"",F16="No")</f>
        <v/>
      </c>
      <c r="Y16">
        <f>AND(OR(B16&lt;&gt;"",D16&lt;&gt;""),F16="No")</f>
        <v/>
      </c>
      <c r="Z16">
        <f>AND(B16&lt;&gt;"",E16&lt;&gt;"",F16="No")</f>
        <v/>
      </c>
      <c r="AA16">
        <f>AND(OR(B16&lt;&gt;"",E16&lt;&gt;""),F16="No")</f>
        <v/>
      </c>
      <c r="AB16">
        <f>AND(C16&lt;&gt;"",D16&lt;&gt;"",F16="No")</f>
        <v/>
      </c>
      <c r="AC16">
        <f>AND(OR(C16&lt;&gt;"",D16&lt;&gt;""),F16="No")</f>
        <v/>
      </c>
      <c r="AD16">
        <f>AND(C16&lt;&gt;"",E16&lt;&gt;"",F16="No")</f>
        <v/>
      </c>
      <c r="AE16">
        <f>AND(OR(C16&lt;&gt;"",E16&lt;&gt;""),F16="No")</f>
        <v/>
      </c>
      <c r="AF16">
        <f>AND(D16&lt;&gt;"",E16&lt;&gt;"",F16="No")</f>
        <v/>
      </c>
      <c r="AG16">
        <f>AND(OR(D16&lt;&gt;"",E16&lt;&gt;""),F16="No")</f>
        <v/>
      </c>
    </row>
    <row r="17">
      <c r="A17" t="inlineStr">
        <is>
          <t>G0_iv.4.2</t>
        </is>
      </c>
      <c r="E17" s="27" t="inlineStr">
        <is>
          <t>X</t>
        </is>
      </c>
      <c r="F17" s="47" t="inlineStr">
        <is>
          <t>Yes</t>
        </is>
      </c>
      <c r="H17">
        <f>AND(B17&lt;&gt;"",C17&lt;&gt;"")</f>
        <v/>
      </c>
      <c r="I17">
        <f>OR(B17&lt;&gt;"",C17&lt;&gt;"")</f>
        <v/>
      </c>
      <c r="J17">
        <f>AND(B17&lt;&gt;"",D17&lt;&gt;"")</f>
        <v/>
      </c>
      <c r="K17">
        <f>OR(B17&lt;&gt;"",D17&lt;&gt;"")</f>
        <v/>
      </c>
      <c r="L17">
        <f>AND(B17&lt;&gt;"",E17&lt;&gt;"")</f>
        <v/>
      </c>
      <c r="M17">
        <f>OR(B17&lt;&gt;"",E17&lt;&gt;"")</f>
        <v/>
      </c>
      <c r="N17">
        <f>AND(C17&lt;&gt;"",D17&lt;&gt;"")</f>
        <v/>
      </c>
      <c r="O17">
        <f>OR(C17&lt;&gt;"",D17&lt;&gt;"")</f>
        <v/>
      </c>
      <c r="P17">
        <f>AND(C17&lt;&gt;"",E17&lt;&gt;"")</f>
        <v/>
      </c>
      <c r="Q17">
        <f>OR(C17&lt;&gt;"",E17&lt;&gt;"")</f>
        <v/>
      </c>
      <c r="R17">
        <f>AND(D17&lt;&gt;"",E17&lt;&gt;"")</f>
        <v/>
      </c>
      <c r="S17">
        <f>OR(D17&lt;&gt;"",E17&lt;&gt;"")</f>
        <v/>
      </c>
      <c r="V17">
        <f>AND(B17&lt;&gt;"",C17&lt;&gt;"",F17="No")</f>
        <v/>
      </c>
      <c r="W17">
        <f>AND(OR(B17&lt;&gt;"",C17&lt;&gt;""),F17="No")</f>
        <v/>
      </c>
      <c r="X17">
        <f>AND(B17&lt;&gt;"",D17&lt;&gt;"",F17="No")</f>
        <v/>
      </c>
      <c r="Y17">
        <f>AND(OR(B17&lt;&gt;"",D17&lt;&gt;""),F17="No")</f>
        <v/>
      </c>
      <c r="Z17">
        <f>AND(B17&lt;&gt;"",E17&lt;&gt;"",F17="No")</f>
        <v/>
      </c>
      <c r="AA17">
        <f>AND(OR(B17&lt;&gt;"",E17&lt;&gt;""),F17="No")</f>
        <v/>
      </c>
      <c r="AB17">
        <f>AND(C17&lt;&gt;"",D17&lt;&gt;"",F17="No")</f>
        <v/>
      </c>
      <c r="AC17">
        <f>AND(OR(C17&lt;&gt;"",D17&lt;&gt;""),F17="No")</f>
        <v/>
      </c>
      <c r="AD17">
        <f>AND(C17&lt;&gt;"",E17&lt;&gt;"",F17="No")</f>
        <v/>
      </c>
      <c r="AE17">
        <f>AND(OR(C17&lt;&gt;"",E17&lt;&gt;""),F17="No")</f>
        <v/>
      </c>
      <c r="AF17">
        <f>AND(D17&lt;&gt;"",E17&lt;&gt;"",F17="No")</f>
        <v/>
      </c>
      <c r="AG17">
        <f>AND(OR(D17&lt;&gt;"",E17&lt;&gt;""),F17="No")</f>
        <v/>
      </c>
    </row>
    <row r="18">
      <c r="A18" s="44" t="inlineStr">
        <is>
          <t>H.5.1</t>
        </is>
      </c>
      <c r="B18" s="27" t="inlineStr">
        <is>
          <t>X</t>
        </is>
      </c>
      <c r="C18" s="27" t="inlineStr">
        <is>
          <t>X</t>
        </is>
      </c>
      <c r="D18" s="27" t="inlineStr">
        <is>
          <t>X</t>
        </is>
      </c>
      <c r="E18" s="27" t="inlineStr">
        <is>
          <t>X</t>
        </is>
      </c>
      <c r="F18" s="47" t="inlineStr">
        <is>
          <t>No</t>
        </is>
      </c>
      <c r="H18">
        <f>AND(B18&lt;&gt;"",C18&lt;&gt;"")</f>
        <v/>
      </c>
      <c r="I18">
        <f>OR(B18&lt;&gt;"",C18&lt;&gt;"")</f>
        <v/>
      </c>
      <c r="J18">
        <f>AND(B18&lt;&gt;"",D18&lt;&gt;"")</f>
        <v/>
      </c>
      <c r="K18">
        <f>OR(B18&lt;&gt;"",D18&lt;&gt;"")</f>
        <v/>
      </c>
      <c r="L18">
        <f>AND(B18&lt;&gt;"",E18&lt;&gt;"")</f>
        <v/>
      </c>
      <c r="M18">
        <f>OR(B18&lt;&gt;"",E18&lt;&gt;"")</f>
        <v/>
      </c>
      <c r="N18">
        <f>AND(C18&lt;&gt;"",D18&lt;&gt;"")</f>
        <v/>
      </c>
      <c r="O18">
        <f>OR(C18&lt;&gt;"",D18&lt;&gt;"")</f>
        <v/>
      </c>
      <c r="P18">
        <f>AND(C18&lt;&gt;"",E18&lt;&gt;"")</f>
        <v/>
      </c>
      <c r="Q18">
        <f>OR(C18&lt;&gt;"",E18&lt;&gt;"")</f>
        <v/>
      </c>
      <c r="R18">
        <f>AND(D18&lt;&gt;"",E18&lt;&gt;"")</f>
        <v/>
      </c>
      <c r="S18">
        <f>OR(D18&lt;&gt;"",E18&lt;&gt;"")</f>
        <v/>
      </c>
      <c r="V18">
        <f>AND(B18&lt;&gt;"",C18&lt;&gt;"",F18="No")</f>
        <v/>
      </c>
      <c r="W18">
        <f>AND(OR(B18&lt;&gt;"",C18&lt;&gt;""),F18="No")</f>
        <v/>
      </c>
      <c r="X18">
        <f>AND(B18&lt;&gt;"",D18&lt;&gt;"",F18="No")</f>
        <v/>
      </c>
      <c r="Y18">
        <f>AND(OR(B18&lt;&gt;"",D18&lt;&gt;""),F18="No")</f>
        <v/>
      </c>
      <c r="Z18">
        <f>AND(B18&lt;&gt;"",E18&lt;&gt;"",F18="No")</f>
        <v/>
      </c>
      <c r="AA18">
        <f>AND(OR(B18&lt;&gt;"",E18&lt;&gt;""),F18="No")</f>
        <v/>
      </c>
      <c r="AB18">
        <f>AND(C18&lt;&gt;"",D18&lt;&gt;"",F18="No")</f>
        <v/>
      </c>
      <c r="AC18">
        <f>AND(OR(C18&lt;&gt;"",D18&lt;&gt;""),F18="No")</f>
        <v/>
      </c>
      <c r="AD18">
        <f>AND(C18&lt;&gt;"",E18&lt;&gt;"",F18="No")</f>
        <v/>
      </c>
      <c r="AE18">
        <f>AND(OR(C18&lt;&gt;"",E18&lt;&gt;""),F18="No")</f>
        <v/>
      </c>
      <c r="AF18">
        <f>AND(D18&lt;&gt;"",E18&lt;&gt;"",F18="No")</f>
        <v/>
      </c>
      <c r="AG18">
        <f>AND(OR(D18&lt;&gt;"",E18&lt;&gt;""),F18="No")</f>
        <v/>
      </c>
    </row>
    <row r="19">
      <c r="A19" s="44" t="inlineStr">
        <is>
          <t>H.5.2</t>
        </is>
      </c>
      <c r="B19" s="27" t="inlineStr">
        <is>
          <t>X</t>
        </is>
      </c>
      <c r="C19" s="27" t="inlineStr">
        <is>
          <t>X</t>
        </is>
      </c>
      <c r="D19" s="27" t="inlineStr">
        <is>
          <t>X</t>
        </is>
      </c>
      <c r="E19" s="27" t="inlineStr">
        <is>
          <t>X</t>
        </is>
      </c>
      <c r="F19" s="47" t="inlineStr">
        <is>
          <t>No</t>
        </is>
      </c>
      <c r="H19">
        <f>AND(B19&lt;&gt;"",C19&lt;&gt;"")</f>
        <v/>
      </c>
      <c r="I19">
        <f>OR(B19&lt;&gt;"",C19&lt;&gt;"")</f>
        <v/>
      </c>
      <c r="J19">
        <f>AND(B19&lt;&gt;"",D19&lt;&gt;"")</f>
        <v/>
      </c>
      <c r="K19">
        <f>OR(B19&lt;&gt;"",D19&lt;&gt;"")</f>
        <v/>
      </c>
      <c r="L19">
        <f>AND(B19&lt;&gt;"",E19&lt;&gt;"")</f>
        <v/>
      </c>
      <c r="M19">
        <f>OR(B19&lt;&gt;"",E19&lt;&gt;"")</f>
        <v/>
      </c>
      <c r="N19">
        <f>AND(C19&lt;&gt;"",D19&lt;&gt;"")</f>
        <v/>
      </c>
      <c r="O19">
        <f>OR(C19&lt;&gt;"",D19&lt;&gt;"")</f>
        <v/>
      </c>
      <c r="P19">
        <f>AND(C19&lt;&gt;"",E19&lt;&gt;"")</f>
        <v/>
      </c>
      <c r="Q19">
        <f>OR(C19&lt;&gt;"",E19&lt;&gt;"")</f>
        <v/>
      </c>
      <c r="R19">
        <f>AND(D19&lt;&gt;"",E19&lt;&gt;"")</f>
        <v/>
      </c>
      <c r="S19">
        <f>OR(D19&lt;&gt;"",E19&lt;&gt;"")</f>
        <v/>
      </c>
      <c r="V19">
        <f>AND(B19&lt;&gt;"",C19&lt;&gt;"",F19="No")</f>
        <v/>
      </c>
      <c r="W19">
        <f>AND(OR(B19&lt;&gt;"",C19&lt;&gt;""),F19="No")</f>
        <v/>
      </c>
      <c r="X19">
        <f>AND(B19&lt;&gt;"",D19&lt;&gt;"",F19="No")</f>
        <v/>
      </c>
      <c r="Y19">
        <f>AND(OR(B19&lt;&gt;"",D19&lt;&gt;""),F19="No")</f>
        <v/>
      </c>
      <c r="Z19">
        <f>AND(B19&lt;&gt;"",E19&lt;&gt;"",F19="No")</f>
        <v/>
      </c>
      <c r="AA19">
        <f>AND(OR(B19&lt;&gt;"",E19&lt;&gt;""),F19="No")</f>
        <v/>
      </c>
      <c r="AB19">
        <f>AND(C19&lt;&gt;"",D19&lt;&gt;"",F19="No")</f>
        <v/>
      </c>
      <c r="AC19">
        <f>AND(OR(C19&lt;&gt;"",D19&lt;&gt;""),F19="No")</f>
        <v/>
      </c>
      <c r="AD19">
        <f>AND(C19&lt;&gt;"",E19&lt;&gt;"",F19="No")</f>
        <v/>
      </c>
      <c r="AE19">
        <f>AND(OR(C19&lt;&gt;"",E19&lt;&gt;""),F19="No")</f>
        <v/>
      </c>
      <c r="AF19">
        <f>AND(D19&lt;&gt;"",E19&lt;&gt;"",F19="No")</f>
        <v/>
      </c>
      <c r="AG19">
        <f>AND(OR(D19&lt;&gt;"",E19&lt;&gt;""),F19="No")</f>
        <v/>
      </c>
    </row>
    <row r="20">
      <c r="A20" s="44" t="inlineStr">
        <is>
          <t>GS.5.6</t>
        </is>
      </c>
      <c r="D20" s="27" t="inlineStr">
        <is>
          <t>X</t>
        </is>
      </c>
      <c r="F20" s="47" t="inlineStr">
        <is>
          <t>No</t>
        </is>
      </c>
      <c r="H20">
        <f>AND(B20&lt;&gt;"",C20&lt;&gt;"")</f>
        <v/>
      </c>
      <c r="I20">
        <f>OR(B20&lt;&gt;"",C20&lt;&gt;"")</f>
        <v/>
      </c>
      <c r="J20">
        <f>AND(B20&lt;&gt;"",D20&lt;&gt;"")</f>
        <v/>
      </c>
      <c r="K20">
        <f>OR(B20&lt;&gt;"",D20&lt;&gt;"")</f>
        <v/>
      </c>
      <c r="L20">
        <f>AND(B20&lt;&gt;"",E20&lt;&gt;"")</f>
        <v/>
      </c>
      <c r="M20">
        <f>OR(B20&lt;&gt;"",E20&lt;&gt;"")</f>
        <v/>
      </c>
      <c r="N20">
        <f>AND(C20&lt;&gt;"",D20&lt;&gt;"")</f>
        <v/>
      </c>
      <c r="O20">
        <f>OR(C20&lt;&gt;"",D20&lt;&gt;"")</f>
        <v/>
      </c>
      <c r="P20">
        <f>AND(C20&lt;&gt;"",E20&lt;&gt;"")</f>
        <v/>
      </c>
      <c r="Q20">
        <f>OR(C20&lt;&gt;"",E20&lt;&gt;"")</f>
        <v/>
      </c>
      <c r="R20">
        <f>AND(D20&lt;&gt;"",E20&lt;&gt;"")</f>
        <v/>
      </c>
      <c r="S20">
        <f>OR(D20&lt;&gt;"",E20&lt;&gt;"")</f>
        <v/>
      </c>
      <c r="V20">
        <f>AND(B20&lt;&gt;"",C20&lt;&gt;"",F20="No")</f>
        <v/>
      </c>
      <c r="W20">
        <f>AND(OR(B20&lt;&gt;"",C20&lt;&gt;""),F20="No")</f>
        <v/>
      </c>
      <c r="X20">
        <f>AND(B20&lt;&gt;"",D20&lt;&gt;"",F20="No")</f>
        <v/>
      </c>
      <c r="Y20">
        <f>AND(OR(B20&lt;&gt;"",D20&lt;&gt;""),F20="No")</f>
        <v/>
      </c>
      <c r="Z20">
        <f>AND(B20&lt;&gt;"",E20&lt;&gt;"",F20="No")</f>
        <v/>
      </c>
      <c r="AA20">
        <f>AND(OR(B20&lt;&gt;"",E20&lt;&gt;""),F20="No")</f>
        <v/>
      </c>
      <c r="AB20">
        <f>AND(C20&lt;&gt;"",D20&lt;&gt;"",F20="No")</f>
        <v/>
      </c>
      <c r="AC20">
        <f>AND(OR(C20&lt;&gt;"",D20&lt;&gt;""),F20="No")</f>
        <v/>
      </c>
      <c r="AD20">
        <f>AND(C20&lt;&gt;"",E20&lt;&gt;"",F20="No")</f>
        <v/>
      </c>
      <c r="AE20">
        <f>AND(OR(C20&lt;&gt;"",E20&lt;&gt;""),F20="No")</f>
        <v/>
      </c>
      <c r="AF20">
        <f>AND(D20&lt;&gt;"",E20&lt;&gt;"",F20="No")</f>
        <v/>
      </c>
      <c r="AG20">
        <f>AND(OR(D20&lt;&gt;"",E20&lt;&gt;""),F20="No")</f>
        <v/>
      </c>
    </row>
    <row r="21" ht="15" customHeight="1" s="54">
      <c r="A21" s="44" t="inlineStr">
        <is>
          <t>GS.5.7</t>
        </is>
      </c>
      <c r="D21" s="27" t="inlineStr">
        <is>
          <t>X</t>
        </is>
      </c>
      <c r="F21" s="47" t="inlineStr">
        <is>
          <t>No</t>
        </is>
      </c>
      <c r="H21">
        <f>AND(B21&lt;&gt;"",C21&lt;&gt;"")</f>
        <v/>
      </c>
      <c r="I21">
        <f>OR(B21&lt;&gt;"",C21&lt;&gt;"")</f>
        <v/>
      </c>
      <c r="J21">
        <f>AND(B21&lt;&gt;"",D21&lt;&gt;"")</f>
        <v/>
      </c>
      <c r="K21">
        <f>OR(B21&lt;&gt;"",D21&lt;&gt;"")</f>
        <v/>
      </c>
      <c r="L21">
        <f>AND(B21&lt;&gt;"",E21&lt;&gt;"")</f>
        <v/>
      </c>
      <c r="M21">
        <f>OR(B21&lt;&gt;"",E21&lt;&gt;"")</f>
        <v/>
      </c>
      <c r="N21">
        <f>AND(C21&lt;&gt;"",D21&lt;&gt;"")</f>
        <v/>
      </c>
      <c r="O21">
        <f>OR(C21&lt;&gt;"",D21&lt;&gt;"")</f>
        <v/>
      </c>
      <c r="P21">
        <f>AND(C21&lt;&gt;"",E21&lt;&gt;"")</f>
        <v/>
      </c>
      <c r="Q21">
        <f>OR(C21&lt;&gt;"",E21&lt;&gt;"")</f>
        <v/>
      </c>
      <c r="R21">
        <f>AND(D21&lt;&gt;"",E21&lt;&gt;"")</f>
        <v/>
      </c>
      <c r="S21">
        <f>OR(D21&lt;&gt;"",E21&lt;&gt;"")</f>
        <v/>
      </c>
      <c r="V21">
        <f>AND(B21&lt;&gt;"",C21&lt;&gt;"",F21="No")</f>
        <v/>
      </c>
      <c r="W21">
        <f>AND(OR(B21&lt;&gt;"",C21&lt;&gt;""),F21="No")</f>
        <v/>
      </c>
      <c r="X21">
        <f>AND(B21&lt;&gt;"",D21&lt;&gt;"",F21="No")</f>
        <v/>
      </c>
      <c r="Y21">
        <f>AND(OR(B21&lt;&gt;"",D21&lt;&gt;""),F21="No")</f>
        <v/>
      </c>
      <c r="Z21">
        <f>AND(B21&lt;&gt;"",E21&lt;&gt;"",F21="No")</f>
        <v/>
      </c>
      <c r="AA21">
        <f>AND(OR(B21&lt;&gt;"",E21&lt;&gt;""),F21="No")</f>
        <v/>
      </c>
      <c r="AB21">
        <f>AND(C21&lt;&gt;"",D21&lt;&gt;"",F21="No")</f>
        <v/>
      </c>
      <c r="AC21">
        <f>AND(OR(C21&lt;&gt;"",D21&lt;&gt;""),F21="No")</f>
        <v/>
      </c>
      <c r="AD21">
        <f>AND(C21&lt;&gt;"",E21&lt;&gt;"",F21="No")</f>
        <v/>
      </c>
      <c r="AE21">
        <f>AND(OR(C21&lt;&gt;"",E21&lt;&gt;""),F21="No")</f>
        <v/>
      </c>
      <c r="AF21">
        <f>AND(D21&lt;&gt;"",E21&lt;&gt;"",F21="No")</f>
        <v/>
      </c>
      <c r="AG21">
        <f>AND(OR(D21&lt;&gt;"",E21&lt;&gt;""),F21="No")</f>
        <v/>
      </c>
    </row>
    <row r="22" ht="15" customHeight="1" s="54">
      <c r="A22" t="inlineStr">
        <is>
          <t>G0_iv.5.2</t>
        </is>
      </c>
      <c r="E22" s="27" t="inlineStr">
        <is>
          <t>X</t>
        </is>
      </c>
      <c r="F22" s="47" t="inlineStr">
        <is>
          <t>Yes</t>
        </is>
      </c>
      <c r="H22">
        <f>AND(B22&lt;&gt;"",C22&lt;&gt;"")</f>
        <v/>
      </c>
      <c r="I22">
        <f>OR(B22&lt;&gt;"",C22&lt;&gt;"")</f>
        <v/>
      </c>
      <c r="J22">
        <f>AND(B22&lt;&gt;"",D22&lt;&gt;"")</f>
        <v/>
      </c>
      <c r="K22">
        <f>OR(B22&lt;&gt;"",D22&lt;&gt;"")</f>
        <v/>
      </c>
      <c r="L22">
        <f>AND(B22&lt;&gt;"",E22&lt;&gt;"")</f>
        <v/>
      </c>
      <c r="M22">
        <f>OR(B22&lt;&gt;"",E22&lt;&gt;"")</f>
        <v/>
      </c>
      <c r="N22">
        <f>AND(C22&lt;&gt;"",D22&lt;&gt;"")</f>
        <v/>
      </c>
      <c r="O22">
        <f>OR(C22&lt;&gt;"",D22&lt;&gt;"")</f>
        <v/>
      </c>
      <c r="P22">
        <f>AND(C22&lt;&gt;"",E22&lt;&gt;"")</f>
        <v/>
      </c>
      <c r="Q22">
        <f>OR(C22&lt;&gt;"",E22&lt;&gt;"")</f>
        <v/>
      </c>
      <c r="R22">
        <f>AND(D22&lt;&gt;"",E22&lt;&gt;"")</f>
        <v/>
      </c>
      <c r="S22">
        <f>OR(D22&lt;&gt;"",E22&lt;&gt;"")</f>
        <v/>
      </c>
      <c r="V22">
        <f>AND(B22&lt;&gt;"",C22&lt;&gt;"",F22="No")</f>
        <v/>
      </c>
      <c r="W22">
        <f>AND(OR(B22&lt;&gt;"",C22&lt;&gt;""),F22="No")</f>
        <v/>
      </c>
      <c r="X22">
        <f>AND(B22&lt;&gt;"",D22&lt;&gt;"",F22="No")</f>
        <v/>
      </c>
      <c r="Y22">
        <f>AND(OR(B22&lt;&gt;"",D22&lt;&gt;""),F22="No")</f>
        <v/>
      </c>
      <c r="Z22">
        <f>AND(B22&lt;&gt;"",E22&lt;&gt;"",F22="No")</f>
        <v/>
      </c>
      <c r="AA22">
        <f>AND(OR(B22&lt;&gt;"",E22&lt;&gt;""),F22="No")</f>
        <v/>
      </c>
      <c r="AB22">
        <f>AND(C22&lt;&gt;"",D22&lt;&gt;"",F22="No")</f>
        <v/>
      </c>
      <c r="AC22">
        <f>AND(OR(C22&lt;&gt;"",D22&lt;&gt;""),F22="No")</f>
        <v/>
      </c>
      <c r="AD22">
        <f>AND(C22&lt;&gt;"",E22&lt;&gt;"",F22="No")</f>
        <v/>
      </c>
      <c r="AE22">
        <f>AND(OR(C22&lt;&gt;"",E22&lt;&gt;""),F22="No")</f>
        <v/>
      </c>
      <c r="AF22">
        <f>AND(D22&lt;&gt;"",E22&lt;&gt;"",F22="No")</f>
        <v/>
      </c>
      <c r="AG22">
        <f>AND(OR(D22&lt;&gt;"",E22&lt;&gt;""),F22="No")</f>
        <v/>
      </c>
    </row>
    <row r="23" ht="15" customHeight="1" s="54">
      <c r="A23" t="inlineStr">
        <is>
          <t>G0_iv.5.3</t>
        </is>
      </c>
      <c r="E23" s="27" t="inlineStr">
        <is>
          <t>X</t>
        </is>
      </c>
      <c r="F23" s="47" t="inlineStr">
        <is>
          <t>Yes</t>
        </is>
      </c>
      <c r="H23">
        <f>AND(B23&lt;&gt;"",C23&lt;&gt;"")</f>
        <v/>
      </c>
      <c r="I23">
        <f>OR(B23&lt;&gt;"",C23&lt;&gt;"")</f>
        <v/>
      </c>
      <c r="J23">
        <f>AND(B23&lt;&gt;"",D23&lt;&gt;"")</f>
        <v/>
      </c>
      <c r="K23">
        <f>OR(B23&lt;&gt;"",D23&lt;&gt;"")</f>
        <v/>
      </c>
      <c r="L23">
        <f>AND(B23&lt;&gt;"",E23&lt;&gt;"")</f>
        <v/>
      </c>
      <c r="M23">
        <f>OR(B23&lt;&gt;"",E23&lt;&gt;"")</f>
        <v/>
      </c>
      <c r="N23">
        <f>AND(C23&lt;&gt;"",D23&lt;&gt;"")</f>
        <v/>
      </c>
      <c r="O23">
        <f>OR(C23&lt;&gt;"",D23&lt;&gt;"")</f>
        <v/>
      </c>
      <c r="P23">
        <f>AND(C23&lt;&gt;"",E23&lt;&gt;"")</f>
        <v/>
      </c>
      <c r="Q23">
        <f>OR(C23&lt;&gt;"",E23&lt;&gt;"")</f>
        <v/>
      </c>
      <c r="R23">
        <f>AND(D23&lt;&gt;"",E23&lt;&gt;"")</f>
        <v/>
      </c>
      <c r="S23">
        <f>OR(D23&lt;&gt;"",E23&lt;&gt;"")</f>
        <v/>
      </c>
      <c r="V23">
        <f>AND(B23&lt;&gt;"",C23&lt;&gt;"",F23="No")</f>
        <v/>
      </c>
      <c r="W23">
        <f>AND(OR(B23&lt;&gt;"",C23&lt;&gt;""),F23="No")</f>
        <v/>
      </c>
      <c r="X23">
        <f>AND(B23&lt;&gt;"",D23&lt;&gt;"",F23="No")</f>
        <v/>
      </c>
      <c r="Y23">
        <f>AND(OR(B23&lt;&gt;"",D23&lt;&gt;""),F23="No")</f>
        <v/>
      </c>
      <c r="Z23">
        <f>AND(B23&lt;&gt;"",E23&lt;&gt;"",F23="No")</f>
        <v/>
      </c>
      <c r="AA23">
        <f>AND(OR(B23&lt;&gt;"",E23&lt;&gt;""),F23="No")</f>
        <v/>
      </c>
      <c r="AB23">
        <f>AND(C23&lt;&gt;"",D23&lt;&gt;"",F23="No")</f>
        <v/>
      </c>
      <c r="AC23">
        <f>AND(OR(C23&lt;&gt;"",D23&lt;&gt;""),F23="No")</f>
        <v/>
      </c>
      <c r="AD23">
        <f>AND(C23&lt;&gt;"",E23&lt;&gt;"",F23="No")</f>
        <v/>
      </c>
      <c r="AE23">
        <f>AND(OR(C23&lt;&gt;"",E23&lt;&gt;""),F23="No")</f>
        <v/>
      </c>
      <c r="AF23">
        <f>AND(D23&lt;&gt;"",E23&lt;&gt;"",F23="No")</f>
        <v/>
      </c>
      <c r="AG23">
        <f>AND(OR(D23&lt;&gt;"",E23&lt;&gt;""),F23="No")</f>
        <v/>
      </c>
    </row>
    <row r="24">
      <c r="A24" s="44" t="inlineStr">
        <is>
          <t>H.6.1</t>
        </is>
      </c>
      <c r="B24" s="27" t="inlineStr">
        <is>
          <t>X</t>
        </is>
      </c>
      <c r="C24" s="27" t="inlineStr">
        <is>
          <t>X</t>
        </is>
      </c>
      <c r="D24" s="27" t="inlineStr">
        <is>
          <t>X</t>
        </is>
      </c>
      <c r="E24" s="27" t="inlineStr">
        <is>
          <t>X</t>
        </is>
      </c>
      <c r="F24" s="47" t="inlineStr">
        <is>
          <t>No</t>
        </is>
      </c>
      <c r="H24">
        <f>AND(B24&lt;&gt;"",C24&lt;&gt;"")</f>
        <v/>
      </c>
      <c r="I24">
        <f>OR(B24&lt;&gt;"",C24&lt;&gt;"")</f>
        <v/>
      </c>
      <c r="J24">
        <f>AND(B24&lt;&gt;"",D24&lt;&gt;"")</f>
        <v/>
      </c>
      <c r="K24">
        <f>OR(B24&lt;&gt;"",D24&lt;&gt;"")</f>
        <v/>
      </c>
      <c r="L24">
        <f>AND(B24&lt;&gt;"",E24&lt;&gt;"")</f>
        <v/>
      </c>
      <c r="M24">
        <f>OR(B24&lt;&gt;"",E24&lt;&gt;"")</f>
        <v/>
      </c>
      <c r="N24">
        <f>AND(C24&lt;&gt;"",D24&lt;&gt;"")</f>
        <v/>
      </c>
      <c r="O24">
        <f>OR(C24&lt;&gt;"",D24&lt;&gt;"")</f>
        <v/>
      </c>
      <c r="P24">
        <f>AND(C24&lt;&gt;"",E24&lt;&gt;"")</f>
        <v/>
      </c>
      <c r="Q24">
        <f>OR(C24&lt;&gt;"",E24&lt;&gt;"")</f>
        <v/>
      </c>
      <c r="R24">
        <f>AND(D24&lt;&gt;"",E24&lt;&gt;"")</f>
        <v/>
      </c>
      <c r="S24">
        <f>OR(D24&lt;&gt;"",E24&lt;&gt;"")</f>
        <v/>
      </c>
      <c r="V24">
        <f>AND(B24&lt;&gt;"",C24&lt;&gt;"",F24="No")</f>
        <v/>
      </c>
      <c r="W24">
        <f>AND(OR(B24&lt;&gt;"",C24&lt;&gt;""),F24="No")</f>
        <v/>
      </c>
      <c r="X24">
        <f>AND(B24&lt;&gt;"",D24&lt;&gt;"",F24="No")</f>
        <v/>
      </c>
      <c r="Y24">
        <f>AND(OR(B24&lt;&gt;"",D24&lt;&gt;""),F24="No")</f>
        <v/>
      </c>
      <c r="Z24">
        <f>AND(B24&lt;&gt;"",E24&lt;&gt;"",F24="No")</f>
        <v/>
      </c>
      <c r="AA24">
        <f>AND(OR(B24&lt;&gt;"",E24&lt;&gt;""),F24="No")</f>
        <v/>
      </c>
      <c r="AB24">
        <f>AND(C24&lt;&gt;"",D24&lt;&gt;"",F24="No")</f>
        <v/>
      </c>
      <c r="AC24">
        <f>AND(OR(C24&lt;&gt;"",D24&lt;&gt;""),F24="No")</f>
        <v/>
      </c>
      <c r="AD24">
        <f>AND(C24&lt;&gt;"",E24&lt;&gt;"",F24="No")</f>
        <v/>
      </c>
      <c r="AE24">
        <f>AND(OR(C24&lt;&gt;"",E24&lt;&gt;""),F24="No")</f>
        <v/>
      </c>
      <c r="AF24">
        <f>AND(D24&lt;&gt;"",E24&lt;&gt;"",F24="No")</f>
        <v/>
      </c>
      <c r="AG24">
        <f>AND(OR(D24&lt;&gt;"",E24&lt;&gt;""),F24="No")</f>
        <v/>
      </c>
    </row>
    <row r="25">
      <c r="A25" s="44" t="inlineStr">
        <is>
          <t>GS.6.4</t>
        </is>
      </c>
      <c r="B25" s="27" t="inlineStr">
        <is>
          <t>X</t>
        </is>
      </c>
      <c r="D25" s="27" t="inlineStr">
        <is>
          <t>X</t>
        </is>
      </c>
      <c r="F25" s="47" t="inlineStr">
        <is>
          <t>No</t>
        </is>
      </c>
      <c r="H25">
        <f>AND(B25&lt;&gt;"",C25&lt;&gt;"")</f>
        <v/>
      </c>
      <c r="I25">
        <f>OR(B25&lt;&gt;"",C25&lt;&gt;"")</f>
        <v/>
      </c>
      <c r="J25">
        <f>AND(B25&lt;&gt;"",D25&lt;&gt;"")</f>
        <v/>
      </c>
      <c r="K25">
        <f>OR(B25&lt;&gt;"",D25&lt;&gt;"")</f>
        <v/>
      </c>
      <c r="L25">
        <f>AND(B25&lt;&gt;"",E25&lt;&gt;"")</f>
        <v/>
      </c>
      <c r="M25">
        <f>OR(B25&lt;&gt;"",E25&lt;&gt;"")</f>
        <v/>
      </c>
      <c r="N25">
        <f>AND(C25&lt;&gt;"",D25&lt;&gt;"")</f>
        <v/>
      </c>
      <c r="O25">
        <f>OR(C25&lt;&gt;"",D25&lt;&gt;"")</f>
        <v/>
      </c>
      <c r="P25">
        <f>AND(C25&lt;&gt;"",E25&lt;&gt;"")</f>
        <v/>
      </c>
      <c r="Q25">
        <f>OR(C25&lt;&gt;"",E25&lt;&gt;"")</f>
        <v/>
      </c>
      <c r="R25">
        <f>AND(D25&lt;&gt;"",E25&lt;&gt;"")</f>
        <v/>
      </c>
      <c r="S25">
        <f>OR(D25&lt;&gt;"",E25&lt;&gt;"")</f>
        <v/>
      </c>
      <c r="V25">
        <f>AND(B25&lt;&gt;"",C25&lt;&gt;"",F25="No")</f>
        <v/>
      </c>
      <c r="W25">
        <f>AND(OR(B25&lt;&gt;"",C25&lt;&gt;""),F25="No")</f>
        <v/>
      </c>
      <c r="X25">
        <f>AND(B25&lt;&gt;"",D25&lt;&gt;"",F25="No")</f>
        <v/>
      </c>
      <c r="Y25">
        <f>AND(OR(B25&lt;&gt;"",D25&lt;&gt;""),F25="No")</f>
        <v/>
      </c>
      <c r="Z25">
        <f>AND(B25&lt;&gt;"",E25&lt;&gt;"",F25="No")</f>
        <v/>
      </c>
      <c r="AA25">
        <f>AND(OR(B25&lt;&gt;"",E25&lt;&gt;""),F25="No")</f>
        <v/>
      </c>
      <c r="AB25">
        <f>AND(C25&lt;&gt;"",D25&lt;&gt;"",F25="No")</f>
        <v/>
      </c>
      <c r="AC25">
        <f>AND(OR(C25&lt;&gt;"",D25&lt;&gt;""),F25="No")</f>
        <v/>
      </c>
      <c r="AD25">
        <f>AND(C25&lt;&gt;"",E25&lt;&gt;"",F25="No")</f>
        <v/>
      </c>
      <c r="AE25">
        <f>AND(OR(C25&lt;&gt;"",E25&lt;&gt;""),F25="No")</f>
        <v/>
      </c>
      <c r="AF25">
        <f>AND(D25&lt;&gt;"",E25&lt;&gt;"",F25="No")</f>
        <v/>
      </c>
      <c r="AG25">
        <f>AND(OR(D25&lt;&gt;"",E25&lt;&gt;""),F25="No")</f>
        <v/>
      </c>
    </row>
    <row r="26">
      <c r="A26" t="inlineStr">
        <is>
          <t>G0.6.3</t>
        </is>
      </c>
      <c r="B26" s="27" t="inlineStr">
        <is>
          <t>X</t>
        </is>
      </c>
      <c r="F26" s="47" t="inlineStr">
        <is>
          <t>Yes</t>
        </is>
      </c>
      <c r="H26">
        <f>AND(B26&lt;&gt;"",C26&lt;&gt;"")</f>
        <v/>
      </c>
      <c r="I26">
        <f>OR(B26&lt;&gt;"",C26&lt;&gt;"")</f>
        <v/>
      </c>
      <c r="J26">
        <f>AND(B26&lt;&gt;"",D26&lt;&gt;"")</f>
        <v/>
      </c>
      <c r="K26">
        <f>OR(B26&lt;&gt;"",D26&lt;&gt;"")</f>
        <v/>
      </c>
      <c r="L26">
        <f>AND(B26&lt;&gt;"",E26&lt;&gt;"")</f>
        <v/>
      </c>
      <c r="M26">
        <f>OR(B26&lt;&gt;"",E26&lt;&gt;"")</f>
        <v/>
      </c>
      <c r="N26">
        <f>AND(C26&lt;&gt;"",D26&lt;&gt;"")</f>
        <v/>
      </c>
      <c r="O26">
        <f>OR(C26&lt;&gt;"",D26&lt;&gt;"")</f>
        <v/>
      </c>
      <c r="P26">
        <f>AND(C26&lt;&gt;"",E26&lt;&gt;"")</f>
        <v/>
      </c>
      <c r="Q26">
        <f>OR(C26&lt;&gt;"",E26&lt;&gt;"")</f>
        <v/>
      </c>
      <c r="R26">
        <f>AND(D26&lt;&gt;"",E26&lt;&gt;"")</f>
        <v/>
      </c>
      <c r="S26">
        <f>OR(D26&lt;&gt;"",E26&lt;&gt;"")</f>
        <v/>
      </c>
      <c r="V26">
        <f>AND(B26&lt;&gt;"",C26&lt;&gt;"",F26="No")</f>
        <v/>
      </c>
      <c r="W26">
        <f>AND(OR(B26&lt;&gt;"",C26&lt;&gt;""),F26="No")</f>
        <v/>
      </c>
      <c r="X26">
        <f>AND(B26&lt;&gt;"",D26&lt;&gt;"",F26="No")</f>
        <v/>
      </c>
      <c r="Y26">
        <f>AND(OR(B26&lt;&gt;"",D26&lt;&gt;""),F26="No")</f>
        <v/>
      </c>
      <c r="Z26">
        <f>AND(B26&lt;&gt;"",E26&lt;&gt;"",F26="No")</f>
        <v/>
      </c>
      <c r="AA26">
        <f>AND(OR(B26&lt;&gt;"",E26&lt;&gt;""),F26="No")</f>
        <v/>
      </c>
      <c r="AB26">
        <f>AND(C26&lt;&gt;"",D26&lt;&gt;"",F26="No")</f>
        <v/>
      </c>
      <c r="AC26">
        <f>AND(OR(C26&lt;&gt;"",D26&lt;&gt;""),F26="No")</f>
        <v/>
      </c>
      <c r="AD26">
        <f>AND(C26&lt;&gt;"",E26&lt;&gt;"",F26="No")</f>
        <v/>
      </c>
      <c r="AE26">
        <f>AND(OR(C26&lt;&gt;"",E26&lt;&gt;""),F26="No")</f>
        <v/>
      </c>
      <c r="AF26">
        <f>AND(D26&lt;&gt;"",E26&lt;&gt;"",F26="No")</f>
        <v/>
      </c>
      <c r="AG26">
        <f>AND(OR(D26&lt;&gt;"",E26&lt;&gt;""),F26="No")</f>
        <v/>
      </c>
    </row>
    <row r="27">
      <c r="A27" s="44" t="inlineStr">
        <is>
          <t>H.7.1</t>
        </is>
      </c>
      <c r="B27" s="27" t="inlineStr">
        <is>
          <t>X</t>
        </is>
      </c>
      <c r="C27" s="27" t="inlineStr">
        <is>
          <t>X</t>
        </is>
      </c>
      <c r="D27" s="27" t="inlineStr">
        <is>
          <t>X</t>
        </is>
      </c>
      <c r="E27" s="27" t="inlineStr">
        <is>
          <t>X</t>
        </is>
      </c>
      <c r="F27" s="47" t="inlineStr">
        <is>
          <t>No</t>
        </is>
      </c>
      <c r="H27">
        <f>AND(B27&lt;&gt;"",C27&lt;&gt;"")</f>
        <v/>
      </c>
      <c r="I27">
        <f>OR(B27&lt;&gt;"",C27&lt;&gt;"")</f>
        <v/>
      </c>
      <c r="J27">
        <f>AND(B27&lt;&gt;"",D27&lt;&gt;"")</f>
        <v/>
      </c>
      <c r="K27">
        <f>OR(B27&lt;&gt;"",D27&lt;&gt;"")</f>
        <v/>
      </c>
      <c r="L27">
        <f>AND(B27&lt;&gt;"",E27&lt;&gt;"")</f>
        <v/>
      </c>
      <c r="M27">
        <f>OR(B27&lt;&gt;"",E27&lt;&gt;"")</f>
        <v/>
      </c>
      <c r="N27">
        <f>AND(C27&lt;&gt;"",D27&lt;&gt;"")</f>
        <v/>
      </c>
      <c r="O27">
        <f>OR(C27&lt;&gt;"",D27&lt;&gt;"")</f>
        <v/>
      </c>
      <c r="P27">
        <f>AND(C27&lt;&gt;"",E27&lt;&gt;"")</f>
        <v/>
      </c>
      <c r="Q27">
        <f>OR(C27&lt;&gt;"",E27&lt;&gt;"")</f>
        <v/>
      </c>
      <c r="R27">
        <f>AND(D27&lt;&gt;"",E27&lt;&gt;"")</f>
        <v/>
      </c>
      <c r="S27">
        <f>OR(D27&lt;&gt;"",E27&lt;&gt;"")</f>
        <v/>
      </c>
      <c r="V27">
        <f>AND(B27&lt;&gt;"",C27&lt;&gt;"",F27="No")</f>
        <v/>
      </c>
      <c r="W27">
        <f>AND(OR(B27&lt;&gt;"",C27&lt;&gt;""),F27="No")</f>
        <v/>
      </c>
      <c r="X27">
        <f>AND(B27&lt;&gt;"",D27&lt;&gt;"",F27="No")</f>
        <v/>
      </c>
      <c r="Y27">
        <f>AND(OR(B27&lt;&gt;"",D27&lt;&gt;""),F27="No")</f>
        <v/>
      </c>
      <c r="Z27">
        <f>AND(B27&lt;&gt;"",E27&lt;&gt;"",F27="No")</f>
        <v/>
      </c>
      <c r="AA27">
        <f>AND(OR(B27&lt;&gt;"",E27&lt;&gt;""),F27="No")</f>
        <v/>
      </c>
      <c r="AB27">
        <f>AND(C27&lt;&gt;"",D27&lt;&gt;"",F27="No")</f>
        <v/>
      </c>
      <c r="AC27">
        <f>AND(OR(C27&lt;&gt;"",D27&lt;&gt;""),F27="No")</f>
        <v/>
      </c>
      <c r="AD27">
        <f>AND(C27&lt;&gt;"",E27&lt;&gt;"",F27="No")</f>
        <v/>
      </c>
      <c r="AE27">
        <f>AND(OR(C27&lt;&gt;"",E27&lt;&gt;""),F27="No")</f>
        <v/>
      </c>
      <c r="AF27">
        <f>AND(D27&lt;&gt;"",E27&lt;&gt;"",F27="No")</f>
        <v/>
      </c>
      <c r="AG27">
        <f>AND(OR(D27&lt;&gt;"",E27&lt;&gt;""),F27="No")</f>
        <v/>
      </c>
    </row>
    <row r="28">
      <c r="A28" s="44" t="inlineStr">
        <is>
          <t>H.7.2</t>
        </is>
      </c>
      <c r="B28" s="27" t="inlineStr">
        <is>
          <t>X</t>
        </is>
      </c>
      <c r="C28" s="27" t="inlineStr">
        <is>
          <t>X</t>
        </is>
      </c>
      <c r="D28" s="27" t="inlineStr">
        <is>
          <t>X</t>
        </is>
      </c>
      <c r="E28" s="27" t="inlineStr">
        <is>
          <t>X</t>
        </is>
      </c>
      <c r="F28" s="47" t="inlineStr">
        <is>
          <t>No</t>
        </is>
      </c>
      <c r="H28">
        <f>AND(B28&lt;&gt;"",C28&lt;&gt;"")</f>
        <v/>
      </c>
      <c r="I28">
        <f>OR(B28&lt;&gt;"",C28&lt;&gt;"")</f>
        <v/>
      </c>
      <c r="J28">
        <f>AND(B28&lt;&gt;"",D28&lt;&gt;"")</f>
        <v/>
      </c>
      <c r="K28">
        <f>OR(B28&lt;&gt;"",D28&lt;&gt;"")</f>
        <v/>
      </c>
      <c r="L28">
        <f>AND(B28&lt;&gt;"",E28&lt;&gt;"")</f>
        <v/>
      </c>
      <c r="M28">
        <f>OR(B28&lt;&gt;"",E28&lt;&gt;"")</f>
        <v/>
      </c>
      <c r="N28">
        <f>AND(C28&lt;&gt;"",D28&lt;&gt;"")</f>
        <v/>
      </c>
      <c r="O28">
        <f>OR(C28&lt;&gt;"",D28&lt;&gt;"")</f>
        <v/>
      </c>
      <c r="P28">
        <f>AND(C28&lt;&gt;"",E28&lt;&gt;"")</f>
        <v/>
      </c>
      <c r="Q28">
        <f>OR(C28&lt;&gt;"",E28&lt;&gt;"")</f>
        <v/>
      </c>
      <c r="R28">
        <f>AND(D28&lt;&gt;"",E28&lt;&gt;"")</f>
        <v/>
      </c>
      <c r="S28">
        <f>OR(D28&lt;&gt;"",E28&lt;&gt;"")</f>
        <v/>
      </c>
      <c r="V28">
        <f>AND(B28&lt;&gt;"",C28&lt;&gt;"",F28="No")</f>
        <v/>
      </c>
      <c r="W28">
        <f>AND(OR(B28&lt;&gt;"",C28&lt;&gt;""),F28="No")</f>
        <v/>
      </c>
      <c r="X28">
        <f>AND(B28&lt;&gt;"",D28&lt;&gt;"",F28="No")</f>
        <v/>
      </c>
      <c r="Y28">
        <f>AND(OR(B28&lt;&gt;"",D28&lt;&gt;""),F28="No")</f>
        <v/>
      </c>
      <c r="Z28">
        <f>AND(B28&lt;&gt;"",E28&lt;&gt;"",F28="No")</f>
        <v/>
      </c>
      <c r="AA28">
        <f>AND(OR(B28&lt;&gt;"",E28&lt;&gt;""),F28="No")</f>
        <v/>
      </c>
      <c r="AB28">
        <f>AND(C28&lt;&gt;"",D28&lt;&gt;"",F28="No")</f>
        <v/>
      </c>
      <c r="AC28">
        <f>AND(OR(C28&lt;&gt;"",D28&lt;&gt;""),F28="No")</f>
        <v/>
      </c>
      <c r="AD28">
        <f>AND(C28&lt;&gt;"",E28&lt;&gt;"",F28="No")</f>
        <v/>
      </c>
      <c r="AE28">
        <f>AND(OR(C28&lt;&gt;"",E28&lt;&gt;""),F28="No")</f>
        <v/>
      </c>
      <c r="AF28">
        <f>AND(D28&lt;&gt;"",E28&lt;&gt;"",F28="No")</f>
        <v/>
      </c>
      <c r="AG28">
        <f>AND(OR(D28&lt;&gt;"",E28&lt;&gt;""),F28="No")</f>
        <v/>
      </c>
    </row>
    <row r="29">
      <c r="A29" s="44" t="inlineStr">
        <is>
          <t>H.7.3</t>
        </is>
      </c>
      <c r="B29" s="27" t="inlineStr">
        <is>
          <t>X</t>
        </is>
      </c>
      <c r="D29" s="27" t="inlineStr">
        <is>
          <t>X</t>
        </is>
      </c>
      <c r="E29" s="27" t="inlineStr">
        <is>
          <t>X</t>
        </is>
      </c>
      <c r="F29" s="47" t="inlineStr">
        <is>
          <t>No</t>
        </is>
      </c>
      <c r="H29">
        <f>AND(B29&lt;&gt;"",C29&lt;&gt;"")</f>
        <v/>
      </c>
      <c r="I29">
        <f>OR(B29&lt;&gt;"",C29&lt;&gt;"")</f>
        <v/>
      </c>
      <c r="J29">
        <f>AND(B29&lt;&gt;"",D29&lt;&gt;"")</f>
        <v/>
      </c>
      <c r="K29">
        <f>OR(B29&lt;&gt;"",D29&lt;&gt;"")</f>
        <v/>
      </c>
      <c r="L29">
        <f>AND(B29&lt;&gt;"",E29&lt;&gt;"")</f>
        <v/>
      </c>
      <c r="M29">
        <f>OR(B29&lt;&gt;"",E29&lt;&gt;"")</f>
        <v/>
      </c>
      <c r="N29">
        <f>AND(C29&lt;&gt;"",D29&lt;&gt;"")</f>
        <v/>
      </c>
      <c r="O29">
        <f>OR(C29&lt;&gt;"",D29&lt;&gt;"")</f>
        <v/>
      </c>
      <c r="P29">
        <f>AND(C29&lt;&gt;"",E29&lt;&gt;"")</f>
        <v/>
      </c>
      <c r="Q29">
        <f>OR(C29&lt;&gt;"",E29&lt;&gt;"")</f>
        <v/>
      </c>
      <c r="R29">
        <f>AND(D29&lt;&gt;"",E29&lt;&gt;"")</f>
        <v/>
      </c>
      <c r="S29">
        <f>OR(D29&lt;&gt;"",E29&lt;&gt;"")</f>
        <v/>
      </c>
      <c r="V29">
        <f>AND(B29&lt;&gt;"",C29&lt;&gt;"",F29="No")</f>
        <v/>
      </c>
      <c r="W29">
        <f>AND(OR(B29&lt;&gt;"",C29&lt;&gt;""),F29="No")</f>
        <v/>
      </c>
      <c r="X29">
        <f>AND(B29&lt;&gt;"",D29&lt;&gt;"",F29="No")</f>
        <v/>
      </c>
      <c r="Y29">
        <f>AND(OR(B29&lt;&gt;"",D29&lt;&gt;""),F29="No")</f>
        <v/>
      </c>
      <c r="Z29">
        <f>AND(B29&lt;&gt;"",E29&lt;&gt;"",F29="No")</f>
        <v/>
      </c>
      <c r="AA29">
        <f>AND(OR(B29&lt;&gt;"",E29&lt;&gt;""),F29="No")</f>
        <v/>
      </c>
      <c r="AB29">
        <f>AND(C29&lt;&gt;"",D29&lt;&gt;"",F29="No")</f>
        <v/>
      </c>
      <c r="AC29">
        <f>AND(OR(C29&lt;&gt;"",D29&lt;&gt;""),F29="No")</f>
        <v/>
      </c>
      <c r="AD29">
        <f>AND(C29&lt;&gt;"",E29&lt;&gt;"",F29="No")</f>
        <v/>
      </c>
      <c r="AE29">
        <f>AND(OR(C29&lt;&gt;"",E29&lt;&gt;""),F29="No")</f>
        <v/>
      </c>
      <c r="AF29">
        <f>AND(D29&lt;&gt;"",E29&lt;&gt;"",F29="No")</f>
        <v/>
      </c>
      <c r="AG29">
        <f>AND(OR(D29&lt;&gt;"",E29&lt;&gt;""),F29="No")</f>
        <v/>
      </c>
    </row>
    <row r="30">
      <c r="A30" s="44" t="inlineStr">
        <is>
          <t>H.8.1</t>
        </is>
      </c>
      <c r="B30" s="27" t="inlineStr">
        <is>
          <t>X</t>
        </is>
      </c>
      <c r="C30" s="27" t="inlineStr">
        <is>
          <t>X</t>
        </is>
      </c>
      <c r="D30" s="27" t="inlineStr">
        <is>
          <t>X</t>
        </is>
      </c>
      <c r="E30" s="27" t="inlineStr">
        <is>
          <t>X</t>
        </is>
      </c>
      <c r="F30" s="47" t="inlineStr">
        <is>
          <t>No</t>
        </is>
      </c>
      <c r="H30">
        <f>AND(B30&lt;&gt;"",C30&lt;&gt;"")</f>
        <v/>
      </c>
      <c r="I30">
        <f>OR(B30&lt;&gt;"",C30&lt;&gt;"")</f>
        <v/>
      </c>
      <c r="J30">
        <f>AND(B30&lt;&gt;"",D30&lt;&gt;"")</f>
        <v/>
      </c>
      <c r="K30">
        <f>OR(B30&lt;&gt;"",D30&lt;&gt;"")</f>
        <v/>
      </c>
      <c r="L30">
        <f>AND(B30&lt;&gt;"",E30&lt;&gt;"")</f>
        <v/>
      </c>
      <c r="M30">
        <f>OR(B30&lt;&gt;"",E30&lt;&gt;"")</f>
        <v/>
      </c>
      <c r="N30">
        <f>AND(C30&lt;&gt;"",D30&lt;&gt;"")</f>
        <v/>
      </c>
      <c r="O30">
        <f>OR(C30&lt;&gt;"",D30&lt;&gt;"")</f>
        <v/>
      </c>
      <c r="P30">
        <f>AND(C30&lt;&gt;"",E30&lt;&gt;"")</f>
        <v/>
      </c>
      <c r="Q30">
        <f>OR(C30&lt;&gt;"",E30&lt;&gt;"")</f>
        <v/>
      </c>
      <c r="R30">
        <f>AND(D30&lt;&gt;"",E30&lt;&gt;"")</f>
        <v/>
      </c>
      <c r="S30">
        <f>OR(D30&lt;&gt;"",E30&lt;&gt;"")</f>
        <v/>
      </c>
      <c r="V30">
        <f>AND(B30&lt;&gt;"",C30&lt;&gt;"",F30="No")</f>
        <v/>
      </c>
      <c r="W30">
        <f>AND(OR(B30&lt;&gt;"",C30&lt;&gt;""),F30="No")</f>
        <v/>
      </c>
      <c r="X30">
        <f>AND(B30&lt;&gt;"",D30&lt;&gt;"",F30="No")</f>
        <v/>
      </c>
      <c r="Y30">
        <f>AND(OR(B30&lt;&gt;"",D30&lt;&gt;""),F30="No")</f>
        <v/>
      </c>
      <c r="Z30">
        <f>AND(B30&lt;&gt;"",E30&lt;&gt;"",F30="No")</f>
        <v/>
      </c>
      <c r="AA30">
        <f>AND(OR(B30&lt;&gt;"",E30&lt;&gt;""),F30="No")</f>
        <v/>
      </c>
      <c r="AB30">
        <f>AND(C30&lt;&gt;"",D30&lt;&gt;"",F30="No")</f>
        <v/>
      </c>
      <c r="AC30">
        <f>AND(OR(C30&lt;&gt;"",D30&lt;&gt;""),F30="No")</f>
        <v/>
      </c>
      <c r="AD30">
        <f>AND(C30&lt;&gt;"",E30&lt;&gt;"",F30="No")</f>
        <v/>
      </c>
      <c r="AE30">
        <f>AND(OR(C30&lt;&gt;"",E30&lt;&gt;""),F30="No")</f>
        <v/>
      </c>
      <c r="AF30">
        <f>AND(D30&lt;&gt;"",E30&lt;&gt;"",F30="No")</f>
        <v/>
      </c>
      <c r="AG30">
        <f>AND(OR(D30&lt;&gt;"",E30&lt;&gt;""),F30="No")</f>
        <v/>
      </c>
    </row>
    <row r="31">
      <c r="A31" s="44" t="inlineStr">
        <is>
          <t>H.9.1</t>
        </is>
      </c>
      <c r="B31" s="27" t="inlineStr">
        <is>
          <t>X</t>
        </is>
      </c>
      <c r="C31" s="27" t="inlineStr">
        <is>
          <t>X</t>
        </is>
      </c>
      <c r="D31" s="27" t="inlineStr">
        <is>
          <t>X</t>
        </is>
      </c>
      <c r="E31" s="27" t="inlineStr">
        <is>
          <t>X</t>
        </is>
      </c>
      <c r="F31" s="47" t="inlineStr">
        <is>
          <t>No</t>
        </is>
      </c>
      <c r="H31">
        <f>AND(B31&lt;&gt;"",C31&lt;&gt;"")</f>
        <v/>
      </c>
      <c r="I31">
        <f>OR(B31&lt;&gt;"",C31&lt;&gt;"")</f>
        <v/>
      </c>
      <c r="J31">
        <f>AND(B31&lt;&gt;"",D31&lt;&gt;"")</f>
        <v/>
      </c>
      <c r="K31">
        <f>OR(B31&lt;&gt;"",D31&lt;&gt;"")</f>
        <v/>
      </c>
      <c r="L31">
        <f>AND(B31&lt;&gt;"",E31&lt;&gt;"")</f>
        <v/>
      </c>
      <c r="M31">
        <f>OR(B31&lt;&gt;"",E31&lt;&gt;"")</f>
        <v/>
      </c>
      <c r="N31">
        <f>AND(C31&lt;&gt;"",D31&lt;&gt;"")</f>
        <v/>
      </c>
      <c r="O31">
        <f>OR(C31&lt;&gt;"",D31&lt;&gt;"")</f>
        <v/>
      </c>
      <c r="P31">
        <f>AND(C31&lt;&gt;"",E31&lt;&gt;"")</f>
        <v/>
      </c>
      <c r="Q31">
        <f>OR(C31&lt;&gt;"",E31&lt;&gt;"")</f>
        <v/>
      </c>
      <c r="R31">
        <f>AND(D31&lt;&gt;"",E31&lt;&gt;"")</f>
        <v/>
      </c>
      <c r="S31">
        <f>OR(D31&lt;&gt;"",E31&lt;&gt;"")</f>
        <v/>
      </c>
      <c r="V31">
        <f>AND(B31&lt;&gt;"",C31&lt;&gt;"",F31="No")</f>
        <v/>
      </c>
      <c r="W31">
        <f>AND(OR(B31&lt;&gt;"",C31&lt;&gt;""),F31="No")</f>
        <v/>
      </c>
      <c r="X31">
        <f>AND(B31&lt;&gt;"",D31&lt;&gt;"",F31="No")</f>
        <v/>
      </c>
      <c r="Y31">
        <f>AND(OR(B31&lt;&gt;"",D31&lt;&gt;""),F31="No")</f>
        <v/>
      </c>
      <c r="Z31">
        <f>AND(B31&lt;&gt;"",E31&lt;&gt;"",F31="No")</f>
        <v/>
      </c>
      <c r="AA31">
        <f>AND(OR(B31&lt;&gt;"",E31&lt;&gt;""),F31="No")</f>
        <v/>
      </c>
      <c r="AB31">
        <f>AND(C31&lt;&gt;"",D31&lt;&gt;"",F31="No")</f>
        <v/>
      </c>
      <c r="AC31">
        <f>AND(OR(C31&lt;&gt;"",D31&lt;&gt;""),F31="No")</f>
        <v/>
      </c>
      <c r="AD31">
        <f>AND(C31&lt;&gt;"",E31&lt;&gt;"",F31="No")</f>
        <v/>
      </c>
      <c r="AE31">
        <f>AND(OR(C31&lt;&gt;"",E31&lt;&gt;""),F31="No")</f>
        <v/>
      </c>
      <c r="AF31">
        <f>AND(D31&lt;&gt;"",E31&lt;&gt;"",F31="No")</f>
        <v/>
      </c>
      <c r="AG31">
        <f>AND(OR(D31&lt;&gt;"",E31&lt;&gt;""),F31="No")</f>
        <v/>
      </c>
    </row>
    <row r="32">
      <c r="A32" s="44" t="inlineStr">
        <is>
          <t>H.9.3</t>
        </is>
      </c>
      <c r="B32" s="27" t="inlineStr">
        <is>
          <t>X</t>
        </is>
      </c>
      <c r="C32" s="27" t="inlineStr">
        <is>
          <t>X</t>
        </is>
      </c>
      <c r="D32" s="27" t="inlineStr">
        <is>
          <t>X</t>
        </is>
      </c>
      <c r="E32" s="27" t="inlineStr">
        <is>
          <t>X</t>
        </is>
      </c>
      <c r="F32" s="47" t="inlineStr">
        <is>
          <t>No</t>
        </is>
      </c>
      <c r="H32">
        <f>AND(B32&lt;&gt;"",C32&lt;&gt;"")</f>
        <v/>
      </c>
      <c r="I32">
        <f>OR(B32&lt;&gt;"",C32&lt;&gt;"")</f>
        <v/>
      </c>
      <c r="J32">
        <f>AND(B32&lt;&gt;"",D32&lt;&gt;"")</f>
        <v/>
      </c>
      <c r="K32">
        <f>OR(B32&lt;&gt;"",D32&lt;&gt;"")</f>
        <v/>
      </c>
      <c r="L32">
        <f>AND(B32&lt;&gt;"",E32&lt;&gt;"")</f>
        <v/>
      </c>
      <c r="M32">
        <f>OR(B32&lt;&gt;"",E32&lt;&gt;"")</f>
        <v/>
      </c>
      <c r="N32">
        <f>AND(C32&lt;&gt;"",D32&lt;&gt;"")</f>
        <v/>
      </c>
      <c r="O32">
        <f>OR(C32&lt;&gt;"",D32&lt;&gt;"")</f>
        <v/>
      </c>
      <c r="P32">
        <f>AND(C32&lt;&gt;"",E32&lt;&gt;"")</f>
        <v/>
      </c>
      <c r="Q32">
        <f>OR(C32&lt;&gt;"",E32&lt;&gt;"")</f>
        <v/>
      </c>
      <c r="R32">
        <f>AND(D32&lt;&gt;"",E32&lt;&gt;"")</f>
        <v/>
      </c>
      <c r="S32">
        <f>OR(D32&lt;&gt;"",E32&lt;&gt;"")</f>
        <v/>
      </c>
      <c r="V32">
        <f>AND(B32&lt;&gt;"",C32&lt;&gt;"",F32="No")</f>
        <v/>
      </c>
      <c r="W32">
        <f>AND(OR(B32&lt;&gt;"",C32&lt;&gt;""),F32="No")</f>
        <v/>
      </c>
      <c r="X32">
        <f>AND(B32&lt;&gt;"",D32&lt;&gt;"",F32="No")</f>
        <v/>
      </c>
      <c r="Y32">
        <f>AND(OR(B32&lt;&gt;"",D32&lt;&gt;""),F32="No")</f>
        <v/>
      </c>
      <c r="Z32">
        <f>AND(B32&lt;&gt;"",E32&lt;&gt;"",F32="No")</f>
        <v/>
      </c>
      <c r="AA32">
        <f>AND(OR(B32&lt;&gt;"",E32&lt;&gt;""),F32="No")</f>
        <v/>
      </c>
      <c r="AB32">
        <f>AND(C32&lt;&gt;"",D32&lt;&gt;"",F32="No")</f>
        <v/>
      </c>
      <c r="AC32">
        <f>AND(OR(C32&lt;&gt;"",D32&lt;&gt;""),F32="No")</f>
        <v/>
      </c>
      <c r="AD32">
        <f>AND(C32&lt;&gt;"",E32&lt;&gt;"",F32="No")</f>
        <v/>
      </c>
      <c r="AE32">
        <f>AND(OR(C32&lt;&gt;"",E32&lt;&gt;""),F32="No")</f>
        <v/>
      </c>
      <c r="AF32">
        <f>AND(D32&lt;&gt;"",E32&lt;&gt;"",F32="No")</f>
        <v/>
      </c>
      <c r="AG32">
        <f>AND(OR(D32&lt;&gt;"",E32&lt;&gt;""),F32="No")</f>
        <v/>
      </c>
    </row>
    <row r="33">
      <c r="A33" s="44" t="inlineStr">
        <is>
          <t>GS.9.6</t>
        </is>
      </c>
      <c r="B33" s="27" t="inlineStr">
        <is>
          <t>X</t>
        </is>
      </c>
      <c r="C33" s="27" t="inlineStr">
        <is>
          <t>X</t>
        </is>
      </c>
      <c r="D33" s="27" t="inlineStr">
        <is>
          <t>X</t>
        </is>
      </c>
      <c r="E33" s="27" t="inlineStr">
        <is>
          <t>X</t>
        </is>
      </c>
      <c r="F33" s="47" t="inlineStr">
        <is>
          <t>No</t>
        </is>
      </c>
      <c r="H33">
        <f>AND(B33&lt;&gt;"",C33&lt;&gt;"")</f>
        <v/>
      </c>
      <c r="I33">
        <f>OR(B33&lt;&gt;"",C33&lt;&gt;"")</f>
        <v/>
      </c>
      <c r="J33">
        <f>AND(B33&lt;&gt;"",D33&lt;&gt;"")</f>
        <v/>
      </c>
      <c r="K33">
        <f>OR(B33&lt;&gt;"",D33&lt;&gt;"")</f>
        <v/>
      </c>
      <c r="L33">
        <f>AND(B33&lt;&gt;"",E33&lt;&gt;"")</f>
        <v/>
      </c>
      <c r="M33">
        <f>OR(B33&lt;&gt;"",E33&lt;&gt;"")</f>
        <v/>
      </c>
      <c r="N33">
        <f>AND(C33&lt;&gt;"",D33&lt;&gt;"")</f>
        <v/>
      </c>
      <c r="O33">
        <f>OR(C33&lt;&gt;"",D33&lt;&gt;"")</f>
        <v/>
      </c>
      <c r="P33">
        <f>AND(C33&lt;&gt;"",E33&lt;&gt;"")</f>
        <v/>
      </c>
      <c r="Q33">
        <f>OR(C33&lt;&gt;"",E33&lt;&gt;"")</f>
        <v/>
      </c>
      <c r="R33">
        <f>AND(D33&lt;&gt;"",E33&lt;&gt;"")</f>
        <v/>
      </c>
      <c r="S33">
        <f>OR(D33&lt;&gt;"",E33&lt;&gt;"")</f>
        <v/>
      </c>
      <c r="V33">
        <f>AND(B33&lt;&gt;"",C33&lt;&gt;"",F33="No")</f>
        <v/>
      </c>
      <c r="W33">
        <f>AND(OR(B33&lt;&gt;"",C33&lt;&gt;""),F33="No")</f>
        <v/>
      </c>
      <c r="X33">
        <f>AND(B33&lt;&gt;"",D33&lt;&gt;"",F33="No")</f>
        <v/>
      </c>
      <c r="Y33">
        <f>AND(OR(B33&lt;&gt;"",D33&lt;&gt;""),F33="No")</f>
        <v/>
      </c>
      <c r="Z33">
        <f>AND(B33&lt;&gt;"",E33&lt;&gt;"",F33="No")</f>
        <v/>
      </c>
      <c r="AA33">
        <f>AND(OR(B33&lt;&gt;"",E33&lt;&gt;""),F33="No")</f>
        <v/>
      </c>
      <c r="AB33">
        <f>AND(C33&lt;&gt;"",D33&lt;&gt;"",F33="No")</f>
        <v/>
      </c>
      <c r="AC33">
        <f>AND(OR(C33&lt;&gt;"",D33&lt;&gt;""),F33="No")</f>
        <v/>
      </c>
      <c r="AD33">
        <f>AND(C33&lt;&gt;"",E33&lt;&gt;"",F33="No")</f>
        <v/>
      </c>
      <c r="AE33">
        <f>AND(OR(C33&lt;&gt;"",E33&lt;&gt;""),F33="No")</f>
        <v/>
      </c>
      <c r="AF33">
        <f>AND(D33&lt;&gt;"",E33&lt;&gt;"",F33="No")</f>
        <v/>
      </c>
      <c r="AG33">
        <f>AND(OR(D33&lt;&gt;"",E33&lt;&gt;""),F33="No")</f>
        <v/>
      </c>
    </row>
    <row r="34">
      <c r="A34" s="44" t="inlineStr">
        <is>
          <t>GS.9.8</t>
        </is>
      </c>
      <c r="B34" s="27" t="inlineStr">
        <is>
          <t>X</t>
        </is>
      </c>
      <c r="F34" s="47" t="inlineStr">
        <is>
          <t>No</t>
        </is>
      </c>
      <c r="H34">
        <f>AND(B34&lt;&gt;"",C34&lt;&gt;"")</f>
        <v/>
      </c>
      <c r="I34">
        <f>OR(B34&lt;&gt;"",C34&lt;&gt;"")</f>
        <v/>
      </c>
      <c r="J34">
        <f>AND(B34&lt;&gt;"",D34&lt;&gt;"")</f>
        <v/>
      </c>
      <c r="K34">
        <f>OR(B34&lt;&gt;"",D34&lt;&gt;"")</f>
        <v/>
      </c>
      <c r="L34">
        <f>AND(B34&lt;&gt;"",E34&lt;&gt;"")</f>
        <v/>
      </c>
      <c r="M34">
        <f>OR(B34&lt;&gt;"",E34&lt;&gt;"")</f>
        <v/>
      </c>
      <c r="N34">
        <f>AND(C34&lt;&gt;"",D34&lt;&gt;"")</f>
        <v/>
      </c>
      <c r="O34">
        <f>OR(C34&lt;&gt;"",D34&lt;&gt;"")</f>
        <v/>
      </c>
      <c r="P34">
        <f>AND(C34&lt;&gt;"",E34&lt;&gt;"")</f>
        <v/>
      </c>
      <c r="Q34">
        <f>OR(C34&lt;&gt;"",E34&lt;&gt;"")</f>
        <v/>
      </c>
      <c r="R34">
        <f>AND(D34&lt;&gt;"",E34&lt;&gt;"")</f>
        <v/>
      </c>
      <c r="S34">
        <f>OR(D34&lt;&gt;"",E34&lt;&gt;"")</f>
        <v/>
      </c>
      <c r="V34">
        <f>AND(B34&lt;&gt;"",C34&lt;&gt;"",F34="No")</f>
        <v/>
      </c>
      <c r="W34">
        <f>AND(OR(B34&lt;&gt;"",C34&lt;&gt;""),F34="No")</f>
        <v/>
      </c>
      <c r="X34">
        <f>AND(B34&lt;&gt;"",D34&lt;&gt;"",F34="No")</f>
        <v/>
      </c>
      <c r="Y34">
        <f>AND(OR(B34&lt;&gt;"",D34&lt;&gt;""),F34="No")</f>
        <v/>
      </c>
      <c r="Z34">
        <f>AND(B34&lt;&gt;"",E34&lt;&gt;"",F34="No")</f>
        <v/>
      </c>
      <c r="AA34">
        <f>AND(OR(B34&lt;&gt;"",E34&lt;&gt;""),F34="No")</f>
        <v/>
      </c>
      <c r="AB34">
        <f>AND(C34&lt;&gt;"",D34&lt;&gt;"",F34="No")</f>
        <v/>
      </c>
      <c r="AC34">
        <f>AND(OR(C34&lt;&gt;"",D34&lt;&gt;""),F34="No")</f>
        <v/>
      </c>
      <c r="AD34">
        <f>AND(C34&lt;&gt;"",E34&lt;&gt;"",F34="No")</f>
        <v/>
      </c>
      <c r="AE34">
        <f>AND(OR(C34&lt;&gt;"",E34&lt;&gt;""),F34="No")</f>
        <v/>
      </c>
      <c r="AF34">
        <f>AND(D34&lt;&gt;"",E34&lt;&gt;"",F34="No")</f>
        <v/>
      </c>
      <c r="AG34">
        <f>AND(OR(D34&lt;&gt;"",E34&lt;&gt;""),F34="No")</f>
        <v/>
      </c>
    </row>
    <row r="35">
      <c r="A35" s="44" t="inlineStr">
        <is>
          <t>H.10.1</t>
        </is>
      </c>
      <c r="C35" s="27" t="inlineStr">
        <is>
          <t>X</t>
        </is>
      </c>
      <c r="E35" s="27" t="inlineStr">
        <is>
          <t>X</t>
        </is>
      </c>
      <c r="F35" s="47" t="inlineStr">
        <is>
          <t>No</t>
        </is>
      </c>
      <c r="H35">
        <f>AND(B35&lt;&gt;"",C35&lt;&gt;"")</f>
        <v/>
      </c>
      <c r="I35">
        <f>OR(B35&lt;&gt;"",C35&lt;&gt;"")</f>
        <v/>
      </c>
      <c r="J35">
        <f>AND(B35&lt;&gt;"",D35&lt;&gt;"")</f>
        <v/>
      </c>
      <c r="K35">
        <f>OR(B35&lt;&gt;"",D35&lt;&gt;"")</f>
        <v/>
      </c>
      <c r="L35">
        <f>AND(B35&lt;&gt;"",E35&lt;&gt;"")</f>
        <v/>
      </c>
      <c r="M35">
        <f>OR(B35&lt;&gt;"",E35&lt;&gt;"")</f>
        <v/>
      </c>
      <c r="N35">
        <f>AND(C35&lt;&gt;"",D35&lt;&gt;"")</f>
        <v/>
      </c>
      <c r="O35">
        <f>OR(C35&lt;&gt;"",D35&lt;&gt;"")</f>
        <v/>
      </c>
      <c r="P35">
        <f>AND(C35&lt;&gt;"",E35&lt;&gt;"")</f>
        <v/>
      </c>
      <c r="Q35">
        <f>OR(C35&lt;&gt;"",E35&lt;&gt;"")</f>
        <v/>
      </c>
      <c r="R35">
        <f>AND(D35&lt;&gt;"",E35&lt;&gt;"")</f>
        <v/>
      </c>
      <c r="S35">
        <f>OR(D35&lt;&gt;"",E35&lt;&gt;"")</f>
        <v/>
      </c>
      <c r="V35">
        <f>AND(B35&lt;&gt;"",C35&lt;&gt;"",F35="No")</f>
        <v/>
      </c>
      <c r="W35">
        <f>AND(OR(B35&lt;&gt;"",C35&lt;&gt;""),F35="No")</f>
        <v/>
      </c>
      <c r="X35">
        <f>AND(B35&lt;&gt;"",D35&lt;&gt;"",F35="No")</f>
        <v/>
      </c>
      <c r="Y35">
        <f>AND(OR(B35&lt;&gt;"",D35&lt;&gt;""),F35="No")</f>
        <v/>
      </c>
      <c r="Z35">
        <f>AND(B35&lt;&gt;"",E35&lt;&gt;"",F35="No")</f>
        <v/>
      </c>
      <c r="AA35">
        <f>AND(OR(B35&lt;&gt;"",E35&lt;&gt;""),F35="No")</f>
        <v/>
      </c>
      <c r="AB35">
        <f>AND(C35&lt;&gt;"",D35&lt;&gt;"",F35="No")</f>
        <v/>
      </c>
      <c r="AC35">
        <f>AND(OR(C35&lt;&gt;"",D35&lt;&gt;""),F35="No")</f>
        <v/>
      </c>
      <c r="AD35">
        <f>AND(C35&lt;&gt;"",E35&lt;&gt;"",F35="No")</f>
        <v/>
      </c>
      <c r="AE35">
        <f>AND(OR(C35&lt;&gt;"",E35&lt;&gt;""),F35="No")</f>
        <v/>
      </c>
      <c r="AF35">
        <f>AND(D35&lt;&gt;"",E35&lt;&gt;"",F35="No")</f>
        <v/>
      </c>
      <c r="AG35">
        <f>AND(OR(D35&lt;&gt;"",E35&lt;&gt;""),F35="No")</f>
        <v/>
      </c>
    </row>
    <row r="36">
      <c r="A36" s="44" t="inlineStr">
        <is>
          <t>H.10.2</t>
        </is>
      </c>
      <c r="B36" s="27" t="inlineStr">
        <is>
          <t>P</t>
        </is>
      </c>
      <c r="C36" s="27" t="inlineStr">
        <is>
          <t>P</t>
        </is>
      </c>
      <c r="D36" s="27" t="inlineStr">
        <is>
          <t>P</t>
        </is>
      </c>
      <c r="E36" s="27" t="inlineStr">
        <is>
          <t>P</t>
        </is>
      </c>
      <c r="F36" s="47" t="inlineStr">
        <is>
          <t>No</t>
        </is>
      </c>
      <c r="H36">
        <f>AND(B36&lt;&gt;"",C36&lt;&gt;"")</f>
        <v/>
      </c>
      <c r="I36">
        <f>OR(B36&lt;&gt;"",C36&lt;&gt;"")</f>
        <v/>
      </c>
      <c r="J36">
        <f>AND(B36&lt;&gt;"",D36&lt;&gt;"")</f>
        <v/>
      </c>
      <c r="K36">
        <f>OR(B36&lt;&gt;"",D36&lt;&gt;"")</f>
        <v/>
      </c>
      <c r="L36">
        <f>AND(B36&lt;&gt;"",E36&lt;&gt;"")</f>
        <v/>
      </c>
      <c r="M36">
        <f>OR(B36&lt;&gt;"",E36&lt;&gt;"")</f>
        <v/>
      </c>
      <c r="N36">
        <f>AND(C36&lt;&gt;"",D36&lt;&gt;"")</f>
        <v/>
      </c>
      <c r="O36">
        <f>OR(C36&lt;&gt;"",D36&lt;&gt;"")</f>
        <v/>
      </c>
      <c r="P36">
        <f>AND(C36&lt;&gt;"",E36&lt;&gt;"")</f>
        <v/>
      </c>
      <c r="Q36">
        <f>OR(C36&lt;&gt;"",E36&lt;&gt;"")</f>
        <v/>
      </c>
      <c r="R36">
        <f>AND(D36&lt;&gt;"",E36&lt;&gt;"")</f>
        <v/>
      </c>
      <c r="S36">
        <f>OR(D36&lt;&gt;"",E36&lt;&gt;"")</f>
        <v/>
      </c>
      <c r="V36">
        <f>AND(B36&lt;&gt;"",C36&lt;&gt;"",F36="No")</f>
        <v/>
      </c>
      <c r="W36">
        <f>AND(OR(B36&lt;&gt;"",C36&lt;&gt;""),F36="No")</f>
        <v/>
      </c>
      <c r="X36">
        <f>AND(B36&lt;&gt;"",D36&lt;&gt;"",F36="No")</f>
        <v/>
      </c>
      <c r="Y36">
        <f>AND(OR(B36&lt;&gt;"",D36&lt;&gt;""),F36="No")</f>
        <v/>
      </c>
      <c r="Z36">
        <f>AND(B36&lt;&gt;"",E36&lt;&gt;"",F36="No")</f>
        <v/>
      </c>
      <c r="AA36">
        <f>AND(OR(B36&lt;&gt;"",E36&lt;&gt;""),F36="No")</f>
        <v/>
      </c>
      <c r="AB36">
        <f>AND(C36&lt;&gt;"",D36&lt;&gt;"",F36="No")</f>
        <v/>
      </c>
      <c r="AC36">
        <f>AND(OR(C36&lt;&gt;"",D36&lt;&gt;""),F36="No")</f>
        <v/>
      </c>
      <c r="AD36">
        <f>AND(C36&lt;&gt;"",E36&lt;&gt;"",F36="No")</f>
        <v/>
      </c>
      <c r="AE36">
        <f>AND(OR(C36&lt;&gt;"",E36&lt;&gt;""),F36="No")</f>
        <v/>
      </c>
      <c r="AF36">
        <f>AND(D36&lt;&gt;"",E36&lt;&gt;"",F36="No")</f>
        <v/>
      </c>
      <c r="AG36">
        <f>AND(OR(D36&lt;&gt;"",E36&lt;&gt;""),F36="No")</f>
        <v/>
      </c>
    </row>
    <row r="37">
      <c r="A37" s="44" t="inlineStr">
        <is>
          <t>H.10.3</t>
        </is>
      </c>
      <c r="B37" s="27" t="inlineStr">
        <is>
          <t>X</t>
        </is>
      </c>
      <c r="E37" s="27" t="inlineStr">
        <is>
          <t>X</t>
        </is>
      </c>
      <c r="F37" s="47" t="inlineStr">
        <is>
          <t>No</t>
        </is>
      </c>
      <c r="H37">
        <f>AND(B37&lt;&gt;"",C37&lt;&gt;"")</f>
        <v/>
      </c>
      <c r="I37">
        <f>OR(B37&lt;&gt;"",C37&lt;&gt;"")</f>
        <v/>
      </c>
      <c r="J37">
        <f>AND(B37&lt;&gt;"",D37&lt;&gt;"")</f>
        <v/>
      </c>
      <c r="K37">
        <f>OR(B37&lt;&gt;"",D37&lt;&gt;"")</f>
        <v/>
      </c>
      <c r="L37">
        <f>AND(B37&lt;&gt;"",E37&lt;&gt;"")</f>
        <v/>
      </c>
      <c r="M37">
        <f>OR(B37&lt;&gt;"",E37&lt;&gt;"")</f>
        <v/>
      </c>
      <c r="N37">
        <f>AND(C37&lt;&gt;"",D37&lt;&gt;"")</f>
        <v/>
      </c>
      <c r="O37">
        <f>OR(C37&lt;&gt;"",D37&lt;&gt;"")</f>
        <v/>
      </c>
      <c r="P37">
        <f>AND(C37&lt;&gt;"",E37&lt;&gt;"")</f>
        <v/>
      </c>
      <c r="Q37">
        <f>OR(C37&lt;&gt;"",E37&lt;&gt;"")</f>
        <v/>
      </c>
      <c r="R37">
        <f>AND(D37&lt;&gt;"",E37&lt;&gt;"")</f>
        <v/>
      </c>
      <c r="S37">
        <f>OR(D37&lt;&gt;"",E37&lt;&gt;"")</f>
        <v/>
      </c>
      <c r="V37">
        <f>AND(B37&lt;&gt;"",C37&lt;&gt;"",F37="No")</f>
        <v/>
      </c>
      <c r="W37">
        <f>AND(OR(B37&lt;&gt;"",C37&lt;&gt;""),F37="No")</f>
        <v/>
      </c>
      <c r="X37">
        <f>AND(B37&lt;&gt;"",D37&lt;&gt;"",F37="No")</f>
        <v/>
      </c>
      <c r="Y37">
        <f>AND(OR(B37&lt;&gt;"",D37&lt;&gt;""),F37="No")</f>
        <v/>
      </c>
      <c r="Z37">
        <f>AND(B37&lt;&gt;"",E37&lt;&gt;"",F37="No")</f>
        <v/>
      </c>
      <c r="AA37">
        <f>AND(OR(B37&lt;&gt;"",E37&lt;&gt;""),F37="No")</f>
        <v/>
      </c>
      <c r="AB37">
        <f>AND(C37&lt;&gt;"",D37&lt;&gt;"",F37="No")</f>
        <v/>
      </c>
      <c r="AC37">
        <f>AND(OR(C37&lt;&gt;"",D37&lt;&gt;""),F37="No")</f>
        <v/>
      </c>
      <c r="AD37">
        <f>AND(C37&lt;&gt;"",E37&lt;&gt;"",F37="No")</f>
        <v/>
      </c>
      <c r="AE37">
        <f>AND(OR(C37&lt;&gt;"",E37&lt;&gt;""),F37="No")</f>
        <v/>
      </c>
      <c r="AF37">
        <f>AND(D37&lt;&gt;"",E37&lt;&gt;"",F37="No")</f>
        <v/>
      </c>
      <c r="AG37">
        <f>AND(OR(D37&lt;&gt;"",E37&lt;&gt;""),F37="No")</f>
        <v/>
      </c>
    </row>
    <row r="38">
      <c r="A38" s="44" t="inlineStr">
        <is>
          <t>GS.10.5</t>
        </is>
      </c>
      <c r="B38" s="27" t="inlineStr">
        <is>
          <t>X</t>
        </is>
      </c>
      <c r="C38" s="27" t="inlineStr">
        <is>
          <t>X</t>
        </is>
      </c>
      <c r="D38" s="27" t="inlineStr">
        <is>
          <t>X</t>
        </is>
      </c>
      <c r="E38" s="27" t="inlineStr">
        <is>
          <t>X</t>
        </is>
      </c>
      <c r="F38" s="47" t="inlineStr">
        <is>
          <t>No</t>
        </is>
      </c>
      <c r="H38">
        <f>AND(B38&lt;&gt;"",C38&lt;&gt;"")</f>
        <v/>
      </c>
      <c r="I38">
        <f>OR(B38&lt;&gt;"",C38&lt;&gt;"")</f>
        <v/>
      </c>
      <c r="J38">
        <f>AND(B38&lt;&gt;"",D38&lt;&gt;"")</f>
        <v/>
      </c>
      <c r="K38">
        <f>OR(B38&lt;&gt;"",D38&lt;&gt;"")</f>
        <v/>
      </c>
      <c r="L38">
        <f>AND(B38&lt;&gt;"",E38&lt;&gt;"")</f>
        <v/>
      </c>
      <c r="M38">
        <f>OR(B38&lt;&gt;"",E38&lt;&gt;"")</f>
        <v/>
      </c>
      <c r="N38">
        <f>AND(C38&lt;&gt;"",D38&lt;&gt;"")</f>
        <v/>
      </c>
      <c r="O38">
        <f>OR(C38&lt;&gt;"",D38&lt;&gt;"")</f>
        <v/>
      </c>
      <c r="P38">
        <f>AND(C38&lt;&gt;"",E38&lt;&gt;"")</f>
        <v/>
      </c>
      <c r="Q38">
        <f>OR(C38&lt;&gt;"",E38&lt;&gt;"")</f>
        <v/>
      </c>
      <c r="R38">
        <f>AND(D38&lt;&gt;"",E38&lt;&gt;"")</f>
        <v/>
      </c>
      <c r="S38">
        <f>OR(D38&lt;&gt;"",E38&lt;&gt;"")</f>
        <v/>
      </c>
      <c r="V38">
        <f>AND(B38&lt;&gt;"",C38&lt;&gt;"",F38="No")</f>
        <v/>
      </c>
      <c r="W38">
        <f>AND(OR(B38&lt;&gt;"",C38&lt;&gt;""),F38="No")</f>
        <v/>
      </c>
      <c r="X38">
        <f>AND(B38&lt;&gt;"",D38&lt;&gt;"",F38="No")</f>
        <v/>
      </c>
      <c r="Y38">
        <f>AND(OR(B38&lt;&gt;"",D38&lt;&gt;""),F38="No")</f>
        <v/>
      </c>
      <c r="Z38">
        <f>AND(B38&lt;&gt;"",E38&lt;&gt;"",F38="No")</f>
        <v/>
      </c>
      <c r="AA38">
        <f>AND(OR(B38&lt;&gt;"",E38&lt;&gt;""),F38="No")</f>
        <v/>
      </c>
      <c r="AB38">
        <f>AND(C38&lt;&gt;"",D38&lt;&gt;"",F38="No")</f>
        <v/>
      </c>
      <c r="AC38">
        <f>AND(OR(C38&lt;&gt;"",D38&lt;&gt;""),F38="No")</f>
        <v/>
      </c>
      <c r="AD38">
        <f>AND(C38&lt;&gt;"",E38&lt;&gt;"",F38="No")</f>
        <v/>
      </c>
      <c r="AE38">
        <f>AND(OR(C38&lt;&gt;"",E38&lt;&gt;""),F38="No")</f>
        <v/>
      </c>
      <c r="AF38">
        <f>AND(D38&lt;&gt;"",E38&lt;&gt;"",F38="No")</f>
        <v/>
      </c>
      <c r="AG38">
        <f>AND(OR(D38&lt;&gt;"",E38&lt;&gt;""),F38="No")</f>
        <v/>
      </c>
    </row>
    <row r="39">
      <c r="A39" t="inlineStr">
        <is>
          <t>G0.10.1; G0_iii.10.3; G0_iv.10.2</t>
        </is>
      </c>
      <c r="B39" s="27" t="inlineStr">
        <is>
          <t>X</t>
        </is>
      </c>
      <c r="D39" s="27" t="inlineStr">
        <is>
          <t>X</t>
        </is>
      </c>
      <c r="E39" s="27" t="inlineStr">
        <is>
          <t>X</t>
        </is>
      </c>
      <c r="F39" s="47" t="inlineStr">
        <is>
          <t>Yes</t>
        </is>
      </c>
      <c r="H39">
        <f>AND(B39&lt;&gt;"",C39&lt;&gt;"")</f>
        <v/>
      </c>
      <c r="I39">
        <f>OR(B39&lt;&gt;"",C39&lt;&gt;"")</f>
        <v/>
      </c>
      <c r="J39">
        <f>AND(B39&lt;&gt;"",D39&lt;&gt;"")</f>
        <v/>
      </c>
      <c r="K39">
        <f>OR(B39&lt;&gt;"",D39&lt;&gt;"")</f>
        <v/>
      </c>
      <c r="L39">
        <f>AND(B39&lt;&gt;"",E39&lt;&gt;"")</f>
        <v/>
      </c>
      <c r="M39">
        <f>OR(B39&lt;&gt;"",E39&lt;&gt;"")</f>
        <v/>
      </c>
      <c r="N39">
        <f>AND(C39&lt;&gt;"",D39&lt;&gt;"")</f>
        <v/>
      </c>
      <c r="O39">
        <f>OR(C39&lt;&gt;"",D39&lt;&gt;"")</f>
        <v/>
      </c>
      <c r="P39">
        <f>AND(C39&lt;&gt;"",E39&lt;&gt;"")</f>
        <v/>
      </c>
      <c r="Q39">
        <f>OR(C39&lt;&gt;"",E39&lt;&gt;"")</f>
        <v/>
      </c>
      <c r="R39">
        <f>AND(D39&lt;&gt;"",E39&lt;&gt;"")</f>
        <v/>
      </c>
      <c r="S39">
        <f>OR(D39&lt;&gt;"",E39&lt;&gt;"")</f>
        <v/>
      </c>
      <c r="V39">
        <f>AND(B39&lt;&gt;"",C39&lt;&gt;"",F39="No")</f>
        <v/>
      </c>
      <c r="W39">
        <f>AND(OR(B39&lt;&gt;"",C39&lt;&gt;""),F39="No")</f>
        <v/>
      </c>
      <c r="X39">
        <f>AND(B39&lt;&gt;"",D39&lt;&gt;"",F39="No")</f>
        <v/>
      </c>
      <c r="Y39">
        <f>AND(OR(B39&lt;&gt;"",D39&lt;&gt;""),F39="No")</f>
        <v/>
      </c>
      <c r="Z39">
        <f>AND(B39&lt;&gt;"",E39&lt;&gt;"",F39="No")</f>
        <v/>
      </c>
      <c r="AA39">
        <f>AND(OR(B39&lt;&gt;"",E39&lt;&gt;""),F39="No")</f>
        <v/>
      </c>
      <c r="AB39">
        <f>AND(C39&lt;&gt;"",D39&lt;&gt;"",F39="No")</f>
        <v/>
      </c>
      <c r="AC39">
        <f>AND(OR(C39&lt;&gt;"",D39&lt;&gt;""),F39="No")</f>
        <v/>
      </c>
      <c r="AD39">
        <f>AND(C39&lt;&gt;"",E39&lt;&gt;"",F39="No")</f>
        <v/>
      </c>
      <c r="AE39">
        <f>AND(OR(C39&lt;&gt;"",E39&lt;&gt;""),F39="No")</f>
        <v/>
      </c>
      <c r="AF39">
        <f>AND(D39&lt;&gt;"",E39&lt;&gt;"",F39="No")</f>
        <v/>
      </c>
      <c r="AG39">
        <f>AND(OR(D39&lt;&gt;"",E39&lt;&gt;""),F39="No")</f>
        <v/>
      </c>
    </row>
    <row r="40">
      <c r="A40" t="inlineStr">
        <is>
          <t>G0_iii.10.1</t>
        </is>
      </c>
      <c r="D40" s="27" t="inlineStr">
        <is>
          <t>X</t>
        </is>
      </c>
      <c r="F40" s="47" t="inlineStr">
        <is>
          <t>Yes</t>
        </is>
      </c>
      <c r="H40">
        <f>AND(B40&lt;&gt;"",C40&lt;&gt;"")</f>
        <v/>
      </c>
      <c r="I40">
        <f>OR(B40&lt;&gt;"",C40&lt;&gt;"")</f>
        <v/>
      </c>
      <c r="J40">
        <f>AND(B40&lt;&gt;"",D40&lt;&gt;"")</f>
        <v/>
      </c>
      <c r="K40">
        <f>OR(B40&lt;&gt;"",D40&lt;&gt;"")</f>
        <v/>
      </c>
      <c r="L40">
        <f>AND(B40&lt;&gt;"",E40&lt;&gt;"")</f>
        <v/>
      </c>
      <c r="M40">
        <f>OR(B40&lt;&gt;"",E40&lt;&gt;"")</f>
        <v/>
      </c>
      <c r="N40">
        <f>AND(C40&lt;&gt;"",D40&lt;&gt;"")</f>
        <v/>
      </c>
      <c r="O40">
        <f>OR(C40&lt;&gt;"",D40&lt;&gt;"")</f>
        <v/>
      </c>
      <c r="P40">
        <f>AND(C40&lt;&gt;"",E40&lt;&gt;"")</f>
        <v/>
      </c>
      <c r="Q40">
        <f>OR(C40&lt;&gt;"",E40&lt;&gt;"")</f>
        <v/>
      </c>
      <c r="R40">
        <f>AND(D40&lt;&gt;"",E40&lt;&gt;"")</f>
        <v/>
      </c>
      <c r="S40">
        <f>OR(D40&lt;&gt;"",E40&lt;&gt;"")</f>
        <v/>
      </c>
      <c r="V40">
        <f>AND(B40&lt;&gt;"",C40&lt;&gt;"",F40="No")</f>
        <v/>
      </c>
      <c r="W40">
        <f>AND(OR(B40&lt;&gt;"",C40&lt;&gt;""),F40="No")</f>
        <v/>
      </c>
      <c r="X40">
        <f>AND(B40&lt;&gt;"",D40&lt;&gt;"",F40="No")</f>
        <v/>
      </c>
      <c r="Y40">
        <f>AND(OR(B40&lt;&gt;"",D40&lt;&gt;""),F40="No")</f>
        <v/>
      </c>
      <c r="Z40">
        <f>AND(B40&lt;&gt;"",E40&lt;&gt;"",F40="No")</f>
        <v/>
      </c>
      <c r="AA40">
        <f>AND(OR(B40&lt;&gt;"",E40&lt;&gt;""),F40="No")</f>
        <v/>
      </c>
      <c r="AB40">
        <f>AND(C40&lt;&gt;"",D40&lt;&gt;"",F40="No")</f>
        <v/>
      </c>
      <c r="AC40">
        <f>AND(OR(C40&lt;&gt;"",D40&lt;&gt;""),F40="No")</f>
        <v/>
      </c>
      <c r="AD40">
        <f>AND(C40&lt;&gt;"",E40&lt;&gt;"",F40="No")</f>
        <v/>
      </c>
      <c r="AE40">
        <f>AND(OR(C40&lt;&gt;"",E40&lt;&gt;""),F40="No")</f>
        <v/>
      </c>
      <c r="AF40">
        <f>AND(D40&lt;&gt;"",E40&lt;&gt;"",F40="No")</f>
        <v/>
      </c>
      <c r="AG40">
        <f>AND(OR(D40&lt;&gt;"",E40&lt;&gt;""),F40="No")</f>
        <v/>
      </c>
    </row>
    <row r="41" ht="15" customHeight="1" s="54">
      <c r="A41" t="inlineStr">
        <is>
          <t>G0_iv.10.3</t>
        </is>
      </c>
      <c r="E41" s="27" t="inlineStr">
        <is>
          <t>X</t>
        </is>
      </c>
      <c r="F41" s="47" t="inlineStr">
        <is>
          <t>Yes</t>
        </is>
      </c>
      <c r="H41">
        <f>AND(B41&lt;&gt;"",C41&lt;&gt;"")</f>
        <v/>
      </c>
      <c r="I41">
        <f>OR(B41&lt;&gt;"",C41&lt;&gt;"")</f>
        <v/>
      </c>
      <c r="J41">
        <f>AND(B41&lt;&gt;"",D41&lt;&gt;"")</f>
        <v/>
      </c>
      <c r="K41">
        <f>OR(B41&lt;&gt;"",D41&lt;&gt;"")</f>
        <v/>
      </c>
      <c r="L41">
        <f>AND(B41&lt;&gt;"",E41&lt;&gt;"")</f>
        <v/>
      </c>
      <c r="M41">
        <f>OR(B41&lt;&gt;"",E41&lt;&gt;"")</f>
        <v/>
      </c>
      <c r="N41">
        <f>AND(C41&lt;&gt;"",D41&lt;&gt;"")</f>
        <v/>
      </c>
      <c r="O41">
        <f>OR(C41&lt;&gt;"",D41&lt;&gt;"")</f>
        <v/>
      </c>
      <c r="P41">
        <f>AND(C41&lt;&gt;"",E41&lt;&gt;"")</f>
        <v/>
      </c>
      <c r="Q41">
        <f>OR(C41&lt;&gt;"",E41&lt;&gt;"")</f>
        <v/>
      </c>
      <c r="R41">
        <f>AND(D41&lt;&gt;"",E41&lt;&gt;"")</f>
        <v/>
      </c>
      <c r="S41">
        <f>OR(D41&lt;&gt;"",E41&lt;&gt;"")</f>
        <v/>
      </c>
      <c r="V41">
        <f>AND(B41&lt;&gt;"",C41&lt;&gt;"",F41="No")</f>
        <v/>
      </c>
      <c r="W41">
        <f>AND(OR(B41&lt;&gt;"",C41&lt;&gt;""),F41="No")</f>
        <v/>
      </c>
      <c r="X41">
        <f>AND(B41&lt;&gt;"",D41&lt;&gt;"",F41="No")</f>
        <v/>
      </c>
      <c r="Y41">
        <f>AND(OR(B41&lt;&gt;"",D41&lt;&gt;""),F41="No")</f>
        <v/>
      </c>
      <c r="Z41">
        <f>AND(B41&lt;&gt;"",E41&lt;&gt;"",F41="No")</f>
        <v/>
      </c>
      <c r="AA41">
        <f>AND(OR(B41&lt;&gt;"",E41&lt;&gt;""),F41="No")</f>
        <v/>
      </c>
      <c r="AB41">
        <f>AND(C41&lt;&gt;"",D41&lt;&gt;"",F41="No")</f>
        <v/>
      </c>
      <c r="AC41">
        <f>AND(OR(C41&lt;&gt;"",D41&lt;&gt;""),F41="No")</f>
        <v/>
      </c>
      <c r="AD41">
        <f>AND(C41&lt;&gt;"",E41&lt;&gt;"",F41="No")</f>
        <v/>
      </c>
      <c r="AE41">
        <f>AND(OR(C41&lt;&gt;"",E41&lt;&gt;""),F41="No")</f>
        <v/>
      </c>
      <c r="AF41">
        <f>AND(D41&lt;&gt;"",E41&lt;&gt;"",F41="No")</f>
        <v/>
      </c>
      <c r="AG41">
        <f>AND(OR(D41&lt;&gt;"",E41&lt;&gt;""),F41="No")</f>
        <v/>
      </c>
    </row>
    <row r="42" ht="15" customHeight="1" s="54">
      <c r="F42" s="47" t="n"/>
    </row>
    <row r="43">
      <c r="A43" s="47" t="inlineStr">
        <is>
          <t>Count</t>
        </is>
      </c>
      <c r="H43">
        <f>COUNTIF(H2:H41,TRUE())</f>
        <v/>
      </c>
      <c r="I43">
        <f>COUNTIF(I2:I41,TRUE())</f>
        <v/>
      </c>
      <c r="J43">
        <f>COUNTIF(J2:J41,TRUE())</f>
        <v/>
      </c>
      <c r="K43">
        <f>COUNTIF(K2:K41,TRUE())</f>
        <v/>
      </c>
      <c r="L43">
        <f>COUNTIF(L2:L41,TRUE())</f>
        <v/>
      </c>
      <c r="M43">
        <f>COUNTIF(M2:M41,TRUE())</f>
        <v/>
      </c>
      <c r="N43">
        <f>COUNTIF(N2:N41,TRUE())</f>
        <v/>
      </c>
      <c r="O43">
        <f>COUNTIF(O2:O41,TRUE())</f>
        <v/>
      </c>
      <c r="P43">
        <f>COUNTIF(P2:P41,TRUE())</f>
        <v/>
      </c>
      <c r="Q43">
        <f>COUNTIF(Q2:Q41,TRUE())</f>
        <v/>
      </c>
      <c r="R43">
        <f>COUNTIF(R2:R41,TRUE())</f>
        <v/>
      </c>
      <c r="S43">
        <f>COUNTIF(S2:S41,TRUE())</f>
        <v/>
      </c>
      <c r="T43" s="16" t="inlineStr">
        <is>
          <t>Avg.</t>
        </is>
      </c>
      <c r="V43">
        <f>COUNTIF(V2:V41,TRUE())</f>
        <v/>
      </c>
      <c r="W43">
        <f>COUNTIF(W2:W41,TRUE())</f>
        <v/>
      </c>
      <c r="X43">
        <f>COUNTIF(X2:X41,TRUE())</f>
        <v/>
      </c>
      <c r="Y43">
        <f>COUNTIF(Y2:Y41,TRUE())</f>
        <v/>
      </c>
      <c r="Z43">
        <f>COUNTIF(Z2:Z41,TRUE())</f>
        <v/>
      </c>
      <c r="AA43">
        <f>COUNTIF(AA2:AA41,TRUE())</f>
        <v/>
      </c>
      <c r="AB43">
        <f>COUNTIF(AB2:AB41,TRUE())</f>
        <v/>
      </c>
      <c r="AC43">
        <f>COUNTIF(AC2:AC41,TRUE())</f>
        <v/>
      </c>
      <c r="AD43">
        <f>COUNTIF(AD2:AD41,TRUE())</f>
        <v/>
      </c>
      <c r="AE43">
        <f>COUNTIF(AE2:AE41,TRUE())</f>
        <v/>
      </c>
      <c r="AF43">
        <f>COUNTIF(AF2:AF41,TRUE())</f>
        <v/>
      </c>
      <c r="AG43">
        <f>COUNTIF(AG2:AG41,TRUE())</f>
        <v/>
      </c>
      <c r="AH43" s="16" t="inlineStr">
        <is>
          <t>Avg.</t>
        </is>
      </c>
    </row>
    <row r="44">
      <c r="G44" s="47" t="inlineStr">
        <is>
          <t>J-index</t>
        </is>
      </c>
      <c r="H44" s="55">
        <f>H43/I43</f>
        <v/>
      </c>
      <c r="J44" s="55">
        <f>J43/K43</f>
        <v/>
      </c>
      <c r="L44" s="55">
        <f>L43/M43</f>
        <v/>
      </c>
      <c r="N44" s="55">
        <f>N43/O43</f>
        <v/>
      </c>
      <c r="P44" s="55">
        <f>P43/Q43</f>
        <v/>
      </c>
      <c r="R44" s="55">
        <f>R43/S43</f>
        <v/>
      </c>
      <c r="T44" s="55">
        <f>AVERAGE(H44:S44)</f>
        <v/>
      </c>
      <c r="U44" s="47" t="inlineStr">
        <is>
          <t>J-index</t>
        </is>
      </c>
      <c r="V44" s="55">
        <f>V43/W43</f>
        <v/>
      </c>
      <c r="X44" s="55">
        <f>X43/Y43</f>
        <v/>
      </c>
      <c r="Z44" s="55">
        <f>Z43/AA43</f>
        <v/>
      </c>
      <c r="AB44" s="55">
        <f>AB43/AC43</f>
        <v/>
      </c>
      <c r="AD44" s="55">
        <f>AD43/AE43</f>
        <v/>
      </c>
      <c r="AF44" s="55">
        <f>AF43/AG43</f>
        <v/>
      </c>
      <c r="AH44" s="55">
        <f>AVERAGE(V44:AG44)</f>
        <v/>
      </c>
    </row>
    <row r="45">
      <c r="T45" s="55">
        <f>GEOMEAN(H44:S44)</f>
        <v/>
      </c>
      <c r="AH45" s="55">
        <f>GEOMEAN(V44:AG44)</f>
        <v/>
      </c>
    </row>
    <row r="1048551" ht="15" customHeight="1" s="54"/>
  </sheetData>
  <autoFilter ref="A1:F41"/>
  <mergeCells count="13">
    <mergeCell ref="Z44:AA44"/>
    <mergeCell ref="AD44:AE44"/>
    <mergeCell ref="J44:K44"/>
    <mergeCell ref="N44:O44"/>
    <mergeCell ref="R44:S44"/>
    <mergeCell ref="X44:Y44"/>
    <mergeCell ref="AB44:AC44"/>
    <mergeCell ref="A43:G43"/>
    <mergeCell ref="AF44:AG44"/>
    <mergeCell ref="P44:Q44"/>
    <mergeCell ref="V44:W44"/>
    <mergeCell ref="H44:I44"/>
    <mergeCell ref="L44:M44"/>
  </mergeCells>
  <conditionalFormatting sqref="F2:F42">
    <cfRule type="containsText" priority="2" operator="containsText" dxfId="1" text="No">
      <formula>NOT(ISERROR(SEARCH("No",F2)))</formula>
    </cfRule>
    <cfRule type="containsText" priority="3" operator="containsText" dxfId="0" text="Yes">
      <formula>NOT(ISERROR(SEARCH("Yes",F2)))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271"/>
  <sheetViews>
    <sheetView tabSelected="1" zoomScale="85" zoomScaleNormal="85" workbookViewId="0">
      <pane ySplit="1" topLeftCell="A142" activePane="bottomLeft" state="frozen"/>
      <selection pane="bottomLeft" activeCell="X2" sqref="X2:X155"/>
    </sheetView>
  </sheetViews>
  <sheetFormatPr baseColWidth="8" defaultColWidth="8.7109375" defaultRowHeight="15"/>
  <cols>
    <col width="24.42578125" customWidth="1" style="44" min="1" max="1"/>
    <col width="5.5703125" customWidth="1" style="54" min="2" max="2"/>
    <col width="22.28515625" customWidth="1" style="54" min="3" max="3"/>
    <col width="7.28515625" customWidth="1" style="33" min="4" max="4"/>
    <col width="9.140625" customWidth="1" style="27" min="5" max="8"/>
    <col width="9.140625" customWidth="1" style="36" min="9" max="9"/>
    <col width="9.140625" customWidth="1" style="27" min="10" max="13"/>
    <col width="9.140625" customWidth="1" style="36" min="14" max="14"/>
    <col width="9.140625" customWidth="1" style="27" min="15" max="18"/>
    <col width="9.140625" customWidth="1" style="36" min="19" max="19"/>
    <col width="9.140625" customWidth="1" style="27" min="20" max="23"/>
    <col width="9.140625" customWidth="1" style="36" min="24" max="24"/>
    <col width="11.7109375" customWidth="1" style="54" min="25" max="25"/>
    <col width="12.7109375" customWidth="1" style="54" min="26" max="51"/>
  </cols>
  <sheetData>
    <row r="1">
      <c r="A1" s="44" t="inlineStr">
        <is>
          <t>#</t>
        </is>
      </c>
      <c r="B1" t="inlineStr">
        <is>
          <t>Hall.</t>
        </is>
      </c>
      <c r="C1" t="inlineStr">
        <is>
          <t>H. Type</t>
        </is>
      </c>
      <c r="E1" s="27" t="inlineStr">
        <is>
          <t>L0</t>
        </is>
      </c>
      <c r="F1" s="27" t="inlineStr">
        <is>
          <t>L0_ii</t>
        </is>
      </c>
      <c r="G1" s="27" t="inlineStr">
        <is>
          <t>L0_iii</t>
        </is>
      </c>
      <c r="H1" s="27" t="inlineStr">
        <is>
          <t>L0_iv</t>
        </is>
      </c>
      <c r="I1" s="36" t="inlineStr">
        <is>
          <t>L*</t>
        </is>
      </c>
      <c r="J1" s="27" t="inlineStr">
        <is>
          <t>Q0</t>
        </is>
      </c>
      <c r="K1" s="27" t="inlineStr">
        <is>
          <t>Q0_ii</t>
        </is>
      </c>
      <c r="L1" s="27" t="inlineStr">
        <is>
          <t>Q0_iii</t>
        </is>
      </c>
      <c r="M1" s="27" t="inlineStr">
        <is>
          <t>Q0_iv</t>
        </is>
      </c>
      <c r="N1" s="36" t="inlineStr">
        <is>
          <t>Q*</t>
        </is>
      </c>
      <c r="O1" s="27" t="inlineStr">
        <is>
          <t>M0</t>
        </is>
      </c>
      <c r="P1" s="27" t="inlineStr">
        <is>
          <t>M0_ii</t>
        </is>
      </c>
      <c r="Q1" s="27" t="inlineStr">
        <is>
          <t>M0_iii</t>
        </is>
      </c>
      <c r="R1" s="27" t="inlineStr">
        <is>
          <t>M0_iv</t>
        </is>
      </c>
      <c r="S1" s="36" t="inlineStr">
        <is>
          <t>M*</t>
        </is>
      </c>
      <c r="T1" s="27" t="inlineStr">
        <is>
          <t>G0</t>
        </is>
      </c>
      <c r="U1" s="27" t="inlineStr">
        <is>
          <t>G0_ii</t>
        </is>
      </c>
      <c r="V1" s="27" t="inlineStr">
        <is>
          <t>G0_iii</t>
        </is>
      </c>
      <c r="W1" s="27" t="inlineStr">
        <is>
          <t>G0_iv</t>
        </is>
      </c>
      <c r="X1" s="36" t="inlineStr">
        <is>
          <t>G*</t>
        </is>
      </c>
      <c r="Z1" t="inlineStr">
        <is>
          <t>L* &amp;&amp; Q*</t>
        </is>
      </c>
      <c r="AA1" t="inlineStr">
        <is>
          <t>L* || Q*</t>
        </is>
      </c>
      <c r="AB1" t="inlineStr">
        <is>
          <t>L* &amp;&amp; M*</t>
        </is>
      </c>
      <c r="AC1" t="inlineStr">
        <is>
          <t>L* || M*</t>
        </is>
      </c>
      <c r="AD1" t="inlineStr">
        <is>
          <t>L* &amp;&amp; G*</t>
        </is>
      </c>
      <c r="AE1" t="inlineStr">
        <is>
          <t>L* || G*</t>
        </is>
      </c>
      <c r="AF1" t="inlineStr">
        <is>
          <t>Q* &amp;&amp; M*</t>
        </is>
      </c>
      <c r="AG1" t="inlineStr">
        <is>
          <t>Q* || M*</t>
        </is>
      </c>
      <c r="AH1" t="inlineStr">
        <is>
          <t>Q* &amp;&amp; G*</t>
        </is>
      </c>
      <c r="AI1" t="inlineStr">
        <is>
          <t>Q* || G*</t>
        </is>
      </c>
      <c r="AJ1" t="inlineStr">
        <is>
          <t>M* &amp;&amp; G*</t>
        </is>
      </c>
      <c r="AK1" t="inlineStr">
        <is>
          <t>M* || G*</t>
        </is>
      </c>
      <c r="AM1" t="inlineStr">
        <is>
          <t>L* &amp;&amp; Q*</t>
        </is>
      </c>
      <c r="AN1" t="inlineStr">
        <is>
          <t>L* || Q*</t>
        </is>
      </c>
      <c r="AO1" t="inlineStr">
        <is>
          <t>L* &amp;&amp; M*</t>
        </is>
      </c>
      <c r="AP1" t="inlineStr">
        <is>
          <t>L* || M*</t>
        </is>
      </c>
      <c r="AQ1" t="inlineStr">
        <is>
          <t>L* &amp;&amp; G*</t>
        </is>
      </c>
      <c r="AR1" t="inlineStr">
        <is>
          <t>L* || G*</t>
        </is>
      </c>
      <c r="AS1" t="inlineStr">
        <is>
          <t>Q* &amp;&amp; M*</t>
        </is>
      </c>
      <c r="AT1" t="inlineStr">
        <is>
          <t>Q* || M*</t>
        </is>
      </c>
      <c r="AU1" t="inlineStr">
        <is>
          <t>Q* &amp;&amp; G*</t>
        </is>
      </c>
      <c r="AV1" t="inlineStr">
        <is>
          <t>Q* || G*</t>
        </is>
      </c>
      <c r="AW1" t="inlineStr">
        <is>
          <t>M* &amp;&amp; G*</t>
        </is>
      </c>
      <c r="AX1" t="inlineStr">
        <is>
          <t>M* || G*</t>
        </is>
      </c>
    </row>
    <row r="2" ht="14.45" customHeight="1" s="54">
      <c r="A2" s="44" t="inlineStr">
        <is>
          <t>GS.1.1</t>
        </is>
      </c>
      <c r="B2" s="47" t="inlineStr">
        <is>
          <t>No</t>
        </is>
      </c>
      <c r="C2" s="47" t="n"/>
      <c r="D2" s="34" t="inlineStr">
        <is>
          <t>H.1.1</t>
        </is>
      </c>
      <c r="E2" s="35" t="inlineStr">
        <is>
          <t>X</t>
        </is>
      </c>
      <c r="F2" s="35" t="inlineStr">
        <is>
          <t>X</t>
        </is>
      </c>
      <c r="G2" s="35" t="inlineStr">
        <is>
          <t>X</t>
        </is>
      </c>
      <c r="H2" s="35" t="inlineStr">
        <is>
          <t>X</t>
        </is>
      </c>
      <c r="I2" s="37">
        <f>IF(COUNTA(E2:H2)&gt;0,"X","")</f>
        <v/>
      </c>
      <c r="J2" s="27" t="inlineStr">
        <is>
          <t>X</t>
        </is>
      </c>
      <c r="K2" s="27" t="inlineStr">
        <is>
          <t>X</t>
        </is>
      </c>
      <c r="L2" s="27" t="inlineStr">
        <is>
          <t>X</t>
        </is>
      </c>
      <c r="M2" s="27" t="inlineStr">
        <is>
          <t>X</t>
        </is>
      </c>
      <c r="N2" s="37">
        <f>IF(COUNTA(J2:M2)&gt;0,"X","")</f>
        <v/>
      </c>
      <c r="O2" s="27" t="inlineStr">
        <is>
          <t>X</t>
        </is>
      </c>
      <c r="P2" s="27" t="inlineStr">
        <is>
          <t>X</t>
        </is>
      </c>
      <c r="Q2" s="27" t="inlineStr">
        <is>
          <t>X</t>
        </is>
      </c>
      <c r="R2" s="27" t="inlineStr">
        <is>
          <t>X</t>
        </is>
      </c>
      <c r="S2" s="37">
        <f>IF(COUNTA(O2:R2)&gt;0,"X","")</f>
        <v/>
      </c>
      <c r="T2" s="27" t="inlineStr">
        <is>
          <t>P</t>
        </is>
      </c>
      <c r="U2" s="27" t="inlineStr">
        <is>
          <t>X</t>
        </is>
      </c>
      <c r="V2" s="27" t="inlineStr">
        <is>
          <t>X</t>
        </is>
      </c>
      <c r="W2" s="27" t="inlineStr">
        <is>
          <t>X</t>
        </is>
      </c>
      <c r="X2" s="37">
        <f>IF(COUNTA(T2:W2)&gt;0,"X","")</f>
        <v/>
      </c>
      <c r="Z2">
        <f>AND(I2&lt;&gt;"",N2&lt;&gt;"")</f>
        <v/>
      </c>
      <c r="AA2">
        <f>OR(I2&lt;&gt;"",N2&lt;&gt;"")</f>
        <v/>
      </c>
      <c r="AB2">
        <f>AND(I2&lt;&gt;"",S2&lt;&gt;"")</f>
        <v/>
      </c>
      <c r="AC2">
        <f>OR(I2&lt;&gt;"",S2&lt;&gt;"")</f>
        <v/>
      </c>
      <c r="AD2">
        <f>AND(I2&lt;&gt;"",X2&lt;&gt;"")</f>
        <v/>
      </c>
      <c r="AE2">
        <f>OR(I2&lt;&gt;"",X2&lt;&gt;"")</f>
        <v/>
      </c>
      <c r="AF2">
        <f>AND(N2&lt;&gt;"",S2&lt;&gt;"")</f>
        <v/>
      </c>
      <c r="AG2">
        <f>OR(N2&lt;&gt;"",S2&lt;&gt;"")</f>
        <v/>
      </c>
      <c r="AH2">
        <f>AND(N2&lt;&gt;"",X2&lt;&gt;"")</f>
        <v/>
      </c>
      <c r="AI2">
        <f>OR(N2&lt;&gt;"",X2&lt;&gt;"")</f>
        <v/>
      </c>
      <c r="AJ2">
        <f>AND(S2&lt;&gt;"",X2&lt;&gt;"")</f>
        <v/>
      </c>
      <c r="AK2">
        <f>OR(S2&lt;&gt;"",X2&lt;&gt;"")</f>
        <v/>
      </c>
      <c r="AM2">
        <f>AND(I2&lt;&gt;"",N2&lt;&gt;"",B2="No")</f>
        <v/>
      </c>
      <c r="AN2">
        <f>AND(OR(I2&lt;&gt;"",N2&lt;&gt;""),B2="No")</f>
        <v/>
      </c>
      <c r="AO2">
        <f>AND(I2&lt;&gt;"",S2&lt;&gt;"",B2="No")</f>
        <v/>
      </c>
      <c r="AP2">
        <f>AND(OR(I2&lt;&gt;"",S2&lt;&gt;""),B2="No")</f>
        <v/>
      </c>
      <c r="AQ2">
        <f>AND(I2&lt;&gt;"",X2&lt;&gt;"",B2="No")</f>
        <v/>
      </c>
      <c r="AR2">
        <f>AND(OR(I2&lt;&gt;"",X2&lt;&gt;""),B2="No")</f>
        <v/>
      </c>
      <c r="AS2">
        <f>AND(N2&lt;&gt;"",S2&lt;&gt;"",B2="No")</f>
        <v/>
      </c>
      <c r="AT2">
        <f>AND(OR(N2&lt;&gt;"",S2&lt;&gt;""),B2="No")</f>
        <v/>
      </c>
      <c r="AU2">
        <f>AND(N2&lt;&gt;"",X2&lt;&gt;"",B2="No")</f>
        <v/>
      </c>
      <c r="AV2">
        <f>AND(OR(N2&lt;&gt;"",X2&lt;&gt;""),B2="No")</f>
        <v/>
      </c>
      <c r="AW2">
        <f>AND(S2&lt;&gt;"",X2&lt;&gt;"",B2="No")</f>
        <v/>
      </c>
      <c r="AX2">
        <f>AND(OR(S2&lt;&gt;"",X2&lt;&gt;""),B2="No")</f>
        <v/>
      </c>
    </row>
    <row r="3">
      <c r="A3" s="44" t="inlineStr">
        <is>
          <t>GS.1.2</t>
        </is>
      </c>
      <c r="B3" s="47" t="inlineStr">
        <is>
          <t>No</t>
        </is>
      </c>
      <c r="C3" s="47" t="n"/>
      <c r="D3" s="34" t="inlineStr">
        <is>
          <t>H.1.2</t>
        </is>
      </c>
      <c r="E3" s="35" t="n"/>
      <c r="F3" s="35" t="n"/>
      <c r="G3" s="35" t="n"/>
      <c r="H3" s="35" t="n"/>
      <c r="I3" s="37">
        <f>IF(COUNTA(E3:H3)&gt;0,"X","")</f>
        <v/>
      </c>
      <c r="M3" s="27" t="inlineStr">
        <is>
          <t>P</t>
        </is>
      </c>
      <c r="N3" s="37">
        <f>IF(COUNTA(J3:M3)&gt;0,"X","")</f>
        <v/>
      </c>
      <c r="O3" s="35" t="n"/>
      <c r="P3" s="35" t="n"/>
      <c r="Q3" s="35" t="n"/>
      <c r="R3" s="35" t="n"/>
      <c r="S3" s="37">
        <f>IF(COUNTA(O3:R3)&gt;0,"X","")</f>
        <v/>
      </c>
      <c r="T3" s="35" t="n"/>
      <c r="U3" s="35" t="n"/>
      <c r="V3" s="35" t="n"/>
      <c r="W3" s="35" t="n"/>
      <c r="X3" s="37">
        <f>IF(COUNTA(T3:W3)&gt;0,"X","")</f>
        <v/>
      </c>
      <c r="Z3">
        <f>AND(I3&lt;&gt;"",N3&lt;&gt;"")</f>
        <v/>
      </c>
      <c r="AA3">
        <f>OR(I3&lt;&gt;"",N3&lt;&gt;"")</f>
        <v/>
      </c>
      <c r="AB3">
        <f>AND(I3&lt;&gt;"",S3&lt;&gt;"")</f>
        <v/>
      </c>
      <c r="AC3">
        <f>OR(I3&lt;&gt;"",S3&lt;&gt;"")</f>
        <v/>
      </c>
      <c r="AD3">
        <f>AND(I3&lt;&gt;"",X3&lt;&gt;"")</f>
        <v/>
      </c>
      <c r="AE3">
        <f>OR(I3&lt;&gt;"",X3&lt;&gt;"")</f>
        <v/>
      </c>
      <c r="AF3">
        <f>AND(N3&lt;&gt;"",S3&lt;&gt;"")</f>
        <v/>
      </c>
      <c r="AG3">
        <f>OR(N3&lt;&gt;"",S3&lt;&gt;"")</f>
        <v/>
      </c>
      <c r="AH3">
        <f>AND(N3&lt;&gt;"",X3&lt;&gt;"")</f>
        <v/>
      </c>
      <c r="AI3">
        <f>OR(N3&lt;&gt;"",X3&lt;&gt;"")</f>
        <v/>
      </c>
      <c r="AJ3">
        <f>AND(S3&lt;&gt;"",X3&lt;&gt;"")</f>
        <v/>
      </c>
      <c r="AK3">
        <f>OR(S3&lt;&gt;"",X3&lt;&gt;"")</f>
        <v/>
      </c>
      <c r="AM3">
        <f>AND(I3&lt;&gt;"",N3&lt;&gt;"",B3="No")</f>
        <v/>
      </c>
      <c r="AN3">
        <f>AND(OR(I3&lt;&gt;"",N3&lt;&gt;""),B3="No")</f>
        <v/>
      </c>
      <c r="AO3">
        <f>AND(I3&lt;&gt;"",S3&lt;&gt;"",B3="No")</f>
        <v/>
      </c>
      <c r="AP3">
        <f>AND(OR(I3&lt;&gt;"",S3&lt;&gt;""),B3="No")</f>
        <v/>
      </c>
      <c r="AQ3">
        <f>AND(I3&lt;&gt;"",X3&lt;&gt;"",B3="No")</f>
        <v/>
      </c>
      <c r="AR3">
        <f>AND(OR(I3&lt;&gt;"",X3&lt;&gt;""),B3="No")</f>
        <v/>
      </c>
      <c r="AS3">
        <f>AND(N3&lt;&gt;"",S3&lt;&gt;"",B3="No")</f>
        <v/>
      </c>
      <c r="AT3">
        <f>AND(OR(N3&lt;&gt;"",S3&lt;&gt;""),B3="No")</f>
        <v/>
      </c>
      <c r="AU3">
        <f>AND(N3&lt;&gt;"",X3&lt;&gt;"",B3="No")</f>
        <v/>
      </c>
      <c r="AV3">
        <f>AND(OR(N3&lt;&gt;"",X3&lt;&gt;""),B3="No")</f>
        <v/>
      </c>
      <c r="AW3">
        <f>AND(S3&lt;&gt;"",X3&lt;&gt;"",B3="No")</f>
        <v/>
      </c>
      <c r="AX3">
        <f>AND(OR(S3&lt;&gt;"",X3&lt;&gt;""),B3="No")</f>
        <v/>
      </c>
    </row>
    <row r="4">
      <c r="A4" s="44" t="inlineStr">
        <is>
          <t>GS.1.3</t>
        </is>
      </c>
      <c r="B4" s="47" t="inlineStr">
        <is>
          <t>No</t>
        </is>
      </c>
      <c r="C4" s="47" t="n"/>
      <c r="D4" s="34" t="n"/>
      <c r="E4" s="35" t="n"/>
      <c r="F4" s="35" t="n"/>
      <c r="G4" s="35" t="n"/>
      <c r="H4" s="35" t="n"/>
      <c r="I4" s="37">
        <f>IF(COUNTA(E4:H4)&gt;0,"X","")</f>
        <v/>
      </c>
      <c r="J4" s="35" t="n"/>
      <c r="K4" s="35" t="n"/>
      <c r="L4" s="35" t="n"/>
      <c r="M4" s="35" t="n"/>
      <c r="N4" s="37">
        <f>IF(COUNTA(J4:M4)&gt;0,"X","")</f>
        <v/>
      </c>
      <c r="O4" s="35" t="n"/>
      <c r="P4" s="35" t="n"/>
      <c r="Q4" s="35" t="n"/>
      <c r="R4" s="35" t="n"/>
      <c r="S4" s="37">
        <f>IF(COUNTA(O4:R4)&gt;0,"X","")</f>
        <v/>
      </c>
      <c r="T4" s="35" t="n"/>
      <c r="U4" s="35" t="n"/>
      <c r="V4" s="35" t="n"/>
      <c r="W4" s="35" t="n"/>
      <c r="X4" s="37">
        <f>IF(COUNTA(T4:W4)&gt;0,"X","")</f>
        <v/>
      </c>
      <c r="Z4">
        <f>AND(I4&lt;&gt;"",N4&lt;&gt;"")</f>
        <v/>
      </c>
      <c r="AA4">
        <f>OR(I4&lt;&gt;"",N4&lt;&gt;"")</f>
        <v/>
      </c>
      <c r="AB4">
        <f>AND(I4&lt;&gt;"",S4&lt;&gt;"")</f>
        <v/>
      </c>
      <c r="AC4">
        <f>OR(I4&lt;&gt;"",S4&lt;&gt;"")</f>
        <v/>
      </c>
      <c r="AD4">
        <f>AND(I4&lt;&gt;"",X4&lt;&gt;"")</f>
        <v/>
      </c>
      <c r="AE4">
        <f>OR(I4&lt;&gt;"",X4&lt;&gt;"")</f>
        <v/>
      </c>
      <c r="AF4">
        <f>AND(N4&lt;&gt;"",S4&lt;&gt;"")</f>
        <v/>
      </c>
      <c r="AG4">
        <f>OR(N4&lt;&gt;"",S4&lt;&gt;"")</f>
        <v/>
      </c>
      <c r="AH4">
        <f>AND(N4&lt;&gt;"",X4&lt;&gt;"")</f>
        <v/>
      </c>
      <c r="AI4">
        <f>OR(N4&lt;&gt;"",X4&lt;&gt;"")</f>
        <v/>
      </c>
      <c r="AJ4">
        <f>AND(S4&lt;&gt;"",X4&lt;&gt;"")</f>
        <v/>
      </c>
      <c r="AK4">
        <f>OR(S4&lt;&gt;"",X4&lt;&gt;"")</f>
        <v/>
      </c>
      <c r="AM4">
        <f>AND(I4&lt;&gt;"",N4&lt;&gt;"",B4="No")</f>
        <v/>
      </c>
      <c r="AN4">
        <f>AND(OR(I4&lt;&gt;"",N4&lt;&gt;""),B4="No")</f>
        <v/>
      </c>
      <c r="AO4">
        <f>AND(I4&lt;&gt;"",S4&lt;&gt;"",B4="No")</f>
        <v/>
      </c>
      <c r="AP4">
        <f>AND(OR(I4&lt;&gt;"",S4&lt;&gt;""),B4="No")</f>
        <v/>
      </c>
      <c r="AQ4">
        <f>AND(I4&lt;&gt;"",X4&lt;&gt;"",B4="No")</f>
        <v/>
      </c>
      <c r="AR4">
        <f>AND(OR(I4&lt;&gt;"",X4&lt;&gt;""),B4="No")</f>
        <v/>
      </c>
      <c r="AS4">
        <f>AND(N4&lt;&gt;"",S4&lt;&gt;"",B4="No")</f>
        <v/>
      </c>
      <c r="AT4">
        <f>AND(OR(N4&lt;&gt;"",S4&lt;&gt;""),B4="No")</f>
        <v/>
      </c>
      <c r="AU4">
        <f>AND(N4&lt;&gt;"",X4&lt;&gt;"",B4="No")</f>
        <v/>
      </c>
      <c r="AV4">
        <f>AND(OR(N4&lt;&gt;"",X4&lt;&gt;""),B4="No")</f>
        <v/>
      </c>
      <c r="AW4">
        <f>AND(S4&lt;&gt;"",X4&lt;&gt;"",B4="No")</f>
        <v/>
      </c>
      <c r="AX4">
        <f>AND(OR(S4&lt;&gt;"",X4&lt;&gt;""),B4="No")</f>
        <v/>
      </c>
    </row>
    <row r="5">
      <c r="A5" s="44" t="inlineStr">
        <is>
          <t>GS.2.1</t>
        </is>
      </c>
      <c r="B5" s="47" t="inlineStr">
        <is>
          <t>No</t>
        </is>
      </c>
      <c r="C5" s="47" t="n"/>
      <c r="D5" s="34" t="inlineStr">
        <is>
          <t>H.2.1</t>
        </is>
      </c>
      <c r="E5" s="35" t="inlineStr">
        <is>
          <t>X</t>
        </is>
      </c>
      <c r="F5" s="35" t="inlineStr">
        <is>
          <t>X</t>
        </is>
      </c>
      <c r="G5" s="35" t="inlineStr">
        <is>
          <t>X</t>
        </is>
      </c>
      <c r="H5" s="35" t="inlineStr">
        <is>
          <t>X</t>
        </is>
      </c>
      <c r="I5" s="37">
        <f>IF(COUNTA(E5:H5)&gt;0,"X","")</f>
        <v/>
      </c>
      <c r="J5" s="27" t="inlineStr">
        <is>
          <t>P</t>
        </is>
      </c>
      <c r="K5" s="27" t="inlineStr">
        <is>
          <t>X</t>
        </is>
      </c>
      <c r="L5" s="27" t="inlineStr">
        <is>
          <t>X</t>
        </is>
      </c>
      <c r="M5" s="27" t="inlineStr">
        <is>
          <t>P</t>
        </is>
      </c>
      <c r="N5" s="37">
        <f>IF(COUNTA(J5:M5)&gt;0,"X","")</f>
        <v/>
      </c>
      <c r="O5" s="35" t="n"/>
      <c r="P5" s="35" t="n"/>
      <c r="Q5" s="35" t="n"/>
      <c r="R5" s="35" t="inlineStr">
        <is>
          <t>X</t>
        </is>
      </c>
      <c r="S5" s="37">
        <f>IF(COUNTA(O5:R5)&gt;0,"X","")</f>
        <v/>
      </c>
      <c r="T5" s="27" t="inlineStr">
        <is>
          <t>P</t>
        </is>
      </c>
      <c r="U5" s="27" t="inlineStr">
        <is>
          <t>X</t>
        </is>
      </c>
      <c r="V5" s="27" t="inlineStr">
        <is>
          <t>X</t>
        </is>
      </c>
      <c r="W5" s="27" t="inlineStr">
        <is>
          <t>P</t>
        </is>
      </c>
      <c r="X5" s="37">
        <f>IF(COUNTA(T5:W5)&gt;0,"X","")</f>
        <v/>
      </c>
      <c r="Z5">
        <f>AND(I5&lt;&gt;"",N5&lt;&gt;"")</f>
        <v/>
      </c>
      <c r="AA5">
        <f>OR(I5&lt;&gt;"",N5&lt;&gt;"")</f>
        <v/>
      </c>
      <c r="AB5">
        <f>AND(I5&lt;&gt;"",S5&lt;&gt;"")</f>
        <v/>
      </c>
      <c r="AC5">
        <f>OR(I5&lt;&gt;"",S5&lt;&gt;"")</f>
        <v/>
      </c>
      <c r="AD5">
        <f>AND(I5&lt;&gt;"",X5&lt;&gt;"")</f>
        <v/>
      </c>
      <c r="AE5">
        <f>OR(I5&lt;&gt;"",X5&lt;&gt;"")</f>
        <v/>
      </c>
      <c r="AF5">
        <f>AND(N5&lt;&gt;"",S5&lt;&gt;"")</f>
        <v/>
      </c>
      <c r="AG5">
        <f>OR(N5&lt;&gt;"",S5&lt;&gt;"")</f>
        <v/>
      </c>
      <c r="AH5">
        <f>AND(N5&lt;&gt;"",X5&lt;&gt;"")</f>
        <v/>
      </c>
      <c r="AI5">
        <f>OR(N5&lt;&gt;"",X5&lt;&gt;"")</f>
        <v/>
      </c>
      <c r="AJ5">
        <f>AND(S5&lt;&gt;"",X5&lt;&gt;"")</f>
        <v/>
      </c>
      <c r="AK5">
        <f>OR(S5&lt;&gt;"",X5&lt;&gt;"")</f>
        <v/>
      </c>
      <c r="AM5">
        <f>AND(I5&lt;&gt;"",N5&lt;&gt;"",B5="No")</f>
        <v/>
      </c>
      <c r="AN5">
        <f>AND(OR(I5&lt;&gt;"",N5&lt;&gt;""),B5="No")</f>
        <v/>
      </c>
      <c r="AO5">
        <f>AND(I5&lt;&gt;"",S5&lt;&gt;"",B5="No")</f>
        <v/>
      </c>
      <c r="AP5">
        <f>AND(OR(I5&lt;&gt;"",S5&lt;&gt;""),B5="No")</f>
        <v/>
      </c>
      <c r="AQ5">
        <f>AND(I5&lt;&gt;"",X5&lt;&gt;"",B5="No")</f>
        <v/>
      </c>
      <c r="AR5">
        <f>AND(OR(I5&lt;&gt;"",X5&lt;&gt;""),B5="No")</f>
        <v/>
      </c>
      <c r="AS5">
        <f>AND(N5&lt;&gt;"",S5&lt;&gt;"",B5="No")</f>
        <v/>
      </c>
      <c r="AT5">
        <f>AND(OR(N5&lt;&gt;"",S5&lt;&gt;""),B5="No")</f>
        <v/>
      </c>
      <c r="AU5">
        <f>AND(N5&lt;&gt;"",X5&lt;&gt;"",B5="No")</f>
        <v/>
      </c>
      <c r="AV5">
        <f>AND(OR(N5&lt;&gt;"",X5&lt;&gt;""),B5="No")</f>
        <v/>
      </c>
      <c r="AW5">
        <f>AND(S5&lt;&gt;"",X5&lt;&gt;"",B5="No")</f>
        <v/>
      </c>
      <c r="AX5">
        <f>AND(OR(S5&lt;&gt;"",X5&lt;&gt;""),B5="No")</f>
        <v/>
      </c>
    </row>
    <row r="6">
      <c r="A6" s="44" t="inlineStr">
        <is>
          <t>GS.2.2</t>
        </is>
      </c>
      <c r="B6" s="47" t="inlineStr">
        <is>
          <t>No</t>
        </is>
      </c>
      <c r="C6" s="47" t="n"/>
      <c r="D6" s="34" t="inlineStr">
        <is>
          <t>H.2.2</t>
        </is>
      </c>
      <c r="E6" s="35" t="n"/>
      <c r="F6" s="35" t="n"/>
      <c r="G6" s="35" t="inlineStr">
        <is>
          <t>X</t>
        </is>
      </c>
      <c r="H6" s="35" t="n"/>
      <c r="I6" s="37">
        <f>IF(COUNTA(E6:H6)&gt;0,"X","")</f>
        <v/>
      </c>
      <c r="J6" s="35" t="n"/>
      <c r="K6" s="35" t="n"/>
      <c r="L6" s="35" t="n"/>
      <c r="M6" s="35" t="n"/>
      <c r="N6" s="37">
        <f>IF(COUNTA(J6:M6)&gt;0,"X","")</f>
        <v/>
      </c>
      <c r="O6" s="35" t="n"/>
      <c r="P6" s="35" t="n"/>
      <c r="Q6" s="35" t="n"/>
      <c r="R6" s="35" t="n"/>
      <c r="S6" s="37">
        <f>IF(COUNTA(O6:R6)&gt;0,"X","")</f>
        <v/>
      </c>
      <c r="T6" s="35" t="n"/>
      <c r="U6" s="35" t="n"/>
      <c r="V6" s="35" t="n"/>
      <c r="W6" s="35" t="n"/>
      <c r="X6" s="37">
        <f>IF(COUNTA(T6:W6)&gt;0,"X","")</f>
        <v/>
      </c>
      <c r="Z6">
        <f>AND(I6&lt;&gt;"",N6&lt;&gt;"")</f>
        <v/>
      </c>
      <c r="AA6">
        <f>OR(I6&lt;&gt;"",N6&lt;&gt;"")</f>
        <v/>
      </c>
      <c r="AB6">
        <f>AND(I6&lt;&gt;"",S6&lt;&gt;"")</f>
        <v/>
      </c>
      <c r="AC6">
        <f>OR(I6&lt;&gt;"",S6&lt;&gt;"")</f>
        <v/>
      </c>
      <c r="AD6">
        <f>AND(I6&lt;&gt;"",X6&lt;&gt;"")</f>
        <v/>
      </c>
      <c r="AE6">
        <f>OR(I6&lt;&gt;"",X6&lt;&gt;"")</f>
        <v/>
      </c>
      <c r="AF6">
        <f>AND(N6&lt;&gt;"",S6&lt;&gt;"")</f>
        <v/>
      </c>
      <c r="AG6">
        <f>OR(N6&lt;&gt;"",S6&lt;&gt;"")</f>
        <v/>
      </c>
      <c r="AH6">
        <f>AND(N6&lt;&gt;"",X6&lt;&gt;"")</f>
        <v/>
      </c>
      <c r="AI6">
        <f>OR(N6&lt;&gt;"",X6&lt;&gt;"")</f>
        <v/>
      </c>
      <c r="AJ6">
        <f>AND(S6&lt;&gt;"",X6&lt;&gt;"")</f>
        <v/>
      </c>
      <c r="AK6">
        <f>OR(S6&lt;&gt;"",X6&lt;&gt;"")</f>
        <v/>
      </c>
      <c r="AM6">
        <f>AND(I6&lt;&gt;"",N6&lt;&gt;"",B6="No")</f>
        <v/>
      </c>
      <c r="AN6">
        <f>AND(OR(I6&lt;&gt;"",N6&lt;&gt;""),B6="No")</f>
        <v/>
      </c>
      <c r="AO6">
        <f>AND(I6&lt;&gt;"",S6&lt;&gt;"",B6="No")</f>
        <v/>
      </c>
      <c r="AP6">
        <f>AND(OR(I6&lt;&gt;"",S6&lt;&gt;""),B6="No")</f>
        <v/>
      </c>
      <c r="AQ6">
        <f>AND(I6&lt;&gt;"",X6&lt;&gt;"",B6="No")</f>
        <v/>
      </c>
      <c r="AR6">
        <f>AND(OR(I6&lt;&gt;"",X6&lt;&gt;""),B6="No")</f>
        <v/>
      </c>
      <c r="AS6">
        <f>AND(N6&lt;&gt;"",S6&lt;&gt;"",B6="No")</f>
        <v/>
      </c>
      <c r="AT6">
        <f>AND(OR(N6&lt;&gt;"",S6&lt;&gt;""),B6="No")</f>
        <v/>
      </c>
      <c r="AU6">
        <f>AND(N6&lt;&gt;"",X6&lt;&gt;"",B6="No")</f>
        <v/>
      </c>
      <c r="AV6">
        <f>AND(OR(N6&lt;&gt;"",X6&lt;&gt;""),B6="No")</f>
        <v/>
      </c>
      <c r="AW6">
        <f>AND(S6&lt;&gt;"",X6&lt;&gt;"",B6="No")</f>
        <v/>
      </c>
      <c r="AX6">
        <f>AND(OR(S6&lt;&gt;"",X6&lt;&gt;""),B6="No")</f>
        <v/>
      </c>
    </row>
    <row r="7">
      <c r="A7" s="44" t="inlineStr">
        <is>
          <t>GS.2.3</t>
        </is>
      </c>
      <c r="B7" s="47" t="inlineStr">
        <is>
          <t>No</t>
        </is>
      </c>
      <c r="C7" s="47" t="n"/>
      <c r="D7" s="34" t="n"/>
      <c r="E7" s="35" t="inlineStr">
        <is>
          <t>X</t>
        </is>
      </c>
      <c r="F7" s="35" t="n"/>
      <c r="G7" s="35" t="n"/>
      <c r="H7" s="35" t="n"/>
      <c r="I7" s="37">
        <f>IF(COUNTA(E7:H7)&gt;0,"X","")</f>
        <v/>
      </c>
      <c r="J7" s="35" t="n"/>
      <c r="K7" s="35" t="n"/>
      <c r="L7" s="35" t="n"/>
      <c r="M7" s="35" t="n"/>
      <c r="N7" s="37">
        <f>IF(COUNTA(J7:M7)&gt;0,"X","")</f>
        <v/>
      </c>
      <c r="O7" s="35" t="n"/>
      <c r="P7" s="35" t="n"/>
      <c r="Q7" s="35" t="n"/>
      <c r="R7" s="35" t="inlineStr">
        <is>
          <t>X</t>
        </is>
      </c>
      <c r="S7" s="37">
        <f>IF(COUNTA(O7:R7)&gt;0,"X","")</f>
        <v/>
      </c>
      <c r="T7" s="35" t="n"/>
      <c r="U7" s="35" t="n"/>
      <c r="V7" s="35" t="n"/>
      <c r="W7" s="35" t="n"/>
      <c r="X7" s="37">
        <f>IF(COUNTA(T7:W7)&gt;0,"X","")</f>
        <v/>
      </c>
      <c r="Z7">
        <f>AND(I7&lt;&gt;"",N7&lt;&gt;"")</f>
        <v/>
      </c>
      <c r="AA7">
        <f>OR(I7&lt;&gt;"",N7&lt;&gt;"")</f>
        <v/>
      </c>
      <c r="AB7">
        <f>AND(I7&lt;&gt;"",S7&lt;&gt;"")</f>
        <v/>
      </c>
      <c r="AC7">
        <f>OR(I7&lt;&gt;"",S7&lt;&gt;"")</f>
        <v/>
      </c>
      <c r="AD7">
        <f>AND(I7&lt;&gt;"",X7&lt;&gt;"")</f>
        <v/>
      </c>
      <c r="AE7">
        <f>OR(I7&lt;&gt;"",X7&lt;&gt;"")</f>
        <v/>
      </c>
      <c r="AF7">
        <f>AND(N7&lt;&gt;"",S7&lt;&gt;"")</f>
        <v/>
      </c>
      <c r="AG7">
        <f>OR(N7&lt;&gt;"",S7&lt;&gt;"")</f>
        <v/>
      </c>
      <c r="AH7">
        <f>AND(N7&lt;&gt;"",X7&lt;&gt;"")</f>
        <v/>
      </c>
      <c r="AI7">
        <f>OR(N7&lt;&gt;"",X7&lt;&gt;"")</f>
        <v/>
      </c>
      <c r="AJ7">
        <f>AND(S7&lt;&gt;"",X7&lt;&gt;"")</f>
        <v/>
      </c>
      <c r="AK7">
        <f>OR(S7&lt;&gt;"",X7&lt;&gt;"")</f>
        <v/>
      </c>
      <c r="AM7">
        <f>AND(I7&lt;&gt;"",N7&lt;&gt;"",B7="No")</f>
        <v/>
      </c>
      <c r="AN7">
        <f>AND(OR(I7&lt;&gt;"",N7&lt;&gt;""),B7="No")</f>
        <v/>
      </c>
      <c r="AO7">
        <f>AND(I7&lt;&gt;"",S7&lt;&gt;"",B7="No")</f>
        <v/>
      </c>
      <c r="AP7">
        <f>AND(OR(I7&lt;&gt;"",S7&lt;&gt;""),B7="No")</f>
        <v/>
      </c>
      <c r="AQ7">
        <f>AND(I7&lt;&gt;"",X7&lt;&gt;"",B7="No")</f>
        <v/>
      </c>
      <c r="AR7">
        <f>AND(OR(I7&lt;&gt;"",X7&lt;&gt;""),B7="No")</f>
        <v/>
      </c>
      <c r="AS7">
        <f>AND(N7&lt;&gt;"",S7&lt;&gt;"",B7="No")</f>
        <v/>
      </c>
      <c r="AT7">
        <f>AND(OR(N7&lt;&gt;"",S7&lt;&gt;""),B7="No")</f>
        <v/>
      </c>
      <c r="AU7">
        <f>AND(N7&lt;&gt;"",X7&lt;&gt;"",B7="No")</f>
        <v/>
      </c>
      <c r="AV7">
        <f>AND(OR(N7&lt;&gt;"",X7&lt;&gt;""),B7="No")</f>
        <v/>
      </c>
      <c r="AW7">
        <f>AND(S7&lt;&gt;"",X7&lt;&gt;"",B7="No")</f>
        <v/>
      </c>
      <c r="AX7">
        <f>AND(OR(S7&lt;&gt;"",X7&lt;&gt;""),B7="No")</f>
        <v/>
      </c>
    </row>
    <row r="8">
      <c r="A8" s="44" t="inlineStr">
        <is>
          <t>L0_ii.2.1; L0_iii.2.2</t>
        </is>
      </c>
      <c r="B8" s="47" t="inlineStr">
        <is>
          <t>Yes</t>
        </is>
      </c>
      <c r="C8" t="inlineStr">
        <is>
          <t>Scope misalignment</t>
        </is>
      </c>
      <c r="D8" s="34" t="n"/>
      <c r="E8" s="35" t="n"/>
      <c r="F8" s="35" t="inlineStr">
        <is>
          <t>X</t>
        </is>
      </c>
      <c r="G8" s="35" t="inlineStr">
        <is>
          <t>X</t>
        </is>
      </c>
      <c r="H8" s="35" t="n"/>
      <c r="I8" s="37">
        <f>IF(COUNTA(E8:H8)&gt;0,"X","")</f>
        <v/>
      </c>
      <c r="J8" s="35" t="n"/>
      <c r="K8" s="35" t="n"/>
      <c r="L8" s="35" t="n"/>
      <c r="M8" s="35" t="n"/>
      <c r="N8" s="37">
        <f>IF(COUNTA(J8:M8)&gt;0,"X","")</f>
        <v/>
      </c>
      <c r="O8" s="35" t="n"/>
      <c r="P8" s="35" t="n"/>
      <c r="Q8" s="35" t="n"/>
      <c r="R8" s="35" t="n"/>
      <c r="S8" s="37">
        <f>IF(COUNTA(O8:R8)&gt;0,"X","")</f>
        <v/>
      </c>
      <c r="T8" s="35" t="n"/>
      <c r="U8" s="35" t="n"/>
      <c r="V8" s="35" t="n"/>
      <c r="W8" s="35" t="n"/>
      <c r="X8" s="37">
        <f>IF(COUNTA(T8:W8)&gt;0,"X","")</f>
        <v/>
      </c>
      <c r="Z8">
        <f>AND(I8&lt;&gt;"",N8&lt;&gt;"")</f>
        <v/>
      </c>
      <c r="AA8">
        <f>OR(I8&lt;&gt;"",N8&lt;&gt;"")</f>
        <v/>
      </c>
      <c r="AB8">
        <f>AND(I8&lt;&gt;"",S8&lt;&gt;"")</f>
        <v/>
      </c>
      <c r="AC8">
        <f>OR(I8&lt;&gt;"",S8&lt;&gt;"")</f>
        <v/>
      </c>
      <c r="AD8">
        <f>AND(I8&lt;&gt;"",X8&lt;&gt;"")</f>
        <v/>
      </c>
      <c r="AE8">
        <f>OR(I8&lt;&gt;"",X8&lt;&gt;"")</f>
        <v/>
      </c>
      <c r="AF8">
        <f>AND(N8&lt;&gt;"",S8&lt;&gt;"")</f>
        <v/>
      </c>
      <c r="AG8">
        <f>OR(N8&lt;&gt;"",S8&lt;&gt;"")</f>
        <v/>
      </c>
      <c r="AH8">
        <f>AND(N8&lt;&gt;"",X8&lt;&gt;"")</f>
        <v/>
      </c>
      <c r="AI8">
        <f>OR(N8&lt;&gt;"",X8&lt;&gt;"")</f>
        <v/>
      </c>
      <c r="AJ8">
        <f>AND(S8&lt;&gt;"",X8&lt;&gt;"")</f>
        <v/>
      </c>
      <c r="AK8">
        <f>OR(S8&lt;&gt;"",X8&lt;&gt;"")</f>
        <v/>
      </c>
      <c r="AM8">
        <f>AND(I8&lt;&gt;"",N8&lt;&gt;"",B8="No")</f>
        <v/>
      </c>
      <c r="AN8">
        <f>AND(OR(I8&lt;&gt;"",N8&lt;&gt;""),B8="No")</f>
        <v/>
      </c>
      <c r="AO8">
        <f>AND(I8&lt;&gt;"",S8&lt;&gt;"",B8="No")</f>
        <v/>
      </c>
      <c r="AP8">
        <f>AND(OR(I8&lt;&gt;"",S8&lt;&gt;""),B8="No")</f>
        <v/>
      </c>
      <c r="AQ8">
        <f>AND(I8&lt;&gt;"",X8&lt;&gt;"",B8="No")</f>
        <v/>
      </c>
      <c r="AR8">
        <f>AND(OR(I8&lt;&gt;"",X8&lt;&gt;""),B8="No")</f>
        <v/>
      </c>
      <c r="AS8">
        <f>AND(N8&lt;&gt;"",S8&lt;&gt;"",B8="No")</f>
        <v/>
      </c>
      <c r="AT8">
        <f>AND(OR(N8&lt;&gt;"",S8&lt;&gt;""),B8="No")</f>
        <v/>
      </c>
      <c r="AU8">
        <f>AND(N8&lt;&gt;"",X8&lt;&gt;"",B8="No")</f>
        <v/>
      </c>
      <c r="AV8">
        <f>AND(OR(N8&lt;&gt;"",X8&lt;&gt;""),B8="No")</f>
        <v/>
      </c>
      <c r="AW8">
        <f>AND(S8&lt;&gt;"",X8&lt;&gt;"",B8="No")</f>
        <v/>
      </c>
      <c r="AX8">
        <f>AND(OR(S8&lt;&gt;"",X8&lt;&gt;""),B8="No")</f>
        <v/>
      </c>
    </row>
    <row r="9">
      <c r="A9" s="44" t="inlineStr">
        <is>
          <t>L0_ii.2.3</t>
        </is>
      </c>
      <c r="B9" s="47" t="inlineStr">
        <is>
          <t>Yes</t>
        </is>
      </c>
      <c r="C9" t="inlineStr">
        <is>
          <t>Scope misalignment</t>
        </is>
      </c>
      <c r="D9" s="34" t="n"/>
      <c r="E9" s="35" t="n"/>
      <c r="F9" s="35" t="inlineStr">
        <is>
          <t>X</t>
        </is>
      </c>
      <c r="G9" s="35" t="n"/>
      <c r="H9" s="35" t="n"/>
      <c r="I9" s="37">
        <f>IF(COUNTA(E9:H9)&gt;0,"X","")</f>
        <v/>
      </c>
      <c r="J9" s="35" t="n"/>
      <c r="K9" s="35" t="n"/>
      <c r="L9" s="35" t="n"/>
      <c r="M9" s="35" t="n"/>
      <c r="N9" s="37">
        <f>IF(COUNTA(J9:M9)&gt;0,"X","")</f>
        <v/>
      </c>
      <c r="O9" s="35" t="n"/>
      <c r="P9" s="35" t="n"/>
      <c r="Q9" s="35" t="n"/>
      <c r="R9" s="35" t="n"/>
      <c r="S9" s="37">
        <f>IF(COUNTA(O9:R9)&gt;0,"X","")</f>
        <v/>
      </c>
      <c r="T9" s="35" t="n"/>
      <c r="U9" s="35" t="n"/>
      <c r="V9" s="35" t="n"/>
      <c r="W9" s="35" t="n"/>
      <c r="X9" s="37">
        <f>IF(COUNTA(T9:W9)&gt;0,"X","")</f>
        <v/>
      </c>
      <c r="Z9">
        <f>AND(I9&lt;&gt;"",N9&lt;&gt;"")</f>
        <v/>
      </c>
      <c r="AA9">
        <f>OR(I9&lt;&gt;"",N9&lt;&gt;"")</f>
        <v/>
      </c>
      <c r="AB9">
        <f>AND(I9&lt;&gt;"",S9&lt;&gt;"")</f>
        <v/>
      </c>
      <c r="AC9">
        <f>OR(I9&lt;&gt;"",S9&lt;&gt;"")</f>
        <v/>
      </c>
      <c r="AD9">
        <f>AND(I9&lt;&gt;"",X9&lt;&gt;"")</f>
        <v/>
      </c>
      <c r="AE9">
        <f>OR(I9&lt;&gt;"",X9&lt;&gt;"")</f>
        <v/>
      </c>
      <c r="AF9">
        <f>AND(N9&lt;&gt;"",S9&lt;&gt;"")</f>
        <v/>
      </c>
      <c r="AG9">
        <f>OR(N9&lt;&gt;"",S9&lt;&gt;"")</f>
        <v/>
      </c>
      <c r="AH9">
        <f>AND(N9&lt;&gt;"",X9&lt;&gt;"")</f>
        <v/>
      </c>
      <c r="AI9">
        <f>OR(N9&lt;&gt;"",X9&lt;&gt;"")</f>
        <v/>
      </c>
      <c r="AJ9">
        <f>AND(S9&lt;&gt;"",X9&lt;&gt;"")</f>
        <v/>
      </c>
      <c r="AK9">
        <f>OR(S9&lt;&gt;"",X9&lt;&gt;"")</f>
        <v/>
      </c>
      <c r="AM9">
        <f>AND(I9&lt;&gt;"",N9&lt;&gt;"",B9="No")</f>
        <v/>
      </c>
      <c r="AN9">
        <f>AND(OR(I9&lt;&gt;"",N9&lt;&gt;""),B9="No")</f>
        <v/>
      </c>
      <c r="AO9">
        <f>AND(I9&lt;&gt;"",S9&lt;&gt;"",B9="No")</f>
        <v/>
      </c>
      <c r="AP9">
        <f>AND(OR(I9&lt;&gt;"",S9&lt;&gt;""),B9="No")</f>
        <v/>
      </c>
      <c r="AQ9">
        <f>AND(I9&lt;&gt;"",X9&lt;&gt;"",B9="No")</f>
        <v/>
      </c>
      <c r="AR9">
        <f>AND(OR(I9&lt;&gt;"",X9&lt;&gt;""),B9="No")</f>
        <v/>
      </c>
      <c r="AS9">
        <f>AND(N9&lt;&gt;"",S9&lt;&gt;"",B9="No")</f>
        <v/>
      </c>
      <c r="AT9">
        <f>AND(OR(N9&lt;&gt;"",S9&lt;&gt;""),B9="No")</f>
        <v/>
      </c>
      <c r="AU9">
        <f>AND(N9&lt;&gt;"",X9&lt;&gt;"",B9="No")</f>
        <v/>
      </c>
      <c r="AV9">
        <f>AND(OR(N9&lt;&gt;"",X9&lt;&gt;""),B9="No")</f>
        <v/>
      </c>
      <c r="AW9">
        <f>AND(S9&lt;&gt;"",X9&lt;&gt;"",B9="No")</f>
        <v/>
      </c>
      <c r="AX9">
        <f>AND(OR(S9&lt;&gt;"",X9&lt;&gt;""),B9="No")</f>
        <v/>
      </c>
    </row>
    <row r="10" ht="29.25" customHeight="1" s="54">
      <c r="A10" s="44" t="inlineStr">
        <is>
          <t>L0_iii.2.5; M0_ii.2.2; M0_iii.2.3</t>
        </is>
      </c>
      <c r="B10" s="47" t="inlineStr">
        <is>
          <t>Yes</t>
        </is>
      </c>
      <c r="C10" t="inlineStr">
        <is>
          <t>Scope misalignment</t>
        </is>
      </c>
      <c r="D10" s="34" t="n"/>
      <c r="E10" s="35" t="n"/>
      <c r="F10" s="35" t="n"/>
      <c r="G10" s="35" t="inlineStr">
        <is>
          <t>X</t>
        </is>
      </c>
      <c r="H10" s="35" t="n"/>
      <c r="I10" s="37">
        <f>IF(COUNTA(E10:H10)&gt;0,"X","")</f>
        <v/>
      </c>
      <c r="J10" s="35" t="n"/>
      <c r="K10" s="35" t="n"/>
      <c r="L10" s="35" t="n"/>
      <c r="M10" s="35" t="n"/>
      <c r="N10" s="37">
        <f>IF(COUNTA(J10:M10)&gt;0,"X","")</f>
        <v/>
      </c>
      <c r="O10" s="35" t="n"/>
      <c r="P10" s="35" t="inlineStr">
        <is>
          <t>X</t>
        </is>
      </c>
      <c r="Q10" s="35" t="inlineStr">
        <is>
          <t>X</t>
        </is>
      </c>
      <c r="R10" s="35" t="n"/>
      <c r="S10" s="37">
        <f>IF(COUNTA(O10:R10)&gt;0,"X","")</f>
        <v/>
      </c>
      <c r="T10" s="35" t="n"/>
      <c r="U10" s="35" t="n"/>
      <c r="V10" s="35" t="n"/>
      <c r="W10" s="35" t="n"/>
      <c r="X10" s="37">
        <f>IF(COUNTA(T10:W10)&gt;0,"X","")</f>
        <v/>
      </c>
      <c r="Z10">
        <f>AND(I10&lt;&gt;"",N10&lt;&gt;"")</f>
        <v/>
      </c>
      <c r="AA10">
        <f>OR(I10&lt;&gt;"",N10&lt;&gt;"")</f>
        <v/>
      </c>
      <c r="AB10">
        <f>AND(I10&lt;&gt;"",S10&lt;&gt;"")</f>
        <v/>
      </c>
      <c r="AC10">
        <f>OR(I10&lt;&gt;"",S10&lt;&gt;"")</f>
        <v/>
      </c>
      <c r="AD10">
        <f>AND(I10&lt;&gt;"",X10&lt;&gt;"")</f>
        <v/>
      </c>
      <c r="AE10">
        <f>OR(I10&lt;&gt;"",X10&lt;&gt;"")</f>
        <v/>
      </c>
      <c r="AF10">
        <f>AND(N10&lt;&gt;"",S10&lt;&gt;"")</f>
        <v/>
      </c>
      <c r="AG10">
        <f>OR(N10&lt;&gt;"",S10&lt;&gt;"")</f>
        <v/>
      </c>
      <c r="AH10">
        <f>AND(N10&lt;&gt;"",X10&lt;&gt;"")</f>
        <v/>
      </c>
      <c r="AI10">
        <f>OR(N10&lt;&gt;"",X10&lt;&gt;"")</f>
        <v/>
      </c>
      <c r="AJ10">
        <f>AND(S10&lt;&gt;"",X10&lt;&gt;"")</f>
        <v/>
      </c>
      <c r="AK10">
        <f>OR(S10&lt;&gt;"",X10&lt;&gt;"")</f>
        <v/>
      </c>
      <c r="AM10">
        <f>AND(I10&lt;&gt;"",N10&lt;&gt;"",B10="No")</f>
        <v/>
      </c>
      <c r="AN10">
        <f>AND(OR(I10&lt;&gt;"",N10&lt;&gt;""),B10="No")</f>
        <v/>
      </c>
      <c r="AO10">
        <f>AND(I10&lt;&gt;"",S10&lt;&gt;"",B10="No")</f>
        <v/>
      </c>
      <c r="AP10">
        <f>AND(OR(I10&lt;&gt;"",S10&lt;&gt;""),B10="No")</f>
        <v/>
      </c>
      <c r="AQ10">
        <f>AND(I10&lt;&gt;"",X10&lt;&gt;"",B10="No")</f>
        <v/>
      </c>
      <c r="AR10">
        <f>AND(OR(I10&lt;&gt;"",X10&lt;&gt;""),B10="No")</f>
        <v/>
      </c>
      <c r="AS10">
        <f>AND(N10&lt;&gt;"",S10&lt;&gt;"",B10="No")</f>
        <v/>
      </c>
      <c r="AT10">
        <f>AND(OR(N10&lt;&gt;"",S10&lt;&gt;""),B10="No")</f>
        <v/>
      </c>
      <c r="AU10">
        <f>AND(N10&lt;&gt;"",X10&lt;&gt;"",B10="No")</f>
        <v/>
      </c>
      <c r="AV10">
        <f>AND(OR(N10&lt;&gt;"",X10&lt;&gt;""),B10="No")</f>
        <v/>
      </c>
      <c r="AW10">
        <f>AND(S10&lt;&gt;"",X10&lt;&gt;"",B10="No")</f>
        <v/>
      </c>
      <c r="AX10">
        <f>AND(OR(S10&lt;&gt;"",X10&lt;&gt;""),B10="No")</f>
        <v/>
      </c>
    </row>
    <row r="11" ht="29.25" customHeight="1" s="54">
      <c r="A11" s="44" t="inlineStr">
        <is>
          <t>M0.2.1; M0_ii.2.1; M0_iii.2.1</t>
        </is>
      </c>
      <c r="B11" s="47" t="inlineStr">
        <is>
          <t>Yes</t>
        </is>
      </c>
      <c r="C11" t="inlineStr">
        <is>
          <t>Scope misalignment</t>
        </is>
      </c>
      <c r="D11" s="34" t="n"/>
      <c r="E11" s="35" t="n"/>
      <c r="F11" s="35" t="n"/>
      <c r="G11" s="35" t="n"/>
      <c r="H11" s="35" t="n"/>
      <c r="I11" s="37">
        <f>IF(COUNTA(E11:H11)&gt;0,"X","")</f>
        <v/>
      </c>
      <c r="J11" s="35" t="n"/>
      <c r="K11" s="35" t="n"/>
      <c r="L11" s="35" t="n"/>
      <c r="M11" s="35" t="n"/>
      <c r="N11" s="37">
        <f>IF(COUNTA(J11:M11)&gt;0,"X","")</f>
        <v/>
      </c>
      <c r="O11" s="35" t="inlineStr">
        <is>
          <t>X</t>
        </is>
      </c>
      <c r="P11" s="35" t="inlineStr">
        <is>
          <t>X</t>
        </is>
      </c>
      <c r="Q11" s="35" t="inlineStr">
        <is>
          <t>X</t>
        </is>
      </c>
      <c r="R11" s="35" t="n"/>
      <c r="S11" s="37">
        <f>IF(COUNTA(O11:R11)&gt;0,"X","")</f>
        <v/>
      </c>
      <c r="T11" s="35" t="n"/>
      <c r="U11" s="35" t="n"/>
      <c r="V11" s="35" t="n"/>
      <c r="W11" s="35" t="n"/>
      <c r="X11" s="37">
        <f>IF(COUNTA(T11:W11)&gt;0,"X","")</f>
        <v/>
      </c>
      <c r="Z11">
        <f>AND(I11&lt;&gt;"",N11&lt;&gt;"")</f>
        <v/>
      </c>
      <c r="AA11">
        <f>OR(I11&lt;&gt;"",N11&lt;&gt;"")</f>
        <v/>
      </c>
      <c r="AB11">
        <f>AND(I11&lt;&gt;"",S11&lt;&gt;"")</f>
        <v/>
      </c>
      <c r="AC11">
        <f>OR(I11&lt;&gt;"",S11&lt;&gt;"")</f>
        <v/>
      </c>
      <c r="AD11">
        <f>AND(I11&lt;&gt;"",X11&lt;&gt;"")</f>
        <v/>
      </c>
      <c r="AE11">
        <f>OR(I11&lt;&gt;"",X11&lt;&gt;"")</f>
        <v/>
      </c>
      <c r="AF11">
        <f>AND(N11&lt;&gt;"",S11&lt;&gt;"")</f>
        <v/>
      </c>
      <c r="AG11">
        <f>OR(N11&lt;&gt;"",S11&lt;&gt;"")</f>
        <v/>
      </c>
      <c r="AH11">
        <f>AND(N11&lt;&gt;"",X11&lt;&gt;"")</f>
        <v/>
      </c>
      <c r="AI11">
        <f>OR(N11&lt;&gt;"",X11&lt;&gt;"")</f>
        <v/>
      </c>
      <c r="AJ11">
        <f>AND(S11&lt;&gt;"",X11&lt;&gt;"")</f>
        <v/>
      </c>
      <c r="AK11">
        <f>OR(S11&lt;&gt;"",X11&lt;&gt;"")</f>
        <v/>
      </c>
      <c r="AM11">
        <f>AND(I11&lt;&gt;"",N11&lt;&gt;"",B11="No")</f>
        <v/>
      </c>
      <c r="AN11">
        <f>AND(OR(I11&lt;&gt;"",N11&lt;&gt;""),B11="No")</f>
        <v/>
      </c>
      <c r="AO11">
        <f>AND(I11&lt;&gt;"",S11&lt;&gt;"",B11="No")</f>
        <v/>
      </c>
      <c r="AP11">
        <f>AND(OR(I11&lt;&gt;"",S11&lt;&gt;""),B11="No")</f>
        <v/>
      </c>
      <c r="AQ11">
        <f>AND(I11&lt;&gt;"",X11&lt;&gt;"",B11="No")</f>
        <v/>
      </c>
      <c r="AR11">
        <f>AND(OR(I11&lt;&gt;"",X11&lt;&gt;""),B11="No")</f>
        <v/>
      </c>
      <c r="AS11">
        <f>AND(N11&lt;&gt;"",S11&lt;&gt;"",B11="No")</f>
        <v/>
      </c>
      <c r="AT11">
        <f>AND(OR(N11&lt;&gt;"",S11&lt;&gt;""),B11="No")</f>
        <v/>
      </c>
      <c r="AU11">
        <f>AND(N11&lt;&gt;"",X11&lt;&gt;"",B11="No")</f>
        <v/>
      </c>
      <c r="AV11">
        <f>AND(OR(N11&lt;&gt;"",X11&lt;&gt;""),B11="No")</f>
        <v/>
      </c>
      <c r="AW11">
        <f>AND(S11&lt;&gt;"",X11&lt;&gt;"",B11="No")</f>
        <v/>
      </c>
      <c r="AX11">
        <f>AND(OR(S11&lt;&gt;"",X11&lt;&gt;""),B11="No")</f>
        <v/>
      </c>
    </row>
    <row r="12">
      <c r="A12" s="44" t="inlineStr">
        <is>
          <t>Q0_iii.2.4; M0_ii.2.4</t>
        </is>
      </c>
      <c r="B12" s="47" t="inlineStr">
        <is>
          <t>Yes</t>
        </is>
      </c>
      <c r="C12" t="inlineStr">
        <is>
          <t>Scope misalignment</t>
        </is>
      </c>
      <c r="D12" s="34" t="n"/>
      <c r="E12" s="35" t="n"/>
      <c r="F12" s="35" t="n"/>
      <c r="G12" s="35" t="n"/>
      <c r="H12" s="35" t="n"/>
      <c r="I12" s="37">
        <f>IF(COUNTA(E12:H12)&gt;0,"X","")</f>
        <v/>
      </c>
      <c r="J12" s="35" t="n"/>
      <c r="K12" s="35" t="n"/>
      <c r="L12" s="27" t="inlineStr">
        <is>
          <t>X</t>
        </is>
      </c>
      <c r="M12" s="35" t="n"/>
      <c r="N12" s="37">
        <f>IF(COUNTA(J12:M12)&gt;0,"X","")</f>
        <v/>
      </c>
      <c r="O12" s="35" t="n"/>
      <c r="P12" s="35" t="inlineStr">
        <is>
          <t>X</t>
        </is>
      </c>
      <c r="Q12" s="35" t="n"/>
      <c r="R12" s="35" t="n"/>
      <c r="S12" s="37">
        <f>IF(COUNTA(O12:R12)&gt;0,"X","")</f>
        <v/>
      </c>
      <c r="T12" s="35" t="n"/>
      <c r="U12" s="35" t="n"/>
      <c r="V12" s="35" t="n"/>
      <c r="W12" s="35" t="n"/>
      <c r="X12" s="37">
        <f>IF(COUNTA(T12:W12)&gt;0,"X","")</f>
        <v/>
      </c>
      <c r="Z12">
        <f>AND(I12&lt;&gt;"",N12&lt;&gt;"")</f>
        <v/>
      </c>
      <c r="AA12">
        <f>OR(I12&lt;&gt;"",N12&lt;&gt;"")</f>
        <v/>
      </c>
      <c r="AB12">
        <f>AND(I12&lt;&gt;"",S12&lt;&gt;"")</f>
        <v/>
      </c>
      <c r="AC12">
        <f>OR(I12&lt;&gt;"",S12&lt;&gt;"")</f>
        <v/>
      </c>
      <c r="AD12">
        <f>AND(I12&lt;&gt;"",X12&lt;&gt;"")</f>
        <v/>
      </c>
      <c r="AE12">
        <f>OR(I12&lt;&gt;"",X12&lt;&gt;"")</f>
        <v/>
      </c>
      <c r="AF12">
        <f>AND(N12&lt;&gt;"",S12&lt;&gt;"")</f>
        <v/>
      </c>
      <c r="AG12">
        <f>OR(N12&lt;&gt;"",S12&lt;&gt;"")</f>
        <v/>
      </c>
      <c r="AH12">
        <f>AND(N12&lt;&gt;"",X12&lt;&gt;"")</f>
        <v/>
      </c>
      <c r="AI12">
        <f>OR(N12&lt;&gt;"",X12&lt;&gt;"")</f>
        <v/>
      </c>
      <c r="AJ12">
        <f>AND(S12&lt;&gt;"",X12&lt;&gt;"")</f>
        <v/>
      </c>
      <c r="AK12">
        <f>OR(S12&lt;&gt;"",X12&lt;&gt;"")</f>
        <v/>
      </c>
      <c r="AM12">
        <f>AND(I12&lt;&gt;"",N12&lt;&gt;"",B12="No")</f>
        <v/>
      </c>
      <c r="AN12">
        <f>AND(OR(I12&lt;&gt;"",N12&lt;&gt;""),B12="No")</f>
        <v/>
      </c>
      <c r="AO12">
        <f>AND(I12&lt;&gt;"",S12&lt;&gt;"",B12="No")</f>
        <v/>
      </c>
      <c r="AP12">
        <f>AND(OR(I12&lt;&gt;"",S12&lt;&gt;""),B12="No")</f>
        <v/>
      </c>
      <c r="AQ12">
        <f>AND(I12&lt;&gt;"",X12&lt;&gt;"",B12="No")</f>
        <v/>
      </c>
      <c r="AR12">
        <f>AND(OR(I12&lt;&gt;"",X12&lt;&gt;""),B12="No")</f>
        <v/>
      </c>
      <c r="AS12">
        <f>AND(N12&lt;&gt;"",S12&lt;&gt;"",B12="No")</f>
        <v/>
      </c>
      <c r="AT12">
        <f>AND(OR(N12&lt;&gt;"",S12&lt;&gt;""),B12="No")</f>
        <v/>
      </c>
      <c r="AU12">
        <f>AND(N12&lt;&gt;"",X12&lt;&gt;"",B12="No")</f>
        <v/>
      </c>
      <c r="AV12">
        <f>AND(OR(N12&lt;&gt;"",X12&lt;&gt;""),B12="No")</f>
        <v/>
      </c>
      <c r="AW12">
        <f>AND(S12&lt;&gt;"",X12&lt;&gt;"",B12="No")</f>
        <v/>
      </c>
      <c r="AX12">
        <f>AND(OR(S12&lt;&gt;"",X12&lt;&gt;""),B12="No")</f>
        <v/>
      </c>
    </row>
    <row r="13">
      <c r="A13" s="44" t="inlineStr">
        <is>
          <t>M0.2.2; M0_ii.2.3</t>
        </is>
      </c>
      <c r="B13" s="47" t="inlineStr">
        <is>
          <t>Yes</t>
        </is>
      </c>
      <c r="C13" t="inlineStr">
        <is>
          <t>Architectural infeasibility</t>
        </is>
      </c>
      <c r="D13" s="34" t="n"/>
      <c r="E13" s="35" t="n"/>
      <c r="F13" s="35" t="n"/>
      <c r="G13" s="35" t="n"/>
      <c r="H13" s="35" t="n"/>
      <c r="I13" s="37">
        <f>IF(COUNTA(E13:H13)&gt;0,"X","")</f>
        <v/>
      </c>
      <c r="J13" s="35" t="n"/>
      <c r="K13" s="35" t="n"/>
      <c r="L13" s="35" t="n"/>
      <c r="M13" s="35" t="n"/>
      <c r="N13" s="37">
        <f>IF(COUNTA(J13:M13)&gt;0,"X","")</f>
        <v/>
      </c>
      <c r="O13" s="35" t="inlineStr">
        <is>
          <t>X</t>
        </is>
      </c>
      <c r="P13" s="35" t="inlineStr">
        <is>
          <t>X</t>
        </is>
      </c>
      <c r="Q13" s="35" t="n"/>
      <c r="R13" s="35" t="n"/>
      <c r="S13" s="37">
        <f>IF(COUNTA(O13:R13)&gt;0,"X","")</f>
        <v/>
      </c>
      <c r="T13" s="35" t="n"/>
      <c r="U13" s="35" t="n"/>
      <c r="V13" s="35" t="n"/>
      <c r="W13" s="35" t="n"/>
      <c r="X13" s="37">
        <f>IF(COUNTA(T13:W13)&gt;0,"X","")</f>
        <v/>
      </c>
      <c r="Z13">
        <f>AND(I13&lt;&gt;"",N13&lt;&gt;"")</f>
        <v/>
      </c>
      <c r="AA13">
        <f>OR(I13&lt;&gt;"",N13&lt;&gt;"")</f>
        <v/>
      </c>
      <c r="AB13">
        <f>AND(I13&lt;&gt;"",S13&lt;&gt;"")</f>
        <v/>
      </c>
      <c r="AC13">
        <f>OR(I13&lt;&gt;"",S13&lt;&gt;"")</f>
        <v/>
      </c>
      <c r="AD13">
        <f>AND(I13&lt;&gt;"",X13&lt;&gt;"")</f>
        <v/>
      </c>
      <c r="AE13">
        <f>OR(I13&lt;&gt;"",X13&lt;&gt;"")</f>
        <v/>
      </c>
      <c r="AF13">
        <f>AND(N13&lt;&gt;"",S13&lt;&gt;"")</f>
        <v/>
      </c>
      <c r="AG13">
        <f>OR(N13&lt;&gt;"",S13&lt;&gt;"")</f>
        <v/>
      </c>
      <c r="AH13">
        <f>AND(N13&lt;&gt;"",X13&lt;&gt;"")</f>
        <v/>
      </c>
      <c r="AI13">
        <f>OR(N13&lt;&gt;"",X13&lt;&gt;"")</f>
        <v/>
      </c>
      <c r="AJ13">
        <f>AND(S13&lt;&gt;"",X13&lt;&gt;"")</f>
        <v/>
      </c>
      <c r="AK13">
        <f>OR(S13&lt;&gt;"",X13&lt;&gt;"")</f>
        <v/>
      </c>
      <c r="AM13">
        <f>AND(I13&lt;&gt;"",N13&lt;&gt;"",B13="No")</f>
        <v/>
      </c>
      <c r="AN13">
        <f>AND(OR(I13&lt;&gt;"",N13&lt;&gt;""),B13="No")</f>
        <v/>
      </c>
      <c r="AO13">
        <f>AND(I13&lt;&gt;"",S13&lt;&gt;"",B13="No")</f>
        <v/>
      </c>
      <c r="AP13">
        <f>AND(OR(I13&lt;&gt;"",S13&lt;&gt;""),B13="No")</f>
        <v/>
      </c>
      <c r="AQ13">
        <f>AND(I13&lt;&gt;"",X13&lt;&gt;"",B13="No")</f>
        <v/>
      </c>
      <c r="AR13">
        <f>AND(OR(I13&lt;&gt;"",X13&lt;&gt;""),B13="No")</f>
        <v/>
      </c>
      <c r="AS13">
        <f>AND(N13&lt;&gt;"",S13&lt;&gt;"",B13="No")</f>
        <v/>
      </c>
      <c r="AT13">
        <f>AND(OR(N13&lt;&gt;"",S13&lt;&gt;""),B13="No")</f>
        <v/>
      </c>
      <c r="AU13">
        <f>AND(N13&lt;&gt;"",X13&lt;&gt;"",B13="No")</f>
        <v/>
      </c>
      <c r="AV13">
        <f>AND(OR(N13&lt;&gt;"",X13&lt;&gt;""),B13="No")</f>
        <v/>
      </c>
      <c r="AW13">
        <f>AND(S13&lt;&gt;"",X13&lt;&gt;"",B13="No")</f>
        <v/>
      </c>
      <c r="AX13">
        <f>AND(OR(S13&lt;&gt;"",X13&lt;&gt;""),B13="No")</f>
        <v/>
      </c>
    </row>
    <row r="14">
      <c r="A14" s="44" t="inlineStr">
        <is>
          <t>M0.2.3</t>
        </is>
      </c>
      <c r="B14" s="47" t="inlineStr">
        <is>
          <t>Yes</t>
        </is>
      </c>
      <c r="C14" t="inlineStr">
        <is>
          <t>Architectural infeasibility</t>
        </is>
      </c>
      <c r="D14" s="34" t="n"/>
      <c r="E14" s="35" t="n"/>
      <c r="F14" s="35" t="n"/>
      <c r="G14" s="35" t="n"/>
      <c r="H14" s="35" t="n"/>
      <c r="I14" s="37">
        <f>IF(COUNTA(E14:H14)&gt;0,"X","")</f>
        <v/>
      </c>
      <c r="J14" s="35" t="n"/>
      <c r="K14" s="35" t="n"/>
      <c r="L14" s="35" t="n"/>
      <c r="M14" s="35" t="n"/>
      <c r="N14" s="37">
        <f>IF(COUNTA(J14:M14)&gt;0,"X","")</f>
        <v/>
      </c>
      <c r="O14" s="35" t="inlineStr">
        <is>
          <t>X</t>
        </is>
      </c>
      <c r="P14" s="35" t="n"/>
      <c r="Q14" s="35" t="n"/>
      <c r="R14" s="35" t="n"/>
      <c r="S14" s="37">
        <f>IF(COUNTA(O14:R14)&gt;0,"X","")</f>
        <v/>
      </c>
      <c r="T14" s="35" t="n"/>
      <c r="U14" s="35" t="n"/>
      <c r="V14" s="35" t="n"/>
      <c r="W14" s="35" t="n"/>
      <c r="X14" s="37">
        <f>IF(COUNTA(T14:W14)&gt;0,"X","")</f>
        <v/>
      </c>
      <c r="Z14">
        <f>AND(I14&lt;&gt;"",N14&lt;&gt;"")</f>
        <v/>
      </c>
      <c r="AA14">
        <f>OR(I14&lt;&gt;"",N14&lt;&gt;"")</f>
        <v/>
      </c>
      <c r="AB14">
        <f>AND(I14&lt;&gt;"",S14&lt;&gt;"")</f>
        <v/>
      </c>
      <c r="AC14">
        <f>OR(I14&lt;&gt;"",S14&lt;&gt;"")</f>
        <v/>
      </c>
      <c r="AD14">
        <f>AND(I14&lt;&gt;"",X14&lt;&gt;"")</f>
        <v/>
      </c>
      <c r="AE14">
        <f>OR(I14&lt;&gt;"",X14&lt;&gt;"")</f>
        <v/>
      </c>
      <c r="AF14">
        <f>AND(N14&lt;&gt;"",S14&lt;&gt;"")</f>
        <v/>
      </c>
      <c r="AG14">
        <f>OR(N14&lt;&gt;"",S14&lt;&gt;"")</f>
        <v/>
      </c>
      <c r="AH14">
        <f>AND(N14&lt;&gt;"",X14&lt;&gt;"")</f>
        <v/>
      </c>
      <c r="AI14">
        <f>OR(N14&lt;&gt;"",X14&lt;&gt;"")</f>
        <v/>
      </c>
      <c r="AJ14">
        <f>AND(S14&lt;&gt;"",X14&lt;&gt;"")</f>
        <v/>
      </c>
      <c r="AK14">
        <f>OR(S14&lt;&gt;"",X14&lt;&gt;"")</f>
        <v/>
      </c>
      <c r="AM14">
        <f>AND(I14&lt;&gt;"",N14&lt;&gt;"",B14="No")</f>
        <v/>
      </c>
      <c r="AN14">
        <f>AND(OR(I14&lt;&gt;"",N14&lt;&gt;""),B14="No")</f>
        <v/>
      </c>
      <c r="AO14">
        <f>AND(I14&lt;&gt;"",S14&lt;&gt;"",B14="No")</f>
        <v/>
      </c>
      <c r="AP14">
        <f>AND(OR(I14&lt;&gt;"",S14&lt;&gt;""),B14="No")</f>
        <v/>
      </c>
      <c r="AQ14">
        <f>AND(I14&lt;&gt;"",X14&lt;&gt;"",B14="No")</f>
        <v/>
      </c>
      <c r="AR14">
        <f>AND(OR(I14&lt;&gt;"",X14&lt;&gt;""),B14="No")</f>
        <v/>
      </c>
      <c r="AS14">
        <f>AND(N14&lt;&gt;"",S14&lt;&gt;"",B14="No")</f>
        <v/>
      </c>
      <c r="AT14">
        <f>AND(OR(N14&lt;&gt;"",S14&lt;&gt;""),B14="No")</f>
        <v/>
      </c>
      <c r="AU14">
        <f>AND(N14&lt;&gt;"",X14&lt;&gt;"",B14="No")</f>
        <v/>
      </c>
      <c r="AV14">
        <f>AND(OR(N14&lt;&gt;"",X14&lt;&gt;""),B14="No")</f>
        <v/>
      </c>
      <c r="AW14">
        <f>AND(S14&lt;&gt;"",X14&lt;&gt;"",B14="No")</f>
        <v/>
      </c>
      <c r="AX14">
        <f>AND(OR(S14&lt;&gt;"",X14&lt;&gt;""),B14="No")</f>
        <v/>
      </c>
    </row>
    <row r="15">
      <c r="A15" s="44" t="inlineStr">
        <is>
          <t>M0.2.4; M0_iii.2.5</t>
        </is>
      </c>
      <c r="B15" s="47" t="inlineStr">
        <is>
          <t>Yes</t>
        </is>
      </c>
      <c r="C15" t="inlineStr">
        <is>
          <t>Architectural infeasibility</t>
        </is>
      </c>
      <c r="D15" s="34" t="n"/>
      <c r="E15" s="35" t="n"/>
      <c r="F15" s="35" t="n"/>
      <c r="G15" s="35" t="n"/>
      <c r="H15" s="35" t="n"/>
      <c r="I15" s="37">
        <f>IF(COUNTA(E15:H15)&gt;0,"X","")</f>
        <v/>
      </c>
      <c r="J15" s="35" t="n"/>
      <c r="K15" s="35" t="n"/>
      <c r="L15" s="35" t="n"/>
      <c r="M15" s="35" t="n"/>
      <c r="N15" s="37">
        <f>IF(COUNTA(J15:M15)&gt;0,"X","")</f>
        <v/>
      </c>
      <c r="O15" s="35" t="inlineStr">
        <is>
          <t>X</t>
        </is>
      </c>
      <c r="P15" s="35" t="n"/>
      <c r="Q15" s="35" t="inlineStr">
        <is>
          <t>X</t>
        </is>
      </c>
      <c r="R15" s="35" t="n"/>
      <c r="S15" s="37">
        <f>IF(COUNTA(O15:R15)&gt;0,"X","")</f>
        <v/>
      </c>
      <c r="T15" s="35" t="n"/>
      <c r="U15" s="35" t="n"/>
      <c r="V15" s="35" t="n"/>
      <c r="W15" s="35" t="n"/>
      <c r="X15" s="37">
        <f>IF(COUNTA(T15:W15)&gt;0,"X","")</f>
        <v/>
      </c>
      <c r="Z15">
        <f>AND(I15&lt;&gt;"",N15&lt;&gt;"")</f>
        <v/>
      </c>
      <c r="AA15">
        <f>OR(I15&lt;&gt;"",N15&lt;&gt;"")</f>
        <v/>
      </c>
      <c r="AB15">
        <f>AND(I15&lt;&gt;"",S15&lt;&gt;"")</f>
        <v/>
      </c>
      <c r="AC15">
        <f>OR(I15&lt;&gt;"",S15&lt;&gt;"")</f>
        <v/>
      </c>
      <c r="AD15">
        <f>AND(I15&lt;&gt;"",X15&lt;&gt;"")</f>
        <v/>
      </c>
      <c r="AE15">
        <f>OR(I15&lt;&gt;"",X15&lt;&gt;"")</f>
        <v/>
      </c>
      <c r="AF15">
        <f>AND(N15&lt;&gt;"",S15&lt;&gt;"")</f>
        <v/>
      </c>
      <c r="AG15">
        <f>OR(N15&lt;&gt;"",S15&lt;&gt;"")</f>
        <v/>
      </c>
      <c r="AH15">
        <f>AND(N15&lt;&gt;"",X15&lt;&gt;"")</f>
        <v/>
      </c>
      <c r="AI15">
        <f>OR(N15&lt;&gt;"",X15&lt;&gt;"")</f>
        <v/>
      </c>
      <c r="AJ15">
        <f>AND(S15&lt;&gt;"",X15&lt;&gt;"")</f>
        <v/>
      </c>
      <c r="AK15">
        <f>OR(S15&lt;&gt;"",X15&lt;&gt;"")</f>
        <v/>
      </c>
      <c r="AM15">
        <f>AND(I15&lt;&gt;"",N15&lt;&gt;"",B15="No")</f>
        <v/>
      </c>
      <c r="AN15">
        <f>AND(OR(I15&lt;&gt;"",N15&lt;&gt;""),B15="No")</f>
        <v/>
      </c>
      <c r="AO15">
        <f>AND(I15&lt;&gt;"",S15&lt;&gt;"",B15="No")</f>
        <v/>
      </c>
      <c r="AP15">
        <f>AND(OR(I15&lt;&gt;"",S15&lt;&gt;""),B15="No")</f>
        <v/>
      </c>
      <c r="AQ15">
        <f>AND(I15&lt;&gt;"",X15&lt;&gt;"",B15="No")</f>
        <v/>
      </c>
      <c r="AR15">
        <f>AND(OR(I15&lt;&gt;"",X15&lt;&gt;""),B15="No")</f>
        <v/>
      </c>
      <c r="AS15">
        <f>AND(N15&lt;&gt;"",S15&lt;&gt;"",B15="No")</f>
        <v/>
      </c>
      <c r="AT15">
        <f>AND(OR(N15&lt;&gt;"",S15&lt;&gt;""),B15="No")</f>
        <v/>
      </c>
      <c r="AU15">
        <f>AND(N15&lt;&gt;"",X15&lt;&gt;"",B15="No")</f>
        <v/>
      </c>
      <c r="AV15">
        <f>AND(OR(N15&lt;&gt;"",X15&lt;&gt;""),B15="No")</f>
        <v/>
      </c>
      <c r="AW15">
        <f>AND(S15&lt;&gt;"",X15&lt;&gt;"",B15="No")</f>
        <v/>
      </c>
      <c r="AX15">
        <f>AND(OR(S15&lt;&gt;"",X15&lt;&gt;""),B15="No")</f>
        <v/>
      </c>
    </row>
    <row r="16">
      <c r="A16" s="44" t="inlineStr">
        <is>
          <t>M0_ii.2.5</t>
        </is>
      </c>
      <c r="B16" s="47" t="inlineStr">
        <is>
          <t>Yes</t>
        </is>
      </c>
      <c r="C16" t="inlineStr">
        <is>
          <t>Scope misalignment</t>
        </is>
      </c>
      <c r="D16" s="34" t="n"/>
      <c r="E16" s="35" t="n"/>
      <c r="F16" s="35" t="n"/>
      <c r="G16" s="35" t="n"/>
      <c r="H16" s="35" t="n"/>
      <c r="I16" s="37">
        <f>IF(COUNTA(E16:H16)&gt;0,"X","")</f>
        <v/>
      </c>
      <c r="J16" s="35" t="n"/>
      <c r="K16" s="35" t="n"/>
      <c r="L16" s="35" t="n"/>
      <c r="M16" s="35" t="n"/>
      <c r="N16" s="37">
        <f>IF(COUNTA(J16:M16)&gt;0,"X","")</f>
        <v/>
      </c>
      <c r="O16" s="35" t="n"/>
      <c r="P16" s="35" t="inlineStr">
        <is>
          <t>X</t>
        </is>
      </c>
      <c r="Q16" s="35" t="n"/>
      <c r="R16" s="35" t="n"/>
      <c r="S16" s="37">
        <f>IF(COUNTA(O16:R16)&gt;0,"X","")</f>
        <v/>
      </c>
      <c r="T16" s="35" t="n"/>
      <c r="U16" s="35" t="n"/>
      <c r="V16" s="35" t="n"/>
      <c r="W16" s="35" t="n"/>
      <c r="X16" s="37">
        <f>IF(COUNTA(T16:W16)&gt;0,"X","")</f>
        <v/>
      </c>
      <c r="Z16">
        <f>AND(I16&lt;&gt;"",N16&lt;&gt;"")</f>
        <v/>
      </c>
      <c r="AA16">
        <f>OR(I16&lt;&gt;"",N16&lt;&gt;"")</f>
        <v/>
      </c>
      <c r="AB16">
        <f>AND(I16&lt;&gt;"",S16&lt;&gt;"")</f>
        <v/>
      </c>
      <c r="AC16">
        <f>OR(I16&lt;&gt;"",S16&lt;&gt;"")</f>
        <v/>
      </c>
      <c r="AD16">
        <f>AND(I16&lt;&gt;"",X16&lt;&gt;"")</f>
        <v/>
      </c>
      <c r="AE16">
        <f>OR(I16&lt;&gt;"",X16&lt;&gt;"")</f>
        <v/>
      </c>
      <c r="AF16">
        <f>AND(N16&lt;&gt;"",S16&lt;&gt;"")</f>
        <v/>
      </c>
      <c r="AG16">
        <f>OR(N16&lt;&gt;"",S16&lt;&gt;"")</f>
        <v/>
      </c>
      <c r="AH16">
        <f>AND(N16&lt;&gt;"",X16&lt;&gt;"")</f>
        <v/>
      </c>
      <c r="AI16">
        <f>OR(N16&lt;&gt;"",X16&lt;&gt;"")</f>
        <v/>
      </c>
      <c r="AJ16">
        <f>AND(S16&lt;&gt;"",X16&lt;&gt;"")</f>
        <v/>
      </c>
      <c r="AK16">
        <f>OR(S16&lt;&gt;"",X16&lt;&gt;"")</f>
        <v/>
      </c>
      <c r="AM16">
        <f>AND(I16&lt;&gt;"",N16&lt;&gt;"",B16="No")</f>
        <v/>
      </c>
      <c r="AN16">
        <f>AND(OR(I16&lt;&gt;"",N16&lt;&gt;""),B16="No")</f>
        <v/>
      </c>
      <c r="AO16">
        <f>AND(I16&lt;&gt;"",S16&lt;&gt;"",B16="No")</f>
        <v/>
      </c>
      <c r="AP16">
        <f>AND(OR(I16&lt;&gt;"",S16&lt;&gt;""),B16="No")</f>
        <v/>
      </c>
      <c r="AQ16">
        <f>AND(I16&lt;&gt;"",X16&lt;&gt;"",B16="No")</f>
        <v/>
      </c>
      <c r="AR16">
        <f>AND(OR(I16&lt;&gt;"",X16&lt;&gt;""),B16="No")</f>
        <v/>
      </c>
      <c r="AS16">
        <f>AND(N16&lt;&gt;"",S16&lt;&gt;"",B16="No")</f>
        <v/>
      </c>
      <c r="AT16">
        <f>AND(OR(N16&lt;&gt;"",S16&lt;&gt;""),B16="No")</f>
        <v/>
      </c>
      <c r="AU16">
        <f>AND(N16&lt;&gt;"",X16&lt;&gt;"",B16="No")</f>
        <v/>
      </c>
      <c r="AV16">
        <f>AND(OR(N16&lt;&gt;"",X16&lt;&gt;""),B16="No")</f>
        <v/>
      </c>
      <c r="AW16">
        <f>AND(S16&lt;&gt;"",X16&lt;&gt;"",B16="No")</f>
        <v/>
      </c>
      <c r="AX16">
        <f>AND(OR(S16&lt;&gt;"",X16&lt;&gt;""),B16="No")</f>
        <v/>
      </c>
    </row>
    <row r="17">
      <c r="A17" s="44" t="inlineStr">
        <is>
          <t>M0_iii.2.2</t>
        </is>
      </c>
      <c r="B17" s="47" t="inlineStr">
        <is>
          <t>Yes</t>
        </is>
      </c>
      <c r="C17" t="inlineStr">
        <is>
          <t>Scope misalignment</t>
        </is>
      </c>
      <c r="D17" s="34" t="n"/>
      <c r="E17" s="35" t="n"/>
      <c r="F17" s="35" t="n"/>
      <c r="G17" s="35" t="n"/>
      <c r="H17" s="35" t="n"/>
      <c r="I17" s="37">
        <f>IF(COUNTA(E17:H17)&gt;0,"X","")</f>
        <v/>
      </c>
      <c r="J17" s="35" t="n"/>
      <c r="K17" s="35" t="n"/>
      <c r="L17" s="35" t="n"/>
      <c r="M17" s="35" t="n"/>
      <c r="N17" s="37">
        <f>IF(COUNTA(J17:M17)&gt;0,"X","")</f>
        <v/>
      </c>
      <c r="O17" s="35" t="n"/>
      <c r="P17" s="35" t="n"/>
      <c r="Q17" s="35" t="inlineStr">
        <is>
          <t>X</t>
        </is>
      </c>
      <c r="R17" s="35" t="n"/>
      <c r="S17" s="37">
        <f>IF(COUNTA(O17:R17)&gt;0,"X","")</f>
        <v/>
      </c>
      <c r="T17" s="35" t="n"/>
      <c r="U17" s="35" t="n"/>
      <c r="V17" s="35" t="n"/>
      <c r="W17" s="35" t="n"/>
      <c r="X17" s="37">
        <f>IF(COUNTA(T17:W17)&gt;0,"X","")</f>
        <v/>
      </c>
      <c r="Z17">
        <f>AND(I17&lt;&gt;"",N17&lt;&gt;"")</f>
        <v/>
      </c>
      <c r="AA17">
        <f>OR(I17&lt;&gt;"",N17&lt;&gt;"")</f>
        <v/>
      </c>
      <c r="AB17">
        <f>AND(I17&lt;&gt;"",S17&lt;&gt;"")</f>
        <v/>
      </c>
      <c r="AC17">
        <f>OR(I17&lt;&gt;"",S17&lt;&gt;"")</f>
        <v/>
      </c>
      <c r="AD17">
        <f>AND(I17&lt;&gt;"",X17&lt;&gt;"")</f>
        <v/>
      </c>
      <c r="AE17">
        <f>OR(I17&lt;&gt;"",X17&lt;&gt;"")</f>
        <v/>
      </c>
      <c r="AF17">
        <f>AND(N17&lt;&gt;"",S17&lt;&gt;"")</f>
        <v/>
      </c>
      <c r="AG17">
        <f>OR(N17&lt;&gt;"",S17&lt;&gt;"")</f>
        <v/>
      </c>
      <c r="AH17">
        <f>AND(N17&lt;&gt;"",X17&lt;&gt;"")</f>
        <v/>
      </c>
      <c r="AI17">
        <f>OR(N17&lt;&gt;"",X17&lt;&gt;"")</f>
        <v/>
      </c>
      <c r="AJ17">
        <f>AND(S17&lt;&gt;"",X17&lt;&gt;"")</f>
        <v/>
      </c>
      <c r="AK17">
        <f>OR(S17&lt;&gt;"",X17&lt;&gt;"")</f>
        <v/>
      </c>
      <c r="AM17">
        <f>AND(I17&lt;&gt;"",N17&lt;&gt;"",B17="No")</f>
        <v/>
      </c>
      <c r="AN17">
        <f>AND(OR(I17&lt;&gt;"",N17&lt;&gt;""),B17="No")</f>
        <v/>
      </c>
      <c r="AO17">
        <f>AND(I17&lt;&gt;"",S17&lt;&gt;"",B17="No")</f>
        <v/>
      </c>
      <c r="AP17">
        <f>AND(OR(I17&lt;&gt;"",S17&lt;&gt;""),B17="No")</f>
        <v/>
      </c>
      <c r="AQ17">
        <f>AND(I17&lt;&gt;"",X17&lt;&gt;"",B17="No")</f>
        <v/>
      </c>
      <c r="AR17">
        <f>AND(OR(I17&lt;&gt;"",X17&lt;&gt;""),B17="No")</f>
        <v/>
      </c>
      <c r="AS17">
        <f>AND(N17&lt;&gt;"",S17&lt;&gt;"",B17="No")</f>
        <v/>
      </c>
      <c r="AT17">
        <f>AND(OR(N17&lt;&gt;"",S17&lt;&gt;""),B17="No")</f>
        <v/>
      </c>
      <c r="AU17">
        <f>AND(N17&lt;&gt;"",X17&lt;&gt;"",B17="No")</f>
        <v/>
      </c>
      <c r="AV17">
        <f>AND(OR(N17&lt;&gt;"",X17&lt;&gt;""),B17="No")</f>
        <v/>
      </c>
      <c r="AW17">
        <f>AND(S17&lt;&gt;"",X17&lt;&gt;"",B17="No")</f>
        <v/>
      </c>
      <c r="AX17">
        <f>AND(OR(S17&lt;&gt;"",X17&lt;&gt;""),B17="No")</f>
        <v/>
      </c>
    </row>
    <row r="18">
      <c r="A18" s="44" t="inlineStr">
        <is>
          <t>M0_iii.2.4</t>
        </is>
      </c>
      <c r="B18" s="47" t="inlineStr">
        <is>
          <t>Yes</t>
        </is>
      </c>
      <c r="C18" t="inlineStr">
        <is>
          <t>Scope misalignment</t>
        </is>
      </c>
      <c r="D18" s="34" t="n"/>
      <c r="E18" s="35" t="n"/>
      <c r="F18" s="35" t="n"/>
      <c r="G18" s="35" t="n"/>
      <c r="H18" s="35" t="n"/>
      <c r="I18" s="37">
        <f>IF(COUNTA(E18:H18)&gt;0,"X","")</f>
        <v/>
      </c>
      <c r="J18" s="35" t="n"/>
      <c r="K18" s="35" t="n"/>
      <c r="L18" s="35" t="n"/>
      <c r="M18" s="35" t="n"/>
      <c r="N18" s="37">
        <f>IF(COUNTA(J18:M18)&gt;0,"X","")</f>
        <v/>
      </c>
      <c r="O18" s="35" t="n"/>
      <c r="P18" s="35" t="n"/>
      <c r="Q18" s="35" t="inlineStr">
        <is>
          <t>X</t>
        </is>
      </c>
      <c r="R18" s="35" t="n"/>
      <c r="S18" s="37">
        <f>IF(COUNTA(O18:R18)&gt;0,"X","")</f>
        <v/>
      </c>
      <c r="T18" s="35" t="n"/>
      <c r="U18" s="35" t="n"/>
      <c r="V18" s="35" t="n"/>
      <c r="W18" s="35" t="n"/>
      <c r="X18" s="37">
        <f>IF(COUNTA(T18:W18)&gt;0,"X","")</f>
        <v/>
      </c>
      <c r="Z18">
        <f>AND(I18&lt;&gt;"",N18&lt;&gt;"")</f>
        <v/>
      </c>
      <c r="AA18">
        <f>OR(I18&lt;&gt;"",N18&lt;&gt;"")</f>
        <v/>
      </c>
      <c r="AB18">
        <f>AND(I18&lt;&gt;"",S18&lt;&gt;"")</f>
        <v/>
      </c>
      <c r="AC18">
        <f>OR(I18&lt;&gt;"",S18&lt;&gt;"")</f>
        <v/>
      </c>
      <c r="AD18">
        <f>AND(I18&lt;&gt;"",X18&lt;&gt;"")</f>
        <v/>
      </c>
      <c r="AE18">
        <f>OR(I18&lt;&gt;"",X18&lt;&gt;"")</f>
        <v/>
      </c>
      <c r="AF18">
        <f>AND(N18&lt;&gt;"",S18&lt;&gt;"")</f>
        <v/>
      </c>
      <c r="AG18">
        <f>OR(N18&lt;&gt;"",S18&lt;&gt;"")</f>
        <v/>
      </c>
      <c r="AH18">
        <f>AND(N18&lt;&gt;"",X18&lt;&gt;"")</f>
        <v/>
      </c>
      <c r="AI18">
        <f>OR(N18&lt;&gt;"",X18&lt;&gt;"")</f>
        <v/>
      </c>
      <c r="AJ18">
        <f>AND(S18&lt;&gt;"",X18&lt;&gt;"")</f>
        <v/>
      </c>
      <c r="AK18">
        <f>OR(S18&lt;&gt;"",X18&lt;&gt;"")</f>
        <v/>
      </c>
      <c r="AM18">
        <f>AND(I18&lt;&gt;"",N18&lt;&gt;"",B18="No")</f>
        <v/>
      </c>
      <c r="AN18">
        <f>AND(OR(I18&lt;&gt;"",N18&lt;&gt;""),B18="No")</f>
        <v/>
      </c>
      <c r="AO18">
        <f>AND(I18&lt;&gt;"",S18&lt;&gt;"",B18="No")</f>
        <v/>
      </c>
      <c r="AP18">
        <f>AND(OR(I18&lt;&gt;"",S18&lt;&gt;""),B18="No")</f>
        <v/>
      </c>
      <c r="AQ18">
        <f>AND(I18&lt;&gt;"",X18&lt;&gt;"",B18="No")</f>
        <v/>
      </c>
      <c r="AR18">
        <f>AND(OR(I18&lt;&gt;"",X18&lt;&gt;""),B18="No")</f>
        <v/>
      </c>
      <c r="AS18">
        <f>AND(N18&lt;&gt;"",S18&lt;&gt;"",B18="No")</f>
        <v/>
      </c>
      <c r="AT18">
        <f>AND(OR(N18&lt;&gt;"",S18&lt;&gt;""),B18="No")</f>
        <v/>
      </c>
      <c r="AU18">
        <f>AND(N18&lt;&gt;"",X18&lt;&gt;"",B18="No")</f>
        <v/>
      </c>
      <c r="AV18">
        <f>AND(OR(N18&lt;&gt;"",X18&lt;&gt;""),B18="No")</f>
        <v/>
      </c>
      <c r="AW18">
        <f>AND(S18&lt;&gt;"",X18&lt;&gt;"",B18="No")</f>
        <v/>
      </c>
      <c r="AX18">
        <f>AND(OR(S18&lt;&gt;"",X18&lt;&gt;""),B18="No")</f>
        <v/>
      </c>
    </row>
    <row r="19">
      <c r="A19" s="44" t="inlineStr">
        <is>
          <t>G0.2.2</t>
        </is>
      </c>
      <c r="B19" s="47" t="inlineStr">
        <is>
          <t>Yes</t>
        </is>
      </c>
      <c r="C19" t="inlineStr">
        <is>
          <t>Template drift</t>
        </is>
      </c>
      <c r="D19" s="34" t="n"/>
      <c r="E19" s="35" t="n"/>
      <c r="F19" s="35" t="n"/>
      <c r="G19" s="35" t="n"/>
      <c r="H19" s="35" t="n"/>
      <c r="I19" s="37">
        <f>IF(COUNTA(E19:H19)&gt;0,"X","")</f>
        <v/>
      </c>
      <c r="J19" s="35" t="n"/>
      <c r="K19" s="35" t="n"/>
      <c r="L19" s="35" t="n"/>
      <c r="M19" s="35" t="n"/>
      <c r="N19" s="37">
        <f>IF(COUNTA(J19:M19)&gt;0,"X","")</f>
        <v/>
      </c>
      <c r="O19" s="35" t="n"/>
      <c r="P19" s="35" t="n"/>
      <c r="Q19" s="35" t="n"/>
      <c r="R19" s="35" t="n"/>
      <c r="S19" s="37">
        <f>IF(COUNTA(O19:R19)&gt;0,"X","")</f>
        <v/>
      </c>
      <c r="T19" s="35" t="inlineStr">
        <is>
          <t>X</t>
        </is>
      </c>
      <c r="U19" s="35" t="n"/>
      <c r="V19" s="35" t="n"/>
      <c r="W19" s="35" t="n"/>
      <c r="X19" s="37">
        <f>IF(COUNTA(T19:W19)&gt;0,"X","")</f>
        <v/>
      </c>
      <c r="Z19">
        <f>AND(I19&lt;&gt;"",N19&lt;&gt;"")</f>
        <v/>
      </c>
      <c r="AA19">
        <f>OR(I19&lt;&gt;"",N19&lt;&gt;"")</f>
        <v/>
      </c>
      <c r="AB19">
        <f>AND(I19&lt;&gt;"",S19&lt;&gt;"")</f>
        <v/>
      </c>
      <c r="AC19">
        <f>OR(I19&lt;&gt;"",S19&lt;&gt;"")</f>
        <v/>
      </c>
      <c r="AD19">
        <f>AND(I19&lt;&gt;"",X19&lt;&gt;"")</f>
        <v/>
      </c>
      <c r="AE19">
        <f>OR(I19&lt;&gt;"",X19&lt;&gt;"")</f>
        <v/>
      </c>
      <c r="AF19">
        <f>AND(N19&lt;&gt;"",S19&lt;&gt;"")</f>
        <v/>
      </c>
      <c r="AG19">
        <f>OR(N19&lt;&gt;"",S19&lt;&gt;"")</f>
        <v/>
      </c>
      <c r="AH19">
        <f>AND(N19&lt;&gt;"",X19&lt;&gt;"")</f>
        <v/>
      </c>
      <c r="AI19">
        <f>OR(N19&lt;&gt;"",X19&lt;&gt;"")</f>
        <v/>
      </c>
      <c r="AJ19">
        <f>AND(S19&lt;&gt;"",X19&lt;&gt;"")</f>
        <v/>
      </c>
      <c r="AK19">
        <f>OR(S19&lt;&gt;"",X19&lt;&gt;"")</f>
        <v/>
      </c>
      <c r="AM19">
        <f>AND(I19&lt;&gt;"",N19&lt;&gt;"",B19="No")</f>
        <v/>
      </c>
      <c r="AN19">
        <f>AND(OR(I19&lt;&gt;"",N19&lt;&gt;""),B19="No")</f>
        <v/>
      </c>
      <c r="AO19">
        <f>AND(I19&lt;&gt;"",S19&lt;&gt;"",B19="No")</f>
        <v/>
      </c>
      <c r="AP19">
        <f>AND(OR(I19&lt;&gt;"",S19&lt;&gt;""),B19="No")</f>
        <v/>
      </c>
      <c r="AQ19">
        <f>AND(I19&lt;&gt;"",X19&lt;&gt;"",B19="No")</f>
        <v/>
      </c>
      <c r="AR19">
        <f>AND(OR(I19&lt;&gt;"",X19&lt;&gt;""),B19="No")</f>
        <v/>
      </c>
      <c r="AS19">
        <f>AND(N19&lt;&gt;"",S19&lt;&gt;"",B19="No")</f>
        <v/>
      </c>
      <c r="AT19">
        <f>AND(OR(N19&lt;&gt;"",S19&lt;&gt;""),B19="No")</f>
        <v/>
      </c>
      <c r="AU19">
        <f>AND(N19&lt;&gt;"",X19&lt;&gt;"",B19="No")</f>
        <v/>
      </c>
      <c r="AV19">
        <f>AND(OR(N19&lt;&gt;"",X19&lt;&gt;""),B19="No")</f>
        <v/>
      </c>
      <c r="AW19">
        <f>AND(S19&lt;&gt;"",X19&lt;&gt;"",B19="No")</f>
        <v/>
      </c>
      <c r="AX19">
        <f>AND(OR(S19&lt;&gt;"",X19&lt;&gt;""),B19="No")</f>
        <v/>
      </c>
    </row>
    <row r="20">
      <c r="A20" s="44" t="inlineStr">
        <is>
          <t>G0_iii.2.3</t>
        </is>
      </c>
      <c r="B20" s="47" t="inlineStr">
        <is>
          <t>Yes</t>
        </is>
      </c>
      <c r="C20" t="inlineStr">
        <is>
          <t>Architectural infeasibility</t>
        </is>
      </c>
      <c r="D20" s="34" t="n"/>
      <c r="E20" s="35" t="n"/>
      <c r="F20" s="35" t="n"/>
      <c r="G20" s="35" t="n"/>
      <c r="H20" s="35" t="n"/>
      <c r="I20" s="37">
        <f>IF(COUNTA(E20:H20)&gt;0,"X","")</f>
        <v/>
      </c>
      <c r="J20" s="35" t="n"/>
      <c r="K20" s="35" t="n"/>
      <c r="L20" s="35" t="n"/>
      <c r="M20" s="35" t="n"/>
      <c r="N20" s="37">
        <f>IF(COUNTA(J20:M20)&gt;0,"X","")</f>
        <v/>
      </c>
      <c r="O20" s="35" t="n"/>
      <c r="P20" s="35" t="n"/>
      <c r="Q20" s="35" t="n"/>
      <c r="R20" s="35" t="n"/>
      <c r="S20" s="37">
        <f>IF(COUNTA(O20:R20)&gt;0,"X","")</f>
        <v/>
      </c>
      <c r="T20" s="35" t="n"/>
      <c r="U20" s="35" t="n"/>
      <c r="V20" s="35" t="inlineStr">
        <is>
          <t>X</t>
        </is>
      </c>
      <c r="W20" s="35" t="n"/>
      <c r="X20" s="37">
        <f>IF(COUNTA(T20:W20)&gt;0,"X","")</f>
        <v/>
      </c>
      <c r="Z20">
        <f>AND(I20&lt;&gt;"",N20&lt;&gt;"")</f>
        <v/>
      </c>
      <c r="AA20">
        <f>OR(I20&lt;&gt;"",N20&lt;&gt;"")</f>
        <v/>
      </c>
      <c r="AB20">
        <f>AND(I20&lt;&gt;"",S20&lt;&gt;"")</f>
        <v/>
      </c>
      <c r="AC20">
        <f>OR(I20&lt;&gt;"",S20&lt;&gt;"")</f>
        <v/>
      </c>
      <c r="AD20">
        <f>AND(I20&lt;&gt;"",X20&lt;&gt;"")</f>
        <v/>
      </c>
      <c r="AE20">
        <f>OR(I20&lt;&gt;"",X20&lt;&gt;"")</f>
        <v/>
      </c>
      <c r="AF20">
        <f>AND(N20&lt;&gt;"",S20&lt;&gt;"")</f>
        <v/>
      </c>
      <c r="AG20">
        <f>OR(N20&lt;&gt;"",S20&lt;&gt;"")</f>
        <v/>
      </c>
      <c r="AH20">
        <f>AND(N20&lt;&gt;"",X20&lt;&gt;"")</f>
        <v/>
      </c>
      <c r="AI20">
        <f>OR(N20&lt;&gt;"",X20&lt;&gt;"")</f>
        <v/>
      </c>
      <c r="AJ20">
        <f>AND(S20&lt;&gt;"",X20&lt;&gt;"")</f>
        <v/>
      </c>
      <c r="AK20">
        <f>OR(S20&lt;&gt;"",X20&lt;&gt;"")</f>
        <v/>
      </c>
      <c r="AM20">
        <f>AND(I20&lt;&gt;"",N20&lt;&gt;"",B20="No")</f>
        <v/>
      </c>
      <c r="AN20">
        <f>AND(OR(I20&lt;&gt;"",N20&lt;&gt;""),B20="No")</f>
        <v/>
      </c>
      <c r="AO20">
        <f>AND(I20&lt;&gt;"",S20&lt;&gt;"",B20="No")</f>
        <v/>
      </c>
      <c r="AP20">
        <f>AND(OR(I20&lt;&gt;"",S20&lt;&gt;""),B20="No")</f>
        <v/>
      </c>
      <c r="AQ20">
        <f>AND(I20&lt;&gt;"",X20&lt;&gt;"",B20="No")</f>
        <v/>
      </c>
      <c r="AR20">
        <f>AND(OR(I20&lt;&gt;"",X20&lt;&gt;""),B20="No")</f>
        <v/>
      </c>
      <c r="AS20">
        <f>AND(N20&lt;&gt;"",S20&lt;&gt;"",B20="No")</f>
        <v/>
      </c>
      <c r="AT20">
        <f>AND(OR(N20&lt;&gt;"",S20&lt;&gt;""),B20="No")</f>
        <v/>
      </c>
      <c r="AU20">
        <f>AND(N20&lt;&gt;"",X20&lt;&gt;"",B20="No")</f>
        <v/>
      </c>
      <c r="AV20">
        <f>AND(OR(N20&lt;&gt;"",X20&lt;&gt;""),B20="No")</f>
        <v/>
      </c>
      <c r="AW20">
        <f>AND(S20&lt;&gt;"",X20&lt;&gt;"",B20="No")</f>
        <v/>
      </c>
      <c r="AX20">
        <f>AND(OR(S20&lt;&gt;"",X20&lt;&gt;""),B20="No")</f>
        <v/>
      </c>
    </row>
    <row r="21">
      <c r="A21" s="44" t="inlineStr">
        <is>
          <t>GS.3.1</t>
        </is>
      </c>
      <c r="B21" s="47" t="inlineStr">
        <is>
          <t>No</t>
        </is>
      </c>
      <c r="C21" s="47" t="n"/>
      <c r="D21" s="34" t="inlineStr">
        <is>
          <t>H.3.1</t>
        </is>
      </c>
      <c r="E21" s="27" t="inlineStr">
        <is>
          <t>P</t>
        </is>
      </c>
      <c r="F21" s="27" t="inlineStr">
        <is>
          <t>P</t>
        </is>
      </c>
      <c r="G21" s="27" t="inlineStr">
        <is>
          <t>P</t>
        </is>
      </c>
      <c r="H21" s="27" t="inlineStr">
        <is>
          <t>P</t>
        </is>
      </c>
      <c r="I21" s="37">
        <f>IF(COUNTA(E21:H21)&gt;0,"X","")</f>
        <v/>
      </c>
      <c r="J21" s="27" t="inlineStr">
        <is>
          <t>P</t>
        </is>
      </c>
      <c r="K21" s="27" t="inlineStr">
        <is>
          <t>X</t>
        </is>
      </c>
      <c r="L21" s="27" t="inlineStr">
        <is>
          <t>X</t>
        </is>
      </c>
      <c r="M21" s="27" t="inlineStr">
        <is>
          <t>P</t>
        </is>
      </c>
      <c r="N21" s="37">
        <f>IF(COUNTA(J21:M21)&gt;0,"X","")</f>
        <v/>
      </c>
      <c r="O21" s="27" t="inlineStr">
        <is>
          <t>P</t>
        </is>
      </c>
      <c r="Q21" s="27" t="inlineStr">
        <is>
          <t>P</t>
        </is>
      </c>
      <c r="R21" s="27" t="inlineStr">
        <is>
          <t>P</t>
        </is>
      </c>
      <c r="S21" s="37">
        <f>IF(COUNTA(O21:R21)&gt;0,"X","")</f>
        <v/>
      </c>
      <c r="T21" s="27" t="inlineStr">
        <is>
          <t>X</t>
        </is>
      </c>
      <c r="U21" s="27" t="inlineStr">
        <is>
          <t>X</t>
        </is>
      </c>
      <c r="V21" s="27" t="inlineStr">
        <is>
          <t>X</t>
        </is>
      </c>
      <c r="W21" s="27" t="inlineStr">
        <is>
          <t>X</t>
        </is>
      </c>
      <c r="X21" s="37">
        <f>IF(COUNTA(T21:W21)&gt;0,"X","")</f>
        <v/>
      </c>
      <c r="Z21">
        <f>AND(I21&lt;&gt;"",N21&lt;&gt;"")</f>
        <v/>
      </c>
      <c r="AA21">
        <f>OR(I21&lt;&gt;"",N21&lt;&gt;"")</f>
        <v/>
      </c>
      <c r="AB21">
        <f>AND(I21&lt;&gt;"",S21&lt;&gt;"")</f>
        <v/>
      </c>
      <c r="AC21">
        <f>OR(I21&lt;&gt;"",S21&lt;&gt;"")</f>
        <v/>
      </c>
      <c r="AD21">
        <f>AND(I21&lt;&gt;"",X21&lt;&gt;"")</f>
        <v/>
      </c>
      <c r="AE21">
        <f>OR(I21&lt;&gt;"",X21&lt;&gt;"")</f>
        <v/>
      </c>
      <c r="AF21">
        <f>AND(N21&lt;&gt;"",S21&lt;&gt;"")</f>
        <v/>
      </c>
      <c r="AG21">
        <f>OR(N21&lt;&gt;"",S21&lt;&gt;"")</f>
        <v/>
      </c>
      <c r="AH21">
        <f>AND(N21&lt;&gt;"",X21&lt;&gt;"")</f>
        <v/>
      </c>
      <c r="AI21">
        <f>OR(N21&lt;&gt;"",X21&lt;&gt;"")</f>
        <v/>
      </c>
      <c r="AJ21">
        <f>AND(S21&lt;&gt;"",X21&lt;&gt;"")</f>
        <v/>
      </c>
      <c r="AK21">
        <f>OR(S21&lt;&gt;"",X21&lt;&gt;"")</f>
        <v/>
      </c>
      <c r="AM21">
        <f>AND(I21&lt;&gt;"",N21&lt;&gt;"",B21="No")</f>
        <v/>
      </c>
      <c r="AN21">
        <f>AND(OR(I21&lt;&gt;"",N21&lt;&gt;""),B21="No")</f>
        <v/>
      </c>
      <c r="AO21">
        <f>AND(I21&lt;&gt;"",S21&lt;&gt;"",B21="No")</f>
        <v/>
      </c>
      <c r="AP21">
        <f>AND(OR(I21&lt;&gt;"",S21&lt;&gt;""),B21="No")</f>
        <v/>
      </c>
      <c r="AQ21">
        <f>AND(I21&lt;&gt;"",X21&lt;&gt;"",B21="No")</f>
        <v/>
      </c>
      <c r="AR21">
        <f>AND(OR(I21&lt;&gt;"",X21&lt;&gt;""),B21="No")</f>
        <v/>
      </c>
      <c r="AS21">
        <f>AND(N21&lt;&gt;"",S21&lt;&gt;"",B21="No")</f>
        <v/>
      </c>
      <c r="AT21">
        <f>AND(OR(N21&lt;&gt;"",S21&lt;&gt;""),B21="No")</f>
        <v/>
      </c>
      <c r="AU21">
        <f>AND(N21&lt;&gt;"",X21&lt;&gt;"",B21="No")</f>
        <v/>
      </c>
      <c r="AV21">
        <f>AND(OR(N21&lt;&gt;"",X21&lt;&gt;""),B21="No")</f>
        <v/>
      </c>
      <c r="AW21">
        <f>AND(S21&lt;&gt;"",X21&lt;&gt;"",B21="No")</f>
        <v/>
      </c>
      <c r="AX21">
        <f>AND(OR(S21&lt;&gt;"",X21&lt;&gt;""),B21="No")</f>
        <v/>
      </c>
    </row>
    <row r="22">
      <c r="A22" s="44" t="inlineStr">
        <is>
          <t>GS.3.2</t>
        </is>
      </c>
      <c r="B22" s="47" t="inlineStr">
        <is>
          <t>No</t>
        </is>
      </c>
      <c r="C22" s="47" t="n"/>
      <c r="D22" s="34" t="inlineStr">
        <is>
          <t>H.3.2</t>
        </is>
      </c>
      <c r="E22" s="27" t="inlineStr">
        <is>
          <t>X</t>
        </is>
      </c>
      <c r="F22" s="27" t="inlineStr">
        <is>
          <t>X</t>
        </is>
      </c>
      <c r="G22" s="27" t="inlineStr">
        <is>
          <t>P</t>
        </is>
      </c>
      <c r="H22" s="27" t="inlineStr">
        <is>
          <t>P</t>
        </is>
      </c>
      <c r="I22" s="37">
        <f>IF(COUNTA(E22:H22)&gt;0,"X","")</f>
        <v/>
      </c>
      <c r="J22" s="35" t="n"/>
      <c r="K22" s="35" t="n"/>
      <c r="L22" s="35" t="n"/>
      <c r="M22" s="35" t="n"/>
      <c r="N22" s="37">
        <f>IF(COUNTA(J22:M22)&gt;0,"X","")</f>
        <v/>
      </c>
      <c r="O22" s="35" t="n"/>
      <c r="P22" s="35" t="n"/>
      <c r="Q22" s="35" t="n"/>
      <c r="R22" s="35" t="n"/>
      <c r="S22" s="37">
        <f>IF(COUNTA(O22:R22)&gt;0,"X","")</f>
        <v/>
      </c>
      <c r="W22" s="27" t="inlineStr">
        <is>
          <t>X</t>
        </is>
      </c>
      <c r="X22" s="37">
        <f>IF(COUNTA(T22:W22)&gt;0,"X","")</f>
        <v/>
      </c>
      <c r="Z22">
        <f>AND(I22&lt;&gt;"",N22&lt;&gt;"")</f>
        <v/>
      </c>
      <c r="AA22">
        <f>OR(I22&lt;&gt;"",N22&lt;&gt;"")</f>
        <v/>
      </c>
      <c r="AB22">
        <f>AND(I22&lt;&gt;"",S22&lt;&gt;"")</f>
        <v/>
      </c>
      <c r="AC22">
        <f>OR(I22&lt;&gt;"",S22&lt;&gt;"")</f>
        <v/>
      </c>
      <c r="AD22">
        <f>AND(I22&lt;&gt;"",X22&lt;&gt;"")</f>
        <v/>
      </c>
      <c r="AE22">
        <f>OR(I22&lt;&gt;"",X22&lt;&gt;"")</f>
        <v/>
      </c>
      <c r="AF22">
        <f>AND(N22&lt;&gt;"",S22&lt;&gt;"")</f>
        <v/>
      </c>
      <c r="AG22">
        <f>OR(N22&lt;&gt;"",S22&lt;&gt;"")</f>
        <v/>
      </c>
      <c r="AH22">
        <f>AND(N22&lt;&gt;"",X22&lt;&gt;"")</f>
        <v/>
      </c>
      <c r="AI22">
        <f>OR(N22&lt;&gt;"",X22&lt;&gt;"")</f>
        <v/>
      </c>
      <c r="AJ22">
        <f>AND(S22&lt;&gt;"",X22&lt;&gt;"")</f>
        <v/>
      </c>
      <c r="AK22">
        <f>OR(S22&lt;&gt;"",X22&lt;&gt;"")</f>
        <v/>
      </c>
      <c r="AM22">
        <f>AND(I22&lt;&gt;"",N22&lt;&gt;"",B22="No")</f>
        <v/>
      </c>
      <c r="AN22">
        <f>AND(OR(I22&lt;&gt;"",N22&lt;&gt;""),B22="No")</f>
        <v/>
      </c>
      <c r="AO22">
        <f>AND(I22&lt;&gt;"",S22&lt;&gt;"",B22="No")</f>
        <v/>
      </c>
      <c r="AP22">
        <f>AND(OR(I22&lt;&gt;"",S22&lt;&gt;""),B22="No")</f>
        <v/>
      </c>
      <c r="AQ22">
        <f>AND(I22&lt;&gt;"",X22&lt;&gt;"",B22="No")</f>
        <v/>
      </c>
      <c r="AR22">
        <f>AND(OR(I22&lt;&gt;"",X22&lt;&gt;""),B22="No")</f>
        <v/>
      </c>
      <c r="AS22">
        <f>AND(N22&lt;&gt;"",S22&lt;&gt;"",B22="No")</f>
        <v/>
      </c>
      <c r="AT22">
        <f>AND(OR(N22&lt;&gt;"",S22&lt;&gt;""),B22="No")</f>
        <v/>
      </c>
      <c r="AU22">
        <f>AND(N22&lt;&gt;"",X22&lt;&gt;"",B22="No")</f>
        <v/>
      </c>
      <c r="AV22">
        <f>AND(OR(N22&lt;&gt;"",X22&lt;&gt;""),B22="No")</f>
        <v/>
      </c>
      <c r="AW22">
        <f>AND(S22&lt;&gt;"",X22&lt;&gt;"",B22="No")</f>
        <v/>
      </c>
      <c r="AX22">
        <f>AND(OR(S22&lt;&gt;"",X22&lt;&gt;""),B22="No")</f>
        <v/>
      </c>
    </row>
    <row r="23">
      <c r="A23" s="44" t="inlineStr">
        <is>
          <t>GS.3.3</t>
        </is>
      </c>
      <c r="B23" s="47" t="inlineStr">
        <is>
          <t>No</t>
        </is>
      </c>
      <c r="C23" s="47" t="n"/>
      <c r="D23" s="34" t="inlineStr">
        <is>
          <t>H.3.3</t>
        </is>
      </c>
      <c r="E23" s="35" t="n"/>
      <c r="F23" s="35" t="n"/>
      <c r="G23" s="35" t="n"/>
      <c r="H23" s="35" t="n"/>
      <c r="I23" s="37">
        <f>IF(COUNTA(E23:H23)&gt;0,"X","")</f>
        <v/>
      </c>
      <c r="J23" s="35" t="n"/>
      <c r="K23" s="35" t="n"/>
      <c r="L23" s="35" t="n"/>
      <c r="M23" s="35" t="n"/>
      <c r="N23" s="37">
        <f>IF(COUNTA(J23:M23)&gt;0,"X","")</f>
        <v/>
      </c>
      <c r="O23" s="35" t="n"/>
      <c r="P23" s="35" t="n"/>
      <c r="Q23" s="35" t="n"/>
      <c r="R23" s="35" t="n"/>
      <c r="S23" s="37">
        <f>IF(COUNTA(O23:R23)&gt;0,"X","")</f>
        <v/>
      </c>
      <c r="T23" s="35" t="n"/>
      <c r="U23" s="35" t="n"/>
      <c r="V23" s="35" t="n"/>
      <c r="W23" s="35" t="n"/>
      <c r="X23" s="37">
        <f>IF(COUNTA(T23:W23)&gt;0,"X","")</f>
        <v/>
      </c>
      <c r="Z23">
        <f>AND(I23&lt;&gt;"",N23&lt;&gt;"")</f>
        <v/>
      </c>
      <c r="AA23">
        <f>OR(I23&lt;&gt;"",N23&lt;&gt;"")</f>
        <v/>
      </c>
      <c r="AB23">
        <f>AND(I23&lt;&gt;"",S23&lt;&gt;"")</f>
        <v/>
      </c>
      <c r="AC23">
        <f>OR(I23&lt;&gt;"",S23&lt;&gt;"")</f>
        <v/>
      </c>
      <c r="AD23">
        <f>AND(I23&lt;&gt;"",X23&lt;&gt;"")</f>
        <v/>
      </c>
      <c r="AE23">
        <f>OR(I23&lt;&gt;"",X23&lt;&gt;"")</f>
        <v/>
      </c>
      <c r="AF23">
        <f>AND(N23&lt;&gt;"",S23&lt;&gt;"")</f>
        <v/>
      </c>
      <c r="AG23">
        <f>OR(N23&lt;&gt;"",S23&lt;&gt;"")</f>
        <v/>
      </c>
      <c r="AH23">
        <f>AND(N23&lt;&gt;"",X23&lt;&gt;"")</f>
        <v/>
      </c>
      <c r="AI23">
        <f>OR(N23&lt;&gt;"",X23&lt;&gt;"")</f>
        <v/>
      </c>
      <c r="AJ23">
        <f>AND(S23&lt;&gt;"",X23&lt;&gt;"")</f>
        <v/>
      </c>
      <c r="AK23">
        <f>OR(S23&lt;&gt;"",X23&lt;&gt;"")</f>
        <v/>
      </c>
      <c r="AM23">
        <f>AND(I23&lt;&gt;"",N23&lt;&gt;"",B23="No")</f>
        <v/>
      </c>
      <c r="AN23">
        <f>AND(OR(I23&lt;&gt;"",N23&lt;&gt;""),B23="No")</f>
        <v/>
      </c>
      <c r="AO23">
        <f>AND(I23&lt;&gt;"",S23&lt;&gt;"",B23="No")</f>
        <v/>
      </c>
      <c r="AP23">
        <f>AND(OR(I23&lt;&gt;"",S23&lt;&gt;""),B23="No")</f>
        <v/>
      </c>
      <c r="AQ23">
        <f>AND(I23&lt;&gt;"",X23&lt;&gt;"",B23="No")</f>
        <v/>
      </c>
      <c r="AR23">
        <f>AND(OR(I23&lt;&gt;"",X23&lt;&gt;""),B23="No")</f>
        <v/>
      </c>
      <c r="AS23">
        <f>AND(N23&lt;&gt;"",S23&lt;&gt;"",B23="No")</f>
        <v/>
      </c>
      <c r="AT23">
        <f>AND(OR(N23&lt;&gt;"",S23&lt;&gt;""),B23="No")</f>
        <v/>
      </c>
      <c r="AU23">
        <f>AND(N23&lt;&gt;"",X23&lt;&gt;"",B23="No")</f>
        <v/>
      </c>
      <c r="AV23">
        <f>AND(OR(N23&lt;&gt;"",X23&lt;&gt;""),B23="No")</f>
        <v/>
      </c>
      <c r="AW23">
        <f>AND(S23&lt;&gt;"",X23&lt;&gt;"",B23="No")</f>
        <v/>
      </c>
      <c r="AX23">
        <f>AND(OR(S23&lt;&gt;"",X23&lt;&gt;""),B23="No")</f>
        <v/>
      </c>
    </row>
    <row r="24">
      <c r="A24" s="44" t="inlineStr">
        <is>
          <t>GS.3.4</t>
        </is>
      </c>
      <c r="B24" s="47" t="inlineStr">
        <is>
          <t>No</t>
        </is>
      </c>
      <c r="C24" s="47" t="n"/>
      <c r="D24" s="34" t="inlineStr">
        <is>
          <t>H.3.4</t>
        </is>
      </c>
      <c r="F24" s="27" t="inlineStr">
        <is>
          <t>X</t>
        </is>
      </c>
      <c r="I24" s="37">
        <f>IF(COUNTA(E24:H24)&gt;0,"X","")</f>
        <v/>
      </c>
      <c r="J24" s="27" t="inlineStr">
        <is>
          <t>X</t>
        </is>
      </c>
      <c r="K24" s="27" t="inlineStr">
        <is>
          <t>X</t>
        </is>
      </c>
      <c r="L24" s="27" t="inlineStr">
        <is>
          <t>X</t>
        </is>
      </c>
      <c r="M24" s="27" t="inlineStr">
        <is>
          <t>P</t>
        </is>
      </c>
      <c r="N24" s="37">
        <f>IF(COUNTA(J24:M24)&gt;0,"X","")</f>
        <v/>
      </c>
      <c r="O24" s="35" t="n"/>
      <c r="P24" s="35" t="n"/>
      <c r="Q24" s="35" t="n"/>
      <c r="R24" s="35" t="n"/>
      <c r="S24" s="37">
        <f>IF(COUNTA(O24:R24)&gt;0,"X","")</f>
        <v/>
      </c>
      <c r="T24" s="27" t="inlineStr">
        <is>
          <t>X</t>
        </is>
      </c>
      <c r="U24" s="27" t="inlineStr">
        <is>
          <t>X</t>
        </is>
      </c>
      <c r="W24" s="27" t="inlineStr">
        <is>
          <t>P</t>
        </is>
      </c>
      <c r="X24" s="37">
        <f>IF(COUNTA(T24:W24)&gt;0,"X","")</f>
        <v/>
      </c>
      <c r="Z24">
        <f>AND(I24&lt;&gt;"",N24&lt;&gt;"")</f>
        <v/>
      </c>
      <c r="AA24">
        <f>OR(I24&lt;&gt;"",N24&lt;&gt;"")</f>
        <v/>
      </c>
      <c r="AB24">
        <f>AND(I24&lt;&gt;"",S24&lt;&gt;"")</f>
        <v/>
      </c>
      <c r="AC24">
        <f>OR(I24&lt;&gt;"",S24&lt;&gt;"")</f>
        <v/>
      </c>
      <c r="AD24">
        <f>AND(I24&lt;&gt;"",X24&lt;&gt;"")</f>
        <v/>
      </c>
      <c r="AE24">
        <f>OR(I24&lt;&gt;"",X24&lt;&gt;"")</f>
        <v/>
      </c>
      <c r="AF24">
        <f>AND(N24&lt;&gt;"",S24&lt;&gt;"")</f>
        <v/>
      </c>
      <c r="AG24">
        <f>OR(N24&lt;&gt;"",S24&lt;&gt;"")</f>
        <v/>
      </c>
      <c r="AH24">
        <f>AND(N24&lt;&gt;"",X24&lt;&gt;"")</f>
        <v/>
      </c>
      <c r="AI24">
        <f>OR(N24&lt;&gt;"",X24&lt;&gt;"")</f>
        <v/>
      </c>
      <c r="AJ24">
        <f>AND(S24&lt;&gt;"",X24&lt;&gt;"")</f>
        <v/>
      </c>
      <c r="AK24">
        <f>OR(S24&lt;&gt;"",X24&lt;&gt;"")</f>
        <v/>
      </c>
      <c r="AM24">
        <f>AND(I24&lt;&gt;"",N24&lt;&gt;"",B24="No")</f>
        <v/>
      </c>
      <c r="AN24">
        <f>AND(OR(I24&lt;&gt;"",N24&lt;&gt;""),B24="No")</f>
        <v/>
      </c>
      <c r="AO24">
        <f>AND(I24&lt;&gt;"",S24&lt;&gt;"",B24="No")</f>
        <v/>
      </c>
      <c r="AP24">
        <f>AND(OR(I24&lt;&gt;"",S24&lt;&gt;""),B24="No")</f>
        <v/>
      </c>
      <c r="AQ24">
        <f>AND(I24&lt;&gt;"",X24&lt;&gt;"",B24="No")</f>
        <v/>
      </c>
      <c r="AR24">
        <f>AND(OR(I24&lt;&gt;"",X24&lt;&gt;""),B24="No")</f>
        <v/>
      </c>
      <c r="AS24">
        <f>AND(N24&lt;&gt;"",S24&lt;&gt;"",B24="No")</f>
        <v/>
      </c>
      <c r="AT24">
        <f>AND(OR(N24&lt;&gt;"",S24&lt;&gt;""),B24="No")</f>
        <v/>
      </c>
      <c r="AU24">
        <f>AND(N24&lt;&gt;"",X24&lt;&gt;"",B24="No")</f>
        <v/>
      </c>
      <c r="AV24">
        <f>AND(OR(N24&lt;&gt;"",X24&lt;&gt;""),B24="No")</f>
        <v/>
      </c>
      <c r="AW24">
        <f>AND(S24&lt;&gt;"",X24&lt;&gt;"",B24="No")</f>
        <v/>
      </c>
      <c r="AX24">
        <f>AND(OR(S24&lt;&gt;"",X24&lt;&gt;""),B24="No")</f>
        <v/>
      </c>
    </row>
    <row r="25">
      <c r="A25" s="44" t="inlineStr">
        <is>
          <t>GS.3.5</t>
        </is>
      </c>
      <c r="B25" s="47" t="inlineStr">
        <is>
          <t>No</t>
        </is>
      </c>
      <c r="C25" s="47" t="n"/>
      <c r="D25" s="34" t="inlineStr">
        <is>
          <t>H.3.5</t>
        </is>
      </c>
      <c r="E25" s="27" t="inlineStr">
        <is>
          <t>X</t>
        </is>
      </c>
      <c r="F25" s="27" t="inlineStr">
        <is>
          <t>X</t>
        </is>
      </c>
      <c r="G25" s="27" t="inlineStr">
        <is>
          <t>X</t>
        </is>
      </c>
      <c r="H25" s="27" t="inlineStr">
        <is>
          <t>X</t>
        </is>
      </c>
      <c r="I25" s="37">
        <f>IF(COUNTA(E25:H25)&gt;0,"X","")</f>
        <v/>
      </c>
      <c r="J25" s="35" t="n"/>
      <c r="K25" s="35" t="n"/>
      <c r="L25" s="35" t="n"/>
      <c r="M25" s="35" t="n"/>
      <c r="N25" s="37">
        <f>IF(COUNTA(J25:M25)&gt;0,"X","")</f>
        <v/>
      </c>
      <c r="O25" s="35" t="n"/>
      <c r="P25" s="35" t="n"/>
      <c r="Q25" s="35" t="n"/>
      <c r="R25" s="35" t="n"/>
      <c r="S25" s="37">
        <f>IF(COUNTA(O25:R25)&gt;0,"X","")</f>
        <v/>
      </c>
      <c r="T25" s="35" t="n"/>
      <c r="U25" s="35" t="n"/>
      <c r="V25" s="35" t="n"/>
      <c r="W25" s="35" t="n"/>
      <c r="X25" s="37">
        <f>IF(COUNTA(T25:W25)&gt;0,"X","")</f>
        <v/>
      </c>
      <c r="Z25">
        <f>AND(I25&lt;&gt;"",N25&lt;&gt;"")</f>
        <v/>
      </c>
      <c r="AA25">
        <f>OR(I25&lt;&gt;"",N25&lt;&gt;"")</f>
        <v/>
      </c>
      <c r="AB25">
        <f>AND(I25&lt;&gt;"",S25&lt;&gt;"")</f>
        <v/>
      </c>
      <c r="AC25">
        <f>OR(I25&lt;&gt;"",S25&lt;&gt;"")</f>
        <v/>
      </c>
      <c r="AD25">
        <f>AND(I25&lt;&gt;"",X25&lt;&gt;"")</f>
        <v/>
      </c>
      <c r="AE25">
        <f>OR(I25&lt;&gt;"",X25&lt;&gt;"")</f>
        <v/>
      </c>
      <c r="AF25">
        <f>AND(N25&lt;&gt;"",S25&lt;&gt;"")</f>
        <v/>
      </c>
      <c r="AG25">
        <f>OR(N25&lt;&gt;"",S25&lt;&gt;"")</f>
        <v/>
      </c>
      <c r="AH25">
        <f>AND(N25&lt;&gt;"",X25&lt;&gt;"")</f>
        <v/>
      </c>
      <c r="AI25">
        <f>OR(N25&lt;&gt;"",X25&lt;&gt;"")</f>
        <v/>
      </c>
      <c r="AJ25">
        <f>AND(S25&lt;&gt;"",X25&lt;&gt;"")</f>
        <v/>
      </c>
      <c r="AK25">
        <f>OR(S25&lt;&gt;"",X25&lt;&gt;"")</f>
        <v/>
      </c>
      <c r="AM25">
        <f>AND(I25&lt;&gt;"",N25&lt;&gt;"",B25="No")</f>
        <v/>
      </c>
      <c r="AN25">
        <f>AND(OR(I25&lt;&gt;"",N25&lt;&gt;""),B25="No")</f>
        <v/>
      </c>
      <c r="AO25">
        <f>AND(I25&lt;&gt;"",S25&lt;&gt;"",B25="No")</f>
        <v/>
      </c>
      <c r="AP25">
        <f>AND(OR(I25&lt;&gt;"",S25&lt;&gt;""),B25="No")</f>
        <v/>
      </c>
      <c r="AQ25">
        <f>AND(I25&lt;&gt;"",X25&lt;&gt;"",B25="No")</f>
        <v/>
      </c>
      <c r="AR25">
        <f>AND(OR(I25&lt;&gt;"",X25&lt;&gt;""),B25="No")</f>
        <v/>
      </c>
      <c r="AS25">
        <f>AND(N25&lt;&gt;"",S25&lt;&gt;"",B25="No")</f>
        <v/>
      </c>
      <c r="AT25">
        <f>AND(OR(N25&lt;&gt;"",S25&lt;&gt;""),B25="No")</f>
        <v/>
      </c>
      <c r="AU25">
        <f>AND(N25&lt;&gt;"",X25&lt;&gt;"",B25="No")</f>
        <v/>
      </c>
      <c r="AV25">
        <f>AND(OR(N25&lt;&gt;"",X25&lt;&gt;""),B25="No")</f>
        <v/>
      </c>
      <c r="AW25">
        <f>AND(S25&lt;&gt;"",X25&lt;&gt;"",B25="No")</f>
        <v/>
      </c>
      <c r="AX25">
        <f>AND(OR(S25&lt;&gt;"",X25&lt;&gt;""),B25="No")</f>
        <v/>
      </c>
    </row>
    <row r="26">
      <c r="A26" s="44" t="inlineStr">
        <is>
          <t>GS.3.6</t>
        </is>
      </c>
      <c r="B26" s="47" t="inlineStr">
        <is>
          <t>No</t>
        </is>
      </c>
      <c r="C26" s="47" t="n"/>
      <c r="D26" s="34" t="n"/>
      <c r="E26" s="35" t="n"/>
      <c r="F26" s="35" t="n"/>
      <c r="G26" s="35" t="n"/>
      <c r="H26" s="35" t="n"/>
      <c r="I26" s="37">
        <f>IF(COUNTA(E26:H26)&gt;0,"X","")</f>
        <v/>
      </c>
      <c r="J26" s="35" t="inlineStr">
        <is>
          <t>X</t>
        </is>
      </c>
      <c r="K26" s="35" t="n"/>
      <c r="L26" s="35" t="n"/>
      <c r="M26" s="35" t="n"/>
      <c r="N26" s="37">
        <f>IF(COUNTA(J26:M26)&gt;0,"X","")</f>
        <v/>
      </c>
      <c r="O26" s="35" t="n"/>
      <c r="P26" s="35" t="n"/>
      <c r="Q26" s="35" t="n"/>
      <c r="R26" s="35" t="n"/>
      <c r="S26" s="37">
        <f>IF(COUNTA(O26:R26)&gt;0,"X","")</f>
        <v/>
      </c>
      <c r="T26" s="35" t="n"/>
      <c r="U26" s="35" t="n"/>
      <c r="V26" s="35" t="inlineStr">
        <is>
          <t>X</t>
        </is>
      </c>
      <c r="W26" s="35" t="n"/>
      <c r="X26" s="37">
        <f>IF(COUNTA(T26:W26)&gt;0,"X","")</f>
        <v/>
      </c>
      <c r="Z26">
        <f>AND(I26&lt;&gt;"",N26&lt;&gt;"")</f>
        <v/>
      </c>
      <c r="AA26">
        <f>OR(I26&lt;&gt;"",N26&lt;&gt;"")</f>
        <v/>
      </c>
      <c r="AB26">
        <f>AND(I26&lt;&gt;"",S26&lt;&gt;"")</f>
        <v/>
      </c>
      <c r="AC26">
        <f>OR(I26&lt;&gt;"",S26&lt;&gt;"")</f>
        <v/>
      </c>
      <c r="AD26">
        <f>AND(I26&lt;&gt;"",X26&lt;&gt;"")</f>
        <v/>
      </c>
      <c r="AE26">
        <f>OR(I26&lt;&gt;"",X26&lt;&gt;"")</f>
        <v/>
      </c>
      <c r="AF26">
        <f>AND(N26&lt;&gt;"",S26&lt;&gt;"")</f>
        <v/>
      </c>
      <c r="AG26">
        <f>OR(N26&lt;&gt;"",S26&lt;&gt;"")</f>
        <v/>
      </c>
      <c r="AH26">
        <f>AND(N26&lt;&gt;"",X26&lt;&gt;"")</f>
        <v/>
      </c>
      <c r="AI26">
        <f>OR(N26&lt;&gt;"",X26&lt;&gt;"")</f>
        <v/>
      </c>
      <c r="AJ26">
        <f>AND(S26&lt;&gt;"",X26&lt;&gt;"")</f>
        <v/>
      </c>
      <c r="AK26">
        <f>OR(S26&lt;&gt;"",X26&lt;&gt;"")</f>
        <v/>
      </c>
      <c r="AM26">
        <f>AND(I26&lt;&gt;"",N26&lt;&gt;"",B26="No")</f>
        <v/>
      </c>
      <c r="AN26">
        <f>AND(OR(I26&lt;&gt;"",N26&lt;&gt;""),B26="No")</f>
        <v/>
      </c>
      <c r="AO26">
        <f>AND(I26&lt;&gt;"",S26&lt;&gt;"",B26="No")</f>
        <v/>
      </c>
      <c r="AP26">
        <f>AND(OR(I26&lt;&gt;"",S26&lt;&gt;""),B26="No")</f>
        <v/>
      </c>
      <c r="AQ26">
        <f>AND(I26&lt;&gt;"",X26&lt;&gt;"",B26="No")</f>
        <v/>
      </c>
      <c r="AR26">
        <f>AND(OR(I26&lt;&gt;"",X26&lt;&gt;""),B26="No")</f>
        <v/>
      </c>
      <c r="AS26">
        <f>AND(N26&lt;&gt;"",S26&lt;&gt;"",B26="No")</f>
        <v/>
      </c>
      <c r="AT26">
        <f>AND(OR(N26&lt;&gt;"",S26&lt;&gt;""),B26="No")</f>
        <v/>
      </c>
      <c r="AU26">
        <f>AND(N26&lt;&gt;"",X26&lt;&gt;"",B26="No")</f>
        <v/>
      </c>
      <c r="AV26">
        <f>AND(OR(N26&lt;&gt;"",X26&lt;&gt;""),B26="No")</f>
        <v/>
      </c>
      <c r="AW26">
        <f>AND(S26&lt;&gt;"",X26&lt;&gt;"",B26="No")</f>
        <v/>
      </c>
      <c r="AX26">
        <f>AND(OR(S26&lt;&gt;"",X26&lt;&gt;""),B26="No")</f>
        <v/>
      </c>
    </row>
    <row r="27">
      <c r="A27" s="44" t="inlineStr">
        <is>
          <t>GS.3.8</t>
        </is>
      </c>
      <c r="B27" s="47" t="inlineStr">
        <is>
          <t>No</t>
        </is>
      </c>
      <c r="C27" s="47" t="n"/>
      <c r="D27" s="34" t="n"/>
      <c r="E27" s="35" t="n"/>
      <c r="F27" s="35" t="n"/>
      <c r="G27" s="35" t="n"/>
      <c r="H27" s="35" t="n"/>
      <c r="I27" s="37">
        <f>IF(COUNTA(E27:H27)&gt;0,"X","")</f>
        <v/>
      </c>
      <c r="J27" s="35" t="n"/>
      <c r="K27" s="35" t="n"/>
      <c r="L27" s="35" t="n"/>
      <c r="M27" s="35" t="n"/>
      <c r="N27" s="37">
        <f>IF(COUNTA(J27:M27)&gt;0,"X","")</f>
        <v/>
      </c>
      <c r="O27" s="35" t="n"/>
      <c r="P27" s="35" t="n"/>
      <c r="Q27" s="35" t="n"/>
      <c r="R27" s="35" t="n"/>
      <c r="S27" s="37">
        <f>IF(COUNTA(O27:R27)&gt;0,"X","")</f>
        <v/>
      </c>
      <c r="T27" s="35" t="n"/>
      <c r="U27" s="35" t="n"/>
      <c r="V27" s="35" t="n"/>
      <c r="W27" s="35" t="n"/>
      <c r="X27" s="37">
        <f>IF(COUNTA(T27:W27)&gt;0,"X","")</f>
        <v/>
      </c>
      <c r="Z27">
        <f>AND(I27&lt;&gt;"",N27&lt;&gt;"")</f>
        <v/>
      </c>
      <c r="AA27">
        <f>OR(I27&lt;&gt;"",N27&lt;&gt;"")</f>
        <v/>
      </c>
      <c r="AB27">
        <f>AND(I27&lt;&gt;"",S27&lt;&gt;"")</f>
        <v/>
      </c>
      <c r="AC27">
        <f>OR(I27&lt;&gt;"",S27&lt;&gt;"")</f>
        <v/>
      </c>
      <c r="AD27">
        <f>AND(I27&lt;&gt;"",X27&lt;&gt;"")</f>
        <v/>
      </c>
      <c r="AE27">
        <f>OR(I27&lt;&gt;"",X27&lt;&gt;"")</f>
        <v/>
      </c>
      <c r="AF27">
        <f>AND(N27&lt;&gt;"",S27&lt;&gt;"")</f>
        <v/>
      </c>
      <c r="AG27">
        <f>OR(N27&lt;&gt;"",S27&lt;&gt;"")</f>
        <v/>
      </c>
      <c r="AH27">
        <f>AND(N27&lt;&gt;"",X27&lt;&gt;"")</f>
        <v/>
      </c>
      <c r="AI27">
        <f>OR(N27&lt;&gt;"",X27&lt;&gt;"")</f>
        <v/>
      </c>
      <c r="AJ27">
        <f>AND(S27&lt;&gt;"",X27&lt;&gt;"")</f>
        <v/>
      </c>
      <c r="AK27">
        <f>OR(S27&lt;&gt;"",X27&lt;&gt;"")</f>
        <v/>
      </c>
      <c r="AM27">
        <f>AND(I27&lt;&gt;"",N27&lt;&gt;"",B27="No")</f>
        <v/>
      </c>
      <c r="AN27">
        <f>AND(OR(I27&lt;&gt;"",N27&lt;&gt;""),B27="No")</f>
        <v/>
      </c>
      <c r="AO27">
        <f>AND(I27&lt;&gt;"",S27&lt;&gt;"",B27="No")</f>
        <v/>
      </c>
      <c r="AP27">
        <f>AND(OR(I27&lt;&gt;"",S27&lt;&gt;""),B27="No")</f>
        <v/>
      </c>
      <c r="AQ27">
        <f>AND(I27&lt;&gt;"",X27&lt;&gt;"",B27="No")</f>
        <v/>
      </c>
      <c r="AR27">
        <f>AND(OR(I27&lt;&gt;"",X27&lt;&gt;""),B27="No")</f>
        <v/>
      </c>
      <c r="AS27">
        <f>AND(N27&lt;&gt;"",S27&lt;&gt;"",B27="No")</f>
        <v/>
      </c>
      <c r="AT27">
        <f>AND(OR(N27&lt;&gt;"",S27&lt;&gt;""),B27="No")</f>
        <v/>
      </c>
      <c r="AU27">
        <f>AND(N27&lt;&gt;"",X27&lt;&gt;"",B27="No")</f>
        <v/>
      </c>
      <c r="AV27">
        <f>AND(OR(N27&lt;&gt;"",X27&lt;&gt;""),B27="No")</f>
        <v/>
      </c>
      <c r="AW27">
        <f>AND(S27&lt;&gt;"",X27&lt;&gt;"",B27="No")</f>
        <v/>
      </c>
      <c r="AX27">
        <f>AND(OR(S27&lt;&gt;"",X27&lt;&gt;""),B27="No")</f>
        <v/>
      </c>
    </row>
    <row r="28" ht="43.5" customHeight="1" s="54">
      <c r="A28" s="44" t="inlineStr">
        <is>
          <t>L0.3.3; L0_ii.3.2; Q0_ii.3.2; Q0_iii.3.3; Q0_iv.3.1; M0_ii.3.1; M0_iii.3.1</t>
        </is>
      </c>
      <c r="B28" s="47" t="inlineStr">
        <is>
          <t>Yes</t>
        </is>
      </c>
      <c r="C28" t="inlineStr">
        <is>
          <t>Scope misalignment</t>
        </is>
      </c>
      <c r="D28" s="34" t="n"/>
      <c r="E28" s="35" t="inlineStr">
        <is>
          <t>X</t>
        </is>
      </c>
      <c r="F28" s="35" t="inlineStr">
        <is>
          <t>X</t>
        </is>
      </c>
      <c r="G28" s="35" t="n"/>
      <c r="H28" s="35" t="n"/>
      <c r="I28" s="37">
        <f>IF(COUNTA(E28:H28)&gt;0,"X","")</f>
        <v/>
      </c>
      <c r="J28" s="35" t="n"/>
      <c r="K28" s="35" t="inlineStr">
        <is>
          <t>X</t>
        </is>
      </c>
      <c r="L28" s="35" t="inlineStr">
        <is>
          <t>X</t>
        </is>
      </c>
      <c r="M28" s="35" t="inlineStr">
        <is>
          <t>X</t>
        </is>
      </c>
      <c r="N28" s="37">
        <f>IF(COUNTA(J28:M28)&gt;0,"X","")</f>
        <v/>
      </c>
      <c r="O28" s="35" t="n"/>
      <c r="P28" s="35" t="inlineStr">
        <is>
          <t>X</t>
        </is>
      </c>
      <c r="Q28" s="35" t="inlineStr">
        <is>
          <t>X</t>
        </is>
      </c>
      <c r="R28" s="35" t="n"/>
      <c r="S28" s="37">
        <f>IF(COUNTA(O28:R28)&gt;0,"X","")</f>
        <v/>
      </c>
      <c r="T28" s="35" t="n"/>
      <c r="U28" s="35" t="n"/>
      <c r="V28" s="35" t="n"/>
      <c r="W28" s="35" t="n"/>
      <c r="X28" s="37">
        <f>IF(COUNTA(T28:W28)&gt;0,"X","")</f>
        <v/>
      </c>
      <c r="Z28">
        <f>AND(I28&lt;&gt;"",N28&lt;&gt;"")</f>
        <v/>
      </c>
      <c r="AA28">
        <f>OR(I28&lt;&gt;"",N28&lt;&gt;"")</f>
        <v/>
      </c>
      <c r="AB28">
        <f>AND(I28&lt;&gt;"",S28&lt;&gt;"")</f>
        <v/>
      </c>
      <c r="AC28">
        <f>OR(I28&lt;&gt;"",S28&lt;&gt;"")</f>
        <v/>
      </c>
      <c r="AD28">
        <f>AND(I28&lt;&gt;"",X28&lt;&gt;"")</f>
        <v/>
      </c>
      <c r="AE28">
        <f>OR(I28&lt;&gt;"",X28&lt;&gt;"")</f>
        <v/>
      </c>
      <c r="AF28">
        <f>AND(N28&lt;&gt;"",S28&lt;&gt;"")</f>
        <v/>
      </c>
      <c r="AG28">
        <f>OR(N28&lt;&gt;"",S28&lt;&gt;"")</f>
        <v/>
      </c>
      <c r="AH28">
        <f>AND(N28&lt;&gt;"",X28&lt;&gt;"")</f>
        <v/>
      </c>
      <c r="AI28">
        <f>OR(N28&lt;&gt;"",X28&lt;&gt;"")</f>
        <v/>
      </c>
      <c r="AJ28">
        <f>AND(S28&lt;&gt;"",X28&lt;&gt;"")</f>
        <v/>
      </c>
      <c r="AK28">
        <f>OR(S28&lt;&gt;"",X28&lt;&gt;"")</f>
        <v/>
      </c>
      <c r="AM28">
        <f>AND(I28&lt;&gt;"",N28&lt;&gt;"",B28="No")</f>
        <v/>
      </c>
      <c r="AN28">
        <f>AND(OR(I28&lt;&gt;"",N28&lt;&gt;""),B28="No")</f>
        <v/>
      </c>
      <c r="AO28">
        <f>AND(I28&lt;&gt;"",S28&lt;&gt;"",B28="No")</f>
        <v/>
      </c>
      <c r="AP28">
        <f>AND(OR(I28&lt;&gt;"",S28&lt;&gt;""),B28="No")</f>
        <v/>
      </c>
      <c r="AQ28">
        <f>AND(I28&lt;&gt;"",X28&lt;&gt;"",B28="No")</f>
        <v/>
      </c>
      <c r="AR28">
        <f>AND(OR(I28&lt;&gt;"",X28&lt;&gt;""),B28="No")</f>
        <v/>
      </c>
      <c r="AS28">
        <f>AND(N28&lt;&gt;"",S28&lt;&gt;"",B28="No")</f>
        <v/>
      </c>
      <c r="AT28">
        <f>AND(OR(N28&lt;&gt;"",S28&lt;&gt;""),B28="No")</f>
        <v/>
      </c>
      <c r="AU28">
        <f>AND(N28&lt;&gt;"",X28&lt;&gt;"",B28="No")</f>
        <v/>
      </c>
      <c r="AV28">
        <f>AND(OR(N28&lt;&gt;"",X28&lt;&gt;""),B28="No")</f>
        <v/>
      </c>
      <c r="AW28">
        <f>AND(S28&lt;&gt;"",X28&lt;&gt;"",B28="No")</f>
        <v/>
      </c>
      <c r="AX28">
        <f>AND(OR(S28&lt;&gt;"",X28&lt;&gt;""),B28="No")</f>
        <v/>
      </c>
    </row>
    <row r="29">
      <c r="A29" s="44" t="inlineStr">
        <is>
          <t>Q0.3.2</t>
        </is>
      </c>
      <c r="B29" s="47" t="inlineStr">
        <is>
          <t>Yes</t>
        </is>
      </c>
      <c r="C29" t="inlineStr">
        <is>
          <t>Contextual misfit</t>
        </is>
      </c>
      <c r="D29" s="34" t="n"/>
      <c r="E29" s="35" t="n"/>
      <c r="F29" s="35" t="n"/>
      <c r="G29" s="35" t="n"/>
      <c r="H29" s="35" t="n"/>
      <c r="I29" s="37">
        <f>IF(COUNTA(E29:H29)&gt;0,"X","")</f>
        <v/>
      </c>
      <c r="J29" s="35" t="inlineStr">
        <is>
          <t>X</t>
        </is>
      </c>
      <c r="K29" s="35" t="n"/>
      <c r="L29" s="35" t="n"/>
      <c r="M29" s="35" t="n"/>
      <c r="N29" s="37">
        <f>IF(COUNTA(J29:M29)&gt;0,"X","")</f>
        <v/>
      </c>
      <c r="O29" s="35" t="n"/>
      <c r="P29" s="35" t="n"/>
      <c r="Q29" s="35" t="n"/>
      <c r="R29" s="35" t="n"/>
      <c r="S29" s="37">
        <f>IF(COUNTA(O29:R29)&gt;0,"X","")</f>
        <v/>
      </c>
      <c r="T29" s="35" t="n"/>
      <c r="U29" s="35" t="n"/>
      <c r="V29" s="35" t="n"/>
      <c r="W29" s="35" t="n"/>
      <c r="X29" s="37">
        <f>IF(COUNTA(T29:W29)&gt;0,"X","")</f>
        <v/>
      </c>
      <c r="Z29">
        <f>AND(I29&lt;&gt;"",N29&lt;&gt;"")</f>
        <v/>
      </c>
      <c r="AA29">
        <f>OR(I29&lt;&gt;"",N29&lt;&gt;"")</f>
        <v/>
      </c>
      <c r="AB29">
        <f>AND(I29&lt;&gt;"",S29&lt;&gt;"")</f>
        <v/>
      </c>
      <c r="AC29">
        <f>OR(I29&lt;&gt;"",S29&lt;&gt;"")</f>
        <v/>
      </c>
      <c r="AD29">
        <f>AND(I29&lt;&gt;"",X29&lt;&gt;"")</f>
        <v/>
      </c>
      <c r="AE29">
        <f>OR(I29&lt;&gt;"",X29&lt;&gt;"")</f>
        <v/>
      </c>
      <c r="AF29">
        <f>AND(N29&lt;&gt;"",S29&lt;&gt;"")</f>
        <v/>
      </c>
      <c r="AG29">
        <f>OR(N29&lt;&gt;"",S29&lt;&gt;"")</f>
        <v/>
      </c>
      <c r="AH29">
        <f>AND(N29&lt;&gt;"",X29&lt;&gt;"")</f>
        <v/>
      </c>
      <c r="AI29">
        <f>OR(N29&lt;&gt;"",X29&lt;&gt;"")</f>
        <v/>
      </c>
      <c r="AJ29">
        <f>AND(S29&lt;&gt;"",X29&lt;&gt;"")</f>
        <v/>
      </c>
      <c r="AK29">
        <f>OR(S29&lt;&gt;"",X29&lt;&gt;"")</f>
        <v/>
      </c>
      <c r="AM29">
        <f>AND(I29&lt;&gt;"",N29&lt;&gt;"",B29="No")</f>
        <v/>
      </c>
      <c r="AN29">
        <f>AND(OR(I29&lt;&gt;"",N29&lt;&gt;""),B29="No")</f>
        <v/>
      </c>
      <c r="AO29">
        <f>AND(I29&lt;&gt;"",S29&lt;&gt;"",B29="No")</f>
        <v/>
      </c>
      <c r="AP29">
        <f>AND(OR(I29&lt;&gt;"",S29&lt;&gt;""),B29="No")</f>
        <v/>
      </c>
      <c r="AQ29">
        <f>AND(I29&lt;&gt;"",X29&lt;&gt;"",B29="No")</f>
        <v/>
      </c>
      <c r="AR29">
        <f>AND(OR(I29&lt;&gt;"",X29&lt;&gt;""),B29="No")</f>
        <v/>
      </c>
      <c r="AS29">
        <f>AND(N29&lt;&gt;"",S29&lt;&gt;"",B29="No")</f>
        <v/>
      </c>
      <c r="AT29">
        <f>AND(OR(N29&lt;&gt;"",S29&lt;&gt;""),B29="No")</f>
        <v/>
      </c>
      <c r="AU29">
        <f>AND(N29&lt;&gt;"",X29&lt;&gt;"",B29="No")</f>
        <v/>
      </c>
      <c r="AV29">
        <f>AND(OR(N29&lt;&gt;"",X29&lt;&gt;""),B29="No")</f>
        <v/>
      </c>
      <c r="AW29">
        <f>AND(S29&lt;&gt;"",X29&lt;&gt;"",B29="No")</f>
        <v/>
      </c>
      <c r="AX29">
        <f>AND(OR(S29&lt;&gt;"",X29&lt;&gt;""),B29="No")</f>
        <v/>
      </c>
    </row>
    <row r="30">
      <c r="A30" s="44" t="inlineStr">
        <is>
          <t>Q0.3.7</t>
        </is>
      </c>
      <c r="B30" s="47" t="inlineStr">
        <is>
          <t>Yes</t>
        </is>
      </c>
      <c r="C30" t="inlineStr">
        <is>
          <t>Contextual misfit</t>
        </is>
      </c>
      <c r="D30" s="34" t="n"/>
      <c r="E30" s="35" t="n"/>
      <c r="F30" s="35" t="n"/>
      <c r="G30" s="35" t="n"/>
      <c r="H30" s="35" t="n"/>
      <c r="I30" s="37">
        <f>IF(COUNTA(E30:H30)&gt;0,"X","")</f>
        <v/>
      </c>
      <c r="J30" s="35" t="inlineStr">
        <is>
          <t>X</t>
        </is>
      </c>
      <c r="K30" s="35" t="n"/>
      <c r="L30" s="35" t="n"/>
      <c r="M30" s="35" t="n"/>
      <c r="N30" s="37">
        <f>IF(COUNTA(J30:M30)&gt;0,"X","")</f>
        <v/>
      </c>
      <c r="O30" s="35" t="n"/>
      <c r="P30" s="35" t="n"/>
      <c r="Q30" s="35" t="n"/>
      <c r="R30" s="35" t="n"/>
      <c r="S30" s="37">
        <f>IF(COUNTA(O30:R30)&gt;0,"X","")</f>
        <v/>
      </c>
      <c r="T30" s="35" t="n"/>
      <c r="U30" s="35" t="n"/>
      <c r="V30" s="35" t="n"/>
      <c r="W30" s="35" t="n"/>
      <c r="X30" s="37">
        <f>IF(COUNTA(T30:W30)&gt;0,"X","")</f>
        <v/>
      </c>
      <c r="Z30">
        <f>AND(I30&lt;&gt;"",N30&lt;&gt;"")</f>
        <v/>
      </c>
      <c r="AA30">
        <f>OR(I30&lt;&gt;"",N30&lt;&gt;"")</f>
        <v/>
      </c>
      <c r="AB30">
        <f>AND(I30&lt;&gt;"",S30&lt;&gt;"")</f>
        <v/>
      </c>
      <c r="AC30">
        <f>OR(I30&lt;&gt;"",S30&lt;&gt;"")</f>
        <v/>
      </c>
      <c r="AD30">
        <f>AND(I30&lt;&gt;"",X30&lt;&gt;"")</f>
        <v/>
      </c>
      <c r="AE30">
        <f>OR(I30&lt;&gt;"",X30&lt;&gt;"")</f>
        <v/>
      </c>
      <c r="AF30">
        <f>AND(N30&lt;&gt;"",S30&lt;&gt;"")</f>
        <v/>
      </c>
      <c r="AG30">
        <f>OR(N30&lt;&gt;"",S30&lt;&gt;"")</f>
        <v/>
      </c>
      <c r="AH30">
        <f>AND(N30&lt;&gt;"",X30&lt;&gt;"")</f>
        <v/>
      </c>
      <c r="AI30">
        <f>OR(N30&lt;&gt;"",X30&lt;&gt;"")</f>
        <v/>
      </c>
      <c r="AJ30">
        <f>AND(S30&lt;&gt;"",X30&lt;&gt;"")</f>
        <v/>
      </c>
      <c r="AK30">
        <f>OR(S30&lt;&gt;"",X30&lt;&gt;"")</f>
        <v/>
      </c>
      <c r="AM30">
        <f>AND(I30&lt;&gt;"",N30&lt;&gt;"",B30="No")</f>
        <v/>
      </c>
      <c r="AN30">
        <f>AND(OR(I30&lt;&gt;"",N30&lt;&gt;""),B30="No")</f>
        <v/>
      </c>
      <c r="AO30">
        <f>AND(I30&lt;&gt;"",S30&lt;&gt;"",B30="No")</f>
        <v/>
      </c>
      <c r="AP30">
        <f>AND(OR(I30&lt;&gt;"",S30&lt;&gt;""),B30="No")</f>
        <v/>
      </c>
      <c r="AQ30">
        <f>AND(I30&lt;&gt;"",X30&lt;&gt;"",B30="No")</f>
        <v/>
      </c>
      <c r="AR30">
        <f>AND(OR(I30&lt;&gt;"",X30&lt;&gt;""),B30="No")</f>
        <v/>
      </c>
      <c r="AS30">
        <f>AND(N30&lt;&gt;"",S30&lt;&gt;"",B30="No")</f>
        <v/>
      </c>
      <c r="AT30">
        <f>AND(OR(N30&lt;&gt;"",S30&lt;&gt;""),B30="No")</f>
        <v/>
      </c>
      <c r="AU30">
        <f>AND(N30&lt;&gt;"",X30&lt;&gt;"",B30="No")</f>
        <v/>
      </c>
      <c r="AV30">
        <f>AND(OR(N30&lt;&gt;"",X30&lt;&gt;""),B30="No")</f>
        <v/>
      </c>
      <c r="AW30">
        <f>AND(S30&lt;&gt;"",X30&lt;&gt;"",B30="No")</f>
        <v/>
      </c>
      <c r="AX30">
        <f>AND(OR(S30&lt;&gt;"",X30&lt;&gt;""),B30="No")</f>
        <v/>
      </c>
    </row>
    <row r="31">
      <c r="A31" s="44" t="inlineStr">
        <is>
          <t>Q0.3.8</t>
        </is>
      </c>
      <c r="B31" s="47" t="inlineStr">
        <is>
          <t>Yes</t>
        </is>
      </c>
      <c r="C31" t="inlineStr">
        <is>
          <t>Template drift</t>
        </is>
      </c>
      <c r="D31" s="34" t="n"/>
      <c r="E31" s="35" t="n"/>
      <c r="F31" s="35" t="n"/>
      <c r="G31" s="35" t="n"/>
      <c r="H31" s="35" t="n"/>
      <c r="I31" s="37">
        <f>IF(COUNTA(E31:H31)&gt;0,"X","")</f>
        <v/>
      </c>
      <c r="J31" s="35" t="inlineStr">
        <is>
          <t>X</t>
        </is>
      </c>
      <c r="K31" s="35" t="n"/>
      <c r="L31" s="35" t="n"/>
      <c r="M31" s="35" t="n"/>
      <c r="N31" s="37">
        <f>IF(COUNTA(J31:M31)&gt;0,"X","")</f>
        <v/>
      </c>
      <c r="O31" s="35" t="n"/>
      <c r="P31" s="35" t="n"/>
      <c r="Q31" s="35" t="n"/>
      <c r="R31" s="35" t="n"/>
      <c r="S31" s="37">
        <f>IF(COUNTA(O31:R31)&gt;0,"X","")</f>
        <v/>
      </c>
      <c r="T31" s="35" t="n"/>
      <c r="U31" s="35" t="n"/>
      <c r="V31" s="35" t="n"/>
      <c r="W31" s="35" t="n"/>
      <c r="X31" s="37">
        <f>IF(COUNTA(T31:W31)&gt;0,"X","")</f>
        <v/>
      </c>
      <c r="Z31">
        <f>AND(I31&lt;&gt;"",N31&lt;&gt;"")</f>
        <v/>
      </c>
      <c r="AA31">
        <f>OR(I31&lt;&gt;"",N31&lt;&gt;"")</f>
        <v/>
      </c>
      <c r="AB31">
        <f>AND(I31&lt;&gt;"",S31&lt;&gt;"")</f>
        <v/>
      </c>
      <c r="AC31">
        <f>OR(I31&lt;&gt;"",S31&lt;&gt;"")</f>
        <v/>
      </c>
      <c r="AD31">
        <f>AND(I31&lt;&gt;"",X31&lt;&gt;"")</f>
        <v/>
      </c>
      <c r="AE31">
        <f>OR(I31&lt;&gt;"",X31&lt;&gt;"")</f>
        <v/>
      </c>
      <c r="AF31">
        <f>AND(N31&lt;&gt;"",S31&lt;&gt;"")</f>
        <v/>
      </c>
      <c r="AG31">
        <f>OR(N31&lt;&gt;"",S31&lt;&gt;"")</f>
        <v/>
      </c>
      <c r="AH31">
        <f>AND(N31&lt;&gt;"",X31&lt;&gt;"")</f>
        <v/>
      </c>
      <c r="AI31">
        <f>OR(N31&lt;&gt;"",X31&lt;&gt;"")</f>
        <v/>
      </c>
      <c r="AJ31">
        <f>AND(S31&lt;&gt;"",X31&lt;&gt;"")</f>
        <v/>
      </c>
      <c r="AK31">
        <f>OR(S31&lt;&gt;"",X31&lt;&gt;"")</f>
        <v/>
      </c>
      <c r="AM31">
        <f>AND(I31&lt;&gt;"",N31&lt;&gt;"",B31="No")</f>
        <v/>
      </c>
      <c r="AN31">
        <f>AND(OR(I31&lt;&gt;"",N31&lt;&gt;""),B31="No")</f>
        <v/>
      </c>
      <c r="AO31">
        <f>AND(I31&lt;&gt;"",S31&lt;&gt;"",B31="No")</f>
        <v/>
      </c>
      <c r="AP31">
        <f>AND(OR(I31&lt;&gt;"",S31&lt;&gt;""),B31="No")</f>
        <v/>
      </c>
      <c r="AQ31">
        <f>AND(I31&lt;&gt;"",X31&lt;&gt;"",B31="No")</f>
        <v/>
      </c>
      <c r="AR31">
        <f>AND(OR(I31&lt;&gt;"",X31&lt;&gt;""),B31="No")</f>
        <v/>
      </c>
      <c r="AS31">
        <f>AND(N31&lt;&gt;"",S31&lt;&gt;"",B31="No")</f>
        <v/>
      </c>
      <c r="AT31">
        <f>AND(OR(N31&lt;&gt;"",S31&lt;&gt;""),B31="No")</f>
        <v/>
      </c>
      <c r="AU31">
        <f>AND(N31&lt;&gt;"",X31&lt;&gt;"",B31="No")</f>
        <v/>
      </c>
      <c r="AV31">
        <f>AND(OR(N31&lt;&gt;"",X31&lt;&gt;""),B31="No")</f>
        <v/>
      </c>
      <c r="AW31">
        <f>AND(S31&lt;&gt;"",X31&lt;&gt;"",B31="No")</f>
        <v/>
      </c>
      <c r="AX31">
        <f>AND(OR(S31&lt;&gt;"",X31&lt;&gt;""),B31="No")</f>
        <v/>
      </c>
    </row>
    <row r="32">
      <c r="A32" s="44" t="inlineStr">
        <is>
          <t>Q0.3.9</t>
        </is>
      </c>
      <c r="B32" s="47" t="inlineStr">
        <is>
          <t>Yes</t>
        </is>
      </c>
      <c r="C32" t="inlineStr">
        <is>
          <t>Template drift</t>
        </is>
      </c>
      <c r="D32" s="34" t="n"/>
      <c r="E32" s="35" t="n"/>
      <c r="F32" s="35" t="n"/>
      <c r="G32" s="35" t="n"/>
      <c r="H32" s="35" t="n"/>
      <c r="I32" s="37">
        <f>IF(COUNTA(E32:H32)&gt;0,"X","")</f>
        <v/>
      </c>
      <c r="J32" s="35" t="inlineStr">
        <is>
          <t>X</t>
        </is>
      </c>
      <c r="K32" s="35" t="n"/>
      <c r="L32" s="35" t="n"/>
      <c r="M32" s="35" t="n"/>
      <c r="N32" s="37">
        <f>IF(COUNTA(J32:M32)&gt;0,"X","")</f>
        <v/>
      </c>
      <c r="O32" s="35" t="n"/>
      <c r="P32" s="35" t="n"/>
      <c r="Q32" s="35" t="n"/>
      <c r="R32" s="35" t="n"/>
      <c r="S32" s="37">
        <f>IF(COUNTA(O32:R32)&gt;0,"X","")</f>
        <v/>
      </c>
      <c r="T32" s="35" t="n"/>
      <c r="U32" s="35" t="n"/>
      <c r="V32" s="35" t="n"/>
      <c r="W32" s="35" t="n"/>
      <c r="X32" s="37">
        <f>IF(COUNTA(T32:W32)&gt;0,"X","")</f>
        <v/>
      </c>
      <c r="Z32">
        <f>AND(I32&lt;&gt;"",N32&lt;&gt;"")</f>
        <v/>
      </c>
      <c r="AA32">
        <f>OR(I32&lt;&gt;"",N32&lt;&gt;"")</f>
        <v/>
      </c>
      <c r="AB32">
        <f>AND(I32&lt;&gt;"",S32&lt;&gt;"")</f>
        <v/>
      </c>
      <c r="AC32">
        <f>OR(I32&lt;&gt;"",S32&lt;&gt;"")</f>
        <v/>
      </c>
      <c r="AD32">
        <f>AND(I32&lt;&gt;"",X32&lt;&gt;"")</f>
        <v/>
      </c>
      <c r="AE32">
        <f>OR(I32&lt;&gt;"",X32&lt;&gt;"")</f>
        <v/>
      </c>
      <c r="AF32">
        <f>AND(N32&lt;&gt;"",S32&lt;&gt;"")</f>
        <v/>
      </c>
      <c r="AG32">
        <f>OR(N32&lt;&gt;"",S32&lt;&gt;"")</f>
        <v/>
      </c>
      <c r="AH32">
        <f>AND(N32&lt;&gt;"",X32&lt;&gt;"")</f>
        <v/>
      </c>
      <c r="AI32">
        <f>OR(N32&lt;&gt;"",X32&lt;&gt;"")</f>
        <v/>
      </c>
      <c r="AJ32">
        <f>AND(S32&lt;&gt;"",X32&lt;&gt;"")</f>
        <v/>
      </c>
      <c r="AK32">
        <f>OR(S32&lt;&gt;"",X32&lt;&gt;"")</f>
        <v/>
      </c>
      <c r="AM32">
        <f>AND(I32&lt;&gt;"",N32&lt;&gt;"",B32="No")</f>
        <v/>
      </c>
      <c r="AN32">
        <f>AND(OR(I32&lt;&gt;"",N32&lt;&gt;""),B32="No")</f>
        <v/>
      </c>
      <c r="AO32">
        <f>AND(I32&lt;&gt;"",S32&lt;&gt;"",B32="No")</f>
        <v/>
      </c>
      <c r="AP32">
        <f>AND(OR(I32&lt;&gt;"",S32&lt;&gt;""),B32="No")</f>
        <v/>
      </c>
      <c r="AQ32">
        <f>AND(I32&lt;&gt;"",X32&lt;&gt;"",B32="No")</f>
        <v/>
      </c>
      <c r="AR32">
        <f>AND(OR(I32&lt;&gt;"",X32&lt;&gt;""),B32="No")</f>
        <v/>
      </c>
      <c r="AS32">
        <f>AND(N32&lt;&gt;"",S32&lt;&gt;"",B32="No")</f>
        <v/>
      </c>
      <c r="AT32">
        <f>AND(OR(N32&lt;&gt;"",S32&lt;&gt;""),B32="No")</f>
        <v/>
      </c>
      <c r="AU32">
        <f>AND(N32&lt;&gt;"",X32&lt;&gt;"",B32="No")</f>
        <v/>
      </c>
      <c r="AV32">
        <f>AND(OR(N32&lt;&gt;"",X32&lt;&gt;""),B32="No")</f>
        <v/>
      </c>
      <c r="AW32">
        <f>AND(S32&lt;&gt;"",X32&lt;&gt;"",B32="No")</f>
        <v/>
      </c>
      <c r="AX32">
        <f>AND(OR(S32&lt;&gt;"",X32&lt;&gt;""),B32="No")</f>
        <v/>
      </c>
    </row>
    <row r="33">
      <c r="A33" s="44" t="inlineStr">
        <is>
          <t>Q0_ii.3.3</t>
        </is>
      </c>
      <c r="B33" s="47" t="inlineStr">
        <is>
          <t>Yes</t>
        </is>
      </c>
      <c r="C33" t="inlineStr">
        <is>
          <t>Contextual misfit</t>
        </is>
      </c>
      <c r="D33" s="34" t="n"/>
      <c r="E33" s="35" t="n"/>
      <c r="F33" s="35" t="n"/>
      <c r="G33" s="35" t="n"/>
      <c r="H33" s="35" t="n"/>
      <c r="I33" s="37">
        <f>IF(COUNTA(E33:H33)&gt;0,"X","")</f>
        <v/>
      </c>
      <c r="J33" s="35" t="n"/>
      <c r="K33" s="35" t="inlineStr">
        <is>
          <t>X</t>
        </is>
      </c>
      <c r="L33" s="35" t="n"/>
      <c r="M33" s="35" t="n"/>
      <c r="N33" s="37">
        <f>IF(COUNTA(J33:M33)&gt;0,"X","")</f>
        <v/>
      </c>
      <c r="O33" s="35" t="n"/>
      <c r="P33" s="35" t="n"/>
      <c r="Q33" s="35" t="n"/>
      <c r="R33" s="35" t="n"/>
      <c r="S33" s="37">
        <f>IF(COUNTA(O33:R33)&gt;0,"X","")</f>
        <v/>
      </c>
      <c r="T33" s="35" t="n"/>
      <c r="U33" s="35" t="n"/>
      <c r="V33" s="35" t="n"/>
      <c r="W33" s="35" t="n"/>
      <c r="X33" s="37">
        <f>IF(COUNTA(T33:W33)&gt;0,"X","")</f>
        <v/>
      </c>
      <c r="Z33">
        <f>AND(I33&lt;&gt;"",N33&lt;&gt;"")</f>
        <v/>
      </c>
      <c r="AA33">
        <f>OR(I33&lt;&gt;"",N33&lt;&gt;"")</f>
        <v/>
      </c>
      <c r="AB33">
        <f>AND(I33&lt;&gt;"",S33&lt;&gt;"")</f>
        <v/>
      </c>
      <c r="AC33">
        <f>OR(I33&lt;&gt;"",S33&lt;&gt;"")</f>
        <v/>
      </c>
      <c r="AD33">
        <f>AND(I33&lt;&gt;"",X33&lt;&gt;"")</f>
        <v/>
      </c>
      <c r="AE33">
        <f>OR(I33&lt;&gt;"",X33&lt;&gt;"")</f>
        <v/>
      </c>
      <c r="AF33">
        <f>AND(N33&lt;&gt;"",S33&lt;&gt;"")</f>
        <v/>
      </c>
      <c r="AG33">
        <f>OR(N33&lt;&gt;"",S33&lt;&gt;"")</f>
        <v/>
      </c>
      <c r="AH33">
        <f>AND(N33&lt;&gt;"",X33&lt;&gt;"")</f>
        <v/>
      </c>
      <c r="AI33">
        <f>OR(N33&lt;&gt;"",X33&lt;&gt;"")</f>
        <v/>
      </c>
      <c r="AJ33">
        <f>AND(S33&lt;&gt;"",X33&lt;&gt;"")</f>
        <v/>
      </c>
      <c r="AK33">
        <f>OR(S33&lt;&gt;"",X33&lt;&gt;"")</f>
        <v/>
      </c>
      <c r="AM33">
        <f>AND(I33&lt;&gt;"",N33&lt;&gt;"",B33="No")</f>
        <v/>
      </c>
      <c r="AN33">
        <f>AND(OR(I33&lt;&gt;"",N33&lt;&gt;""),B33="No")</f>
        <v/>
      </c>
      <c r="AO33">
        <f>AND(I33&lt;&gt;"",S33&lt;&gt;"",B33="No")</f>
        <v/>
      </c>
      <c r="AP33">
        <f>AND(OR(I33&lt;&gt;"",S33&lt;&gt;""),B33="No")</f>
        <v/>
      </c>
      <c r="AQ33">
        <f>AND(I33&lt;&gt;"",X33&lt;&gt;"",B33="No")</f>
        <v/>
      </c>
      <c r="AR33">
        <f>AND(OR(I33&lt;&gt;"",X33&lt;&gt;""),B33="No")</f>
        <v/>
      </c>
      <c r="AS33">
        <f>AND(N33&lt;&gt;"",S33&lt;&gt;"",B33="No")</f>
        <v/>
      </c>
      <c r="AT33">
        <f>AND(OR(N33&lt;&gt;"",S33&lt;&gt;""),B33="No")</f>
        <v/>
      </c>
      <c r="AU33">
        <f>AND(N33&lt;&gt;"",X33&lt;&gt;"",B33="No")</f>
        <v/>
      </c>
      <c r="AV33">
        <f>AND(OR(N33&lt;&gt;"",X33&lt;&gt;""),B33="No")</f>
        <v/>
      </c>
      <c r="AW33">
        <f>AND(S33&lt;&gt;"",X33&lt;&gt;"",B33="No")</f>
        <v/>
      </c>
      <c r="AX33">
        <f>AND(OR(S33&lt;&gt;"",X33&lt;&gt;""),B33="No")</f>
        <v/>
      </c>
    </row>
    <row r="34">
      <c r="A34" s="44" t="inlineStr">
        <is>
          <t>Q0_iii.3.4</t>
        </is>
      </c>
      <c r="B34" s="47" t="inlineStr">
        <is>
          <t>Yes</t>
        </is>
      </c>
      <c r="C34" t="inlineStr">
        <is>
          <t>Template drift</t>
        </is>
      </c>
      <c r="D34" s="34" t="n"/>
      <c r="E34" s="35" t="n"/>
      <c r="F34" s="35" t="n"/>
      <c r="G34" s="35" t="n"/>
      <c r="H34" s="35" t="n"/>
      <c r="I34" s="37">
        <f>IF(COUNTA(E34:H34)&gt;0,"X","")</f>
        <v/>
      </c>
      <c r="J34" s="35" t="n"/>
      <c r="L34" s="35" t="inlineStr">
        <is>
          <t>X</t>
        </is>
      </c>
      <c r="M34" s="35" t="n"/>
      <c r="N34" s="37">
        <f>IF(COUNTA(J34:M34)&gt;0,"X","")</f>
        <v/>
      </c>
      <c r="O34" s="35" t="n"/>
      <c r="P34" s="35" t="n"/>
      <c r="Q34" s="35" t="n"/>
      <c r="R34" s="35" t="n"/>
      <c r="S34" s="37">
        <f>IF(COUNTA(O34:R34)&gt;0,"X","")</f>
        <v/>
      </c>
      <c r="T34" s="35" t="n"/>
      <c r="U34" s="35" t="n"/>
      <c r="V34" s="35" t="n"/>
      <c r="W34" s="35" t="n"/>
      <c r="X34" s="37">
        <f>IF(COUNTA(T34:W34)&gt;0,"X","")</f>
        <v/>
      </c>
      <c r="Z34">
        <f>AND(I34&lt;&gt;"",N34&lt;&gt;"")</f>
        <v/>
      </c>
      <c r="AA34">
        <f>OR(I34&lt;&gt;"",N34&lt;&gt;"")</f>
        <v/>
      </c>
      <c r="AB34">
        <f>AND(I34&lt;&gt;"",S34&lt;&gt;"")</f>
        <v/>
      </c>
      <c r="AC34">
        <f>OR(I34&lt;&gt;"",S34&lt;&gt;"")</f>
        <v/>
      </c>
      <c r="AD34">
        <f>AND(I34&lt;&gt;"",X34&lt;&gt;"")</f>
        <v/>
      </c>
      <c r="AE34">
        <f>OR(I34&lt;&gt;"",X34&lt;&gt;"")</f>
        <v/>
      </c>
      <c r="AF34">
        <f>AND(N34&lt;&gt;"",S34&lt;&gt;"")</f>
        <v/>
      </c>
      <c r="AG34">
        <f>OR(N34&lt;&gt;"",S34&lt;&gt;"")</f>
        <v/>
      </c>
      <c r="AH34">
        <f>AND(N34&lt;&gt;"",X34&lt;&gt;"")</f>
        <v/>
      </c>
      <c r="AI34">
        <f>OR(N34&lt;&gt;"",X34&lt;&gt;"")</f>
        <v/>
      </c>
      <c r="AJ34">
        <f>AND(S34&lt;&gt;"",X34&lt;&gt;"")</f>
        <v/>
      </c>
      <c r="AK34">
        <f>OR(S34&lt;&gt;"",X34&lt;&gt;"")</f>
        <v/>
      </c>
      <c r="AM34">
        <f>AND(I34&lt;&gt;"",N34&lt;&gt;"",B34="No")</f>
        <v/>
      </c>
      <c r="AN34">
        <f>AND(OR(I34&lt;&gt;"",N34&lt;&gt;""),B34="No")</f>
        <v/>
      </c>
      <c r="AO34">
        <f>AND(I34&lt;&gt;"",S34&lt;&gt;"",B34="No")</f>
        <v/>
      </c>
      <c r="AP34">
        <f>AND(OR(I34&lt;&gt;"",S34&lt;&gt;""),B34="No")</f>
        <v/>
      </c>
      <c r="AQ34">
        <f>AND(I34&lt;&gt;"",X34&lt;&gt;"",B34="No")</f>
        <v/>
      </c>
      <c r="AR34">
        <f>AND(OR(I34&lt;&gt;"",X34&lt;&gt;""),B34="No")</f>
        <v/>
      </c>
      <c r="AS34">
        <f>AND(N34&lt;&gt;"",S34&lt;&gt;"",B34="No")</f>
        <v/>
      </c>
      <c r="AT34">
        <f>AND(OR(N34&lt;&gt;"",S34&lt;&gt;""),B34="No")</f>
        <v/>
      </c>
      <c r="AU34">
        <f>AND(N34&lt;&gt;"",X34&lt;&gt;"",B34="No")</f>
        <v/>
      </c>
      <c r="AV34">
        <f>AND(OR(N34&lt;&gt;"",X34&lt;&gt;""),B34="No")</f>
        <v/>
      </c>
      <c r="AW34">
        <f>AND(S34&lt;&gt;"",X34&lt;&gt;"",B34="No")</f>
        <v/>
      </c>
      <c r="AX34">
        <f>AND(OR(S34&lt;&gt;"",X34&lt;&gt;""),B34="No")</f>
        <v/>
      </c>
    </row>
    <row r="35">
      <c r="A35" s="44" t="inlineStr">
        <is>
          <t>Q0_iii.3.5</t>
        </is>
      </c>
      <c r="B35" s="47" t="inlineStr">
        <is>
          <t>Yes</t>
        </is>
      </c>
      <c r="C35" t="inlineStr">
        <is>
          <t>Contextual misfit</t>
        </is>
      </c>
      <c r="D35" s="34" t="n"/>
      <c r="E35" s="35" t="n"/>
      <c r="F35" s="35" t="n"/>
      <c r="G35" s="35" t="n"/>
      <c r="H35" s="35" t="n"/>
      <c r="I35" s="37">
        <f>IF(COUNTA(E35:H35)&gt;0,"X","")</f>
        <v/>
      </c>
      <c r="J35" s="35" t="n"/>
      <c r="K35" s="35" t="n"/>
      <c r="L35" s="35" t="inlineStr">
        <is>
          <t>X</t>
        </is>
      </c>
      <c r="M35" s="35" t="n"/>
      <c r="N35" s="37">
        <f>IF(COUNTA(J35:M35)&gt;0,"X","")</f>
        <v/>
      </c>
      <c r="O35" s="35" t="n"/>
      <c r="P35" s="35" t="n"/>
      <c r="Q35" s="35" t="n"/>
      <c r="R35" s="35" t="n"/>
      <c r="S35" s="37">
        <f>IF(COUNTA(O35:R35)&gt;0,"X","")</f>
        <v/>
      </c>
      <c r="T35" s="35" t="n"/>
      <c r="U35" s="35" t="n"/>
      <c r="V35" s="35" t="n"/>
      <c r="W35" s="35" t="n"/>
      <c r="X35" s="37">
        <f>IF(COUNTA(T35:W35)&gt;0,"X","")</f>
        <v/>
      </c>
      <c r="Z35">
        <f>AND(I35&lt;&gt;"",N35&lt;&gt;"")</f>
        <v/>
      </c>
      <c r="AA35">
        <f>OR(I35&lt;&gt;"",N35&lt;&gt;"")</f>
        <v/>
      </c>
      <c r="AB35">
        <f>AND(I35&lt;&gt;"",S35&lt;&gt;"")</f>
        <v/>
      </c>
      <c r="AC35">
        <f>OR(I35&lt;&gt;"",S35&lt;&gt;"")</f>
        <v/>
      </c>
      <c r="AD35">
        <f>AND(I35&lt;&gt;"",X35&lt;&gt;"")</f>
        <v/>
      </c>
      <c r="AE35">
        <f>OR(I35&lt;&gt;"",X35&lt;&gt;"")</f>
        <v/>
      </c>
      <c r="AF35">
        <f>AND(N35&lt;&gt;"",S35&lt;&gt;"")</f>
        <v/>
      </c>
      <c r="AG35">
        <f>OR(N35&lt;&gt;"",S35&lt;&gt;"")</f>
        <v/>
      </c>
      <c r="AH35">
        <f>AND(N35&lt;&gt;"",X35&lt;&gt;"")</f>
        <v/>
      </c>
      <c r="AI35">
        <f>OR(N35&lt;&gt;"",X35&lt;&gt;"")</f>
        <v/>
      </c>
      <c r="AJ35">
        <f>AND(S35&lt;&gt;"",X35&lt;&gt;"")</f>
        <v/>
      </c>
      <c r="AK35">
        <f>OR(S35&lt;&gt;"",X35&lt;&gt;"")</f>
        <v/>
      </c>
      <c r="AM35">
        <f>AND(I35&lt;&gt;"",N35&lt;&gt;"",B35="No")</f>
        <v/>
      </c>
      <c r="AN35">
        <f>AND(OR(I35&lt;&gt;"",N35&lt;&gt;""),B35="No")</f>
        <v/>
      </c>
      <c r="AO35">
        <f>AND(I35&lt;&gt;"",S35&lt;&gt;"",B35="No")</f>
        <v/>
      </c>
      <c r="AP35">
        <f>AND(OR(I35&lt;&gt;"",S35&lt;&gt;""),B35="No")</f>
        <v/>
      </c>
      <c r="AQ35">
        <f>AND(I35&lt;&gt;"",X35&lt;&gt;"",B35="No")</f>
        <v/>
      </c>
      <c r="AR35">
        <f>AND(OR(I35&lt;&gt;"",X35&lt;&gt;""),B35="No")</f>
        <v/>
      </c>
      <c r="AS35">
        <f>AND(N35&lt;&gt;"",S35&lt;&gt;"",B35="No")</f>
        <v/>
      </c>
      <c r="AT35">
        <f>AND(OR(N35&lt;&gt;"",S35&lt;&gt;""),B35="No")</f>
        <v/>
      </c>
      <c r="AU35">
        <f>AND(N35&lt;&gt;"",X35&lt;&gt;"",B35="No")</f>
        <v/>
      </c>
      <c r="AV35">
        <f>AND(OR(N35&lt;&gt;"",X35&lt;&gt;""),B35="No")</f>
        <v/>
      </c>
      <c r="AW35">
        <f>AND(S35&lt;&gt;"",X35&lt;&gt;"",B35="No")</f>
        <v/>
      </c>
      <c r="AX35">
        <f>AND(OR(S35&lt;&gt;"",X35&lt;&gt;""),B35="No")</f>
        <v/>
      </c>
    </row>
    <row r="36">
      <c r="A36" s="44" t="inlineStr">
        <is>
          <t>Q0_iii.3.6</t>
        </is>
      </c>
      <c r="B36" s="47" t="inlineStr">
        <is>
          <t>Yes</t>
        </is>
      </c>
      <c r="C36" t="inlineStr">
        <is>
          <t>Architectural infeasibility</t>
        </is>
      </c>
      <c r="D36" s="34" t="n"/>
      <c r="E36" s="35" t="n"/>
      <c r="F36" s="35" t="n"/>
      <c r="G36" s="35" t="n"/>
      <c r="H36" s="35" t="n"/>
      <c r="I36" s="37">
        <f>IF(COUNTA(E36:H36)&gt;0,"X","")</f>
        <v/>
      </c>
      <c r="J36" s="35" t="n"/>
      <c r="K36" s="35" t="n"/>
      <c r="L36" s="35" t="inlineStr">
        <is>
          <t>X</t>
        </is>
      </c>
      <c r="M36" s="35" t="n"/>
      <c r="N36" s="37">
        <f>IF(COUNTA(J36:M36)&gt;0,"X","")</f>
        <v/>
      </c>
      <c r="O36" s="35" t="n"/>
      <c r="P36" s="35" t="n"/>
      <c r="Q36" s="35" t="n"/>
      <c r="R36" s="35" t="n"/>
      <c r="S36" s="37">
        <f>IF(COUNTA(O36:R36)&gt;0,"X","")</f>
        <v/>
      </c>
      <c r="T36" s="35" t="n"/>
      <c r="U36" s="35" t="n"/>
      <c r="V36" s="35" t="n"/>
      <c r="W36" s="35" t="n"/>
      <c r="X36" s="37">
        <f>IF(COUNTA(T36:W36)&gt;0,"X","")</f>
        <v/>
      </c>
      <c r="Z36">
        <f>AND(I36&lt;&gt;"",N36&lt;&gt;"")</f>
        <v/>
      </c>
      <c r="AA36">
        <f>OR(I36&lt;&gt;"",N36&lt;&gt;"")</f>
        <v/>
      </c>
      <c r="AB36">
        <f>AND(I36&lt;&gt;"",S36&lt;&gt;"")</f>
        <v/>
      </c>
      <c r="AC36">
        <f>OR(I36&lt;&gt;"",S36&lt;&gt;"")</f>
        <v/>
      </c>
      <c r="AD36">
        <f>AND(I36&lt;&gt;"",X36&lt;&gt;"")</f>
        <v/>
      </c>
      <c r="AE36">
        <f>OR(I36&lt;&gt;"",X36&lt;&gt;"")</f>
        <v/>
      </c>
      <c r="AF36">
        <f>AND(N36&lt;&gt;"",S36&lt;&gt;"")</f>
        <v/>
      </c>
      <c r="AG36">
        <f>OR(N36&lt;&gt;"",S36&lt;&gt;"")</f>
        <v/>
      </c>
      <c r="AH36">
        <f>AND(N36&lt;&gt;"",X36&lt;&gt;"")</f>
        <v/>
      </c>
      <c r="AI36">
        <f>OR(N36&lt;&gt;"",X36&lt;&gt;"")</f>
        <v/>
      </c>
      <c r="AJ36">
        <f>AND(S36&lt;&gt;"",X36&lt;&gt;"")</f>
        <v/>
      </c>
      <c r="AK36">
        <f>OR(S36&lt;&gt;"",X36&lt;&gt;"")</f>
        <v/>
      </c>
      <c r="AM36">
        <f>AND(I36&lt;&gt;"",N36&lt;&gt;"",B36="No")</f>
        <v/>
      </c>
      <c r="AN36">
        <f>AND(OR(I36&lt;&gt;"",N36&lt;&gt;""),B36="No")</f>
        <v/>
      </c>
      <c r="AO36">
        <f>AND(I36&lt;&gt;"",S36&lt;&gt;"",B36="No")</f>
        <v/>
      </c>
      <c r="AP36">
        <f>AND(OR(I36&lt;&gt;"",S36&lt;&gt;""),B36="No")</f>
        <v/>
      </c>
      <c r="AQ36">
        <f>AND(I36&lt;&gt;"",X36&lt;&gt;"",B36="No")</f>
        <v/>
      </c>
      <c r="AR36">
        <f>AND(OR(I36&lt;&gt;"",X36&lt;&gt;""),B36="No")</f>
        <v/>
      </c>
      <c r="AS36">
        <f>AND(N36&lt;&gt;"",S36&lt;&gt;"",B36="No")</f>
        <v/>
      </c>
      <c r="AT36">
        <f>AND(OR(N36&lt;&gt;"",S36&lt;&gt;""),B36="No")</f>
        <v/>
      </c>
      <c r="AU36">
        <f>AND(N36&lt;&gt;"",X36&lt;&gt;"",B36="No")</f>
        <v/>
      </c>
      <c r="AV36">
        <f>AND(OR(N36&lt;&gt;"",X36&lt;&gt;""),B36="No")</f>
        <v/>
      </c>
      <c r="AW36">
        <f>AND(S36&lt;&gt;"",X36&lt;&gt;"",B36="No")</f>
        <v/>
      </c>
      <c r="AX36">
        <f>AND(OR(S36&lt;&gt;"",X36&lt;&gt;""),B36="No")</f>
        <v/>
      </c>
    </row>
    <row r="37">
      <c r="A37" s="44" t="inlineStr">
        <is>
          <t>M0.3.4</t>
        </is>
      </c>
      <c r="B37" s="47" t="inlineStr">
        <is>
          <t>Yes</t>
        </is>
      </c>
      <c r="C37" t="inlineStr">
        <is>
          <t>Template drift</t>
        </is>
      </c>
      <c r="D37" s="34" t="n"/>
      <c r="E37" s="35" t="n"/>
      <c r="F37" s="35" t="n"/>
      <c r="G37" s="35" t="n"/>
      <c r="H37" s="35" t="n"/>
      <c r="I37" s="37">
        <f>IF(COUNTA(E37:H37)&gt;0,"X","")</f>
        <v/>
      </c>
      <c r="J37" s="35" t="n"/>
      <c r="K37" s="35" t="n"/>
      <c r="L37" s="35" t="n"/>
      <c r="M37" s="35" t="n"/>
      <c r="N37" s="37">
        <f>IF(COUNTA(J37:M37)&gt;0,"X","")</f>
        <v/>
      </c>
      <c r="O37" s="35" t="inlineStr">
        <is>
          <t>X</t>
        </is>
      </c>
      <c r="P37" s="35" t="n"/>
      <c r="Q37" s="35" t="n"/>
      <c r="R37" s="35" t="n"/>
      <c r="S37" s="37">
        <f>IF(COUNTA(O37:R37)&gt;0,"X","")</f>
        <v/>
      </c>
      <c r="T37" s="35" t="n"/>
      <c r="U37" s="35" t="n"/>
      <c r="V37" s="35" t="n"/>
      <c r="W37" s="35" t="n"/>
      <c r="X37" s="37">
        <f>IF(COUNTA(T37:W37)&gt;0,"X","")</f>
        <v/>
      </c>
      <c r="Z37">
        <f>AND(I37&lt;&gt;"",N37&lt;&gt;"")</f>
        <v/>
      </c>
      <c r="AA37">
        <f>OR(I37&lt;&gt;"",N37&lt;&gt;"")</f>
        <v/>
      </c>
      <c r="AB37">
        <f>AND(I37&lt;&gt;"",S37&lt;&gt;"")</f>
        <v/>
      </c>
      <c r="AC37">
        <f>OR(I37&lt;&gt;"",S37&lt;&gt;"")</f>
        <v/>
      </c>
      <c r="AD37">
        <f>AND(I37&lt;&gt;"",X37&lt;&gt;"")</f>
        <v/>
      </c>
      <c r="AE37">
        <f>OR(I37&lt;&gt;"",X37&lt;&gt;"")</f>
        <v/>
      </c>
      <c r="AF37">
        <f>AND(N37&lt;&gt;"",S37&lt;&gt;"")</f>
        <v/>
      </c>
      <c r="AG37">
        <f>OR(N37&lt;&gt;"",S37&lt;&gt;"")</f>
        <v/>
      </c>
      <c r="AH37">
        <f>AND(N37&lt;&gt;"",X37&lt;&gt;"")</f>
        <v/>
      </c>
      <c r="AI37">
        <f>OR(N37&lt;&gt;"",X37&lt;&gt;"")</f>
        <v/>
      </c>
      <c r="AJ37">
        <f>AND(S37&lt;&gt;"",X37&lt;&gt;"")</f>
        <v/>
      </c>
      <c r="AK37">
        <f>OR(S37&lt;&gt;"",X37&lt;&gt;"")</f>
        <v/>
      </c>
      <c r="AM37">
        <f>AND(I37&lt;&gt;"",N37&lt;&gt;"",B37="No")</f>
        <v/>
      </c>
      <c r="AN37">
        <f>AND(OR(I37&lt;&gt;"",N37&lt;&gt;""),B37="No")</f>
        <v/>
      </c>
      <c r="AO37">
        <f>AND(I37&lt;&gt;"",S37&lt;&gt;"",B37="No")</f>
        <v/>
      </c>
      <c r="AP37">
        <f>AND(OR(I37&lt;&gt;"",S37&lt;&gt;""),B37="No")</f>
        <v/>
      </c>
      <c r="AQ37">
        <f>AND(I37&lt;&gt;"",X37&lt;&gt;"",B37="No")</f>
        <v/>
      </c>
      <c r="AR37">
        <f>AND(OR(I37&lt;&gt;"",X37&lt;&gt;""),B37="No")</f>
        <v/>
      </c>
      <c r="AS37">
        <f>AND(N37&lt;&gt;"",S37&lt;&gt;"",B37="No")</f>
        <v/>
      </c>
      <c r="AT37">
        <f>AND(OR(N37&lt;&gt;"",S37&lt;&gt;""),B37="No")</f>
        <v/>
      </c>
      <c r="AU37">
        <f>AND(N37&lt;&gt;"",X37&lt;&gt;"",B37="No")</f>
        <v/>
      </c>
      <c r="AV37">
        <f>AND(OR(N37&lt;&gt;"",X37&lt;&gt;""),B37="No")</f>
        <v/>
      </c>
      <c r="AW37">
        <f>AND(S37&lt;&gt;"",X37&lt;&gt;"",B37="No")</f>
        <v/>
      </c>
      <c r="AX37">
        <f>AND(OR(S37&lt;&gt;"",X37&lt;&gt;""),B37="No")</f>
        <v/>
      </c>
    </row>
    <row r="38">
      <c r="A38" s="44" t="inlineStr">
        <is>
          <t>M0_ii.3.2; M0_iv.3.2</t>
        </is>
      </c>
      <c r="B38" s="47" t="inlineStr">
        <is>
          <t>Yes</t>
        </is>
      </c>
      <c r="C38" t="inlineStr">
        <is>
          <t>Scope misalignment</t>
        </is>
      </c>
      <c r="D38" s="34" t="n"/>
      <c r="E38" s="35" t="n"/>
      <c r="F38" s="35" t="n"/>
      <c r="G38" s="35" t="n"/>
      <c r="H38" s="35" t="n"/>
      <c r="I38" s="37">
        <f>IF(COUNTA(E38:H38)&gt;0,"X","")</f>
        <v/>
      </c>
      <c r="J38" s="35" t="n"/>
      <c r="K38" s="35" t="n"/>
      <c r="L38" s="35" t="n"/>
      <c r="M38" s="35" t="n"/>
      <c r="N38" s="37">
        <f>IF(COUNTA(J38:M38)&gt;0,"X","")</f>
        <v/>
      </c>
      <c r="O38" s="35" t="n"/>
      <c r="P38" s="35" t="inlineStr">
        <is>
          <t>X</t>
        </is>
      </c>
      <c r="Q38" s="35" t="n"/>
      <c r="R38" s="35" t="inlineStr">
        <is>
          <t>X</t>
        </is>
      </c>
      <c r="S38" s="37">
        <f>IF(COUNTA(O38:R38)&gt;0,"X","")</f>
        <v/>
      </c>
      <c r="T38" s="35" t="n"/>
      <c r="U38" s="35" t="n"/>
      <c r="V38" s="35" t="n"/>
      <c r="W38" s="35" t="n"/>
      <c r="X38" s="37">
        <f>IF(COUNTA(T38:W38)&gt;0,"X","")</f>
        <v/>
      </c>
      <c r="Z38">
        <f>AND(I38&lt;&gt;"",N38&lt;&gt;"")</f>
        <v/>
      </c>
      <c r="AA38">
        <f>OR(I38&lt;&gt;"",N38&lt;&gt;"")</f>
        <v/>
      </c>
      <c r="AB38">
        <f>AND(I38&lt;&gt;"",S38&lt;&gt;"")</f>
        <v/>
      </c>
      <c r="AC38">
        <f>OR(I38&lt;&gt;"",S38&lt;&gt;"")</f>
        <v/>
      </c>
      <c r="AD38">
        <f>AND(I38&lt;&gt;"",X38&lt;&gt;"")</f>
        <v/>
      </c>
      <c r="AE38">
        <f>OR(I38&lt;&gt;"",X38&lt;&gt;"")</f>
        <v/>
      </c>
      <c r="AF38">
        <f>AND(N38&lt;&gt;"",S38&lt;&gt;"")</f>
        <v/>
      </c>
      <c r="AG38">
        <f>OR(N38&lt;&gt;"",S38&lt;&gt;"")</f>
        <v/>
      </c>
      <c r="AH38">
        <f>AND(N38&lt;&gt;"",X38&lt;&gt;"")</f>
        <v/>
      </c>
      <c r="AI38">
        <f>OR(N38&lt;&gt;"",X38&lt;&gt;"")</f>
        <v/>
      </c>
      <c r="AJ38">
        <f>AND(S38&lt;&gt;"",X38&lt;&gt;"")</f>
        <v/>
      </c>
      <c r="AK38">
        <f>OR(S38&lt;&gt;"",X38&lt;&gt;"")</f>
        <v/>
      </c>
      <c r="AM38">
        <f>AND(I38&lt;&gt;"",N38&lt;&gt;"",B38="No")</f>
        <v/>
      </c>
      <c r="AN38">
        <f>AND(OR(I38&lt;&gt;"",N38&lt;&gt;""),B38="No")</f>
        <v/>
      </c>
      <c r="AO38">
        <f>AND(I38&lt;&gt;"",S38&lt;&gt;"",B38="No")</f>
        <v/>
      </c>
      <c r="AP38">
        <f>AND(OR(I38&lt;&gt;"",S38&lt;&gt;""),B38="No")</f>
        <v/>
      </c>
      <c r="AQ38">
        <f>AND(I38&lt;&gt;"",X38&lt;&gt;"",B38="No")</f>
        <v/>
      </c>
      <c r="AR38">
        <f>AND(OR(I38&lt;&gt;"",X38&lt;&gt;""),B38="No")</f>
        <v/>
      </c>
      <c r="AS38">
        <f>AND(N38&lt;&gt;"",S38&lt;&gt;"",B38="No")</f>
        <v/>
      </c>
      <c r="AT38">
        <f>AND(OR(N38&lt;&gt;"",S38&lt;&gt;""),B38="No")</f>
        <v/>
      </c>
      <c r="AU38">
        <f>AND(N38&lt;&gt;"",X38&lt;&gt;"",B38="No")</f>
        <v/>
      </c>
      <c r="AV38">
        <f>AND(OR(N38&lt;&gt;"",X38&lt;&gt;""),B38="No")</f>
        <v/>
      </c>
      <c r="AW38">
        <f>AND(S38&lt;&gt;"",X38&lt;&gt;"",B38="No")</f>
        <v/>
      </c>
      <c r="AX38">
        <f>AND(OR(S38&lt;&gt;"",X38&lt;&gt;""),B38="No")</f>
        <v/>
      </c>
    </row>
    <row r="39">
      <c r="A39" s="44" t="inlineStr">
        <is>
          <t>M0_ii.3.3; M0_iv.3.3</t>
        </is>
      </c>
      <c r="B39" s="47" t="inlineStr">
        <is>
          <t>Yes</t>
        </is>
      </c>
      <c r="C39" t="inlineStr">
        <is>
          <t>Scope misalignment</t>
        </is>
      </c>
      <c r="D39" s="34" t="n"/>
      <c r="E39" s="35" t="n"/>
      <c r="F39" s="35" t="n"/>
      <c r="G39" s="35" t="n"/>
      <c r="H39" s="35" t="n"/>
      <c r="I39" s="37">
        <f>IF(COUNTA(E39:H39)&gt;0,"X","")</f>
        <v/>
      </c>
      <c r="J39" s="35" t="n"/>
      <c r="K39" s="35" t="n"/>
      <c r="L39" s="35" t="n"/>
      <c r="M39" s="35" t="n"/>
      <c r="N39" s="37">
        <f>IF(COUNTA(J39:M39)&gt;0,"X","")</f>
        <v/>
      </c>
      <c r="O39" s="35" t="n"/>
      <c r="P39" s="35" t="inlineStr">
        <is>
          <t>X</t>
        </is>
      </c>
      <c r="Q39" s="35" t="n"/>
      <c r="R39" s="35" t="inlineStr">
        <is>
          <t>X</t>
        </is>
      </c>
      <c r="S39" s="37">
        <f>IF(COUNTA(O39:R39)&gt;0,"X","")</f>
        <v/>
      </c>
      <c r="T39" s="35" t="n"/>
      <c r="U39" s="35" t="n"/>
      <c r="V39" s="35" t="n"/>
      <c r="W39" s="35" t="n"/>
      <c r="X39" s="37">
        <f>IF(COUNTA(T39:W39)&gt;0,"X","")</f>
        <v/>
      </c>
      <c r="Z39">
        <f>AND(I39&lt;&gt;"",N39&lt;&gt;"")</f>
        <v/>
      </c>
      <c r="AA39">
        <f>OR(I39&lt;&gt;"",N39&lt;&gt;"")</f>
        <v/>
      </c>
      <c r="AB39">
        <f>AND(I39&lt;&gt;"",S39&lt;&gt;"")</f>
        <v/>
      </c>
      <c r="AC39">
        <f>OR(I39&lt;&gt;"",S39&lt;&gt;"")</f>
        <v/>
      </c>
      <c r="AD39">
        <f>AND(I39&lt;&gt;"",X39&lt;&gt;"")</f>
        <v/>
      </c>
      <c r="AE39">
        <f>OR(I39&lt;&gt;"",X39&lt;&gt;"")</f>
        <v/>
      </c>
      <c r="AF39">
        <f>AND(N39&lt;&gt;"",S39&lt;&gt;"")</f>
        <v/>
      </c>
      <c r="AG39">
        <f>OR(N39&lt;&gt;"",S39&lt;&gt;"")</f>
        <v/>
      </c>
      <c r="AH39">
        <f>AND(N39&lt;&gt;"",X39&lt;&gt;"")</f>
        <v/>
      </c>
      <c r="AI39">
        <f>OR(N39&lt;&gt;"",X39&lt;&gt;"")</f>
        <v/>
      </c>
      <c r="AJ39">
        <f>AND(S39&lt;&gt;"",X39&lt;&gt;"")</f>
        <v/>
      </c>
      <c r="AK39">
        <f>OR(S39&lt;&gt;"",X39&lt;&gt;"")</f>
        <v/>
      </c>
      <c r="AM39">
        <f>AND(I39&lt;&gt;"",N39&lt;&gt;"",B39="No")</f>
        <v/>
      </c>
      <c r="AN39">
        <f>AND(OR(I39&lt;&gt;"",N39&lt;&gt;""),B39="No")</f>
        <v/>
      </c>
      <c r="AO39">
        <f>AND(I39&lt;&gt;"",S39&lt;&gt;"",B39="No")</f>
        <v/>
      </c>
      <c r="AP39">
        <f>AND(OR(I39&lt;&gt;"",S39&lt;&gt;""),B39="No")</f>
        <v/>
      </c>
      <c r="AQ39">
        <f>AND(I39&lt;&gt;"",X39&lt;&gt;"",B39="No")</f>
        <v/>
      </c>
      <c r="AR39">
        <f>AND(OR(I39&lt;&gt;"",X39&lt;&gt;""),B39="No")</f>
        <v/>
      </c>
      <c r="AS39">
        <f>AND(N39&lt;&gt;"",S39&lt;&gt;"",B39="No")</f>
        <v/>
      </c>
      <c r="AT39">
        <f>AND(OR(N39&lt;&gt;"",S39&lt;&gt;""),B39="No")</f>
        <v/>
      </c>
      <c r="AU39">
        <f>AND(N39&lt;&gt;"",X39&lt;&gt;"",B39="No")</f>
        <v/>
      </c>
      <c r="AV39">
        <f>AND(OR(N39&lt;&gt;"",X39&lt;&gt;""),B39="No")</f>
        <v/>
      </c>
      <c r="AW39">
        <f>AND(S39&lt;&gt;"",X39&lt;&gt;"",B39="No")</f>
        <v/>
      </c>
      <c r="AX39">
        <f>AND(OR(S39&lt;&gt;"",X39&lt;&gt;""),B39="No")</f>
        <v/>
      </c>
    </row>
    <row r="40">
      <c r="A40" s="44" t="inlineStr">
        <is>
          <t>G0_iii.3.2</t>
        </is>
      </c>
      <c r="B40" s="47" t="inlineStr">
        <is>
          <t>Yes</t>
        </is>
      </c>
      <c r="C40" t="inlineStr">
        <is>
          <t>Template drift</t>
        </is>
      </c>
      <c r="D40" s="34" t="n"/>
      <c r="E40" s="35" t="n"/>
      <c r="F40" s="35" t="n"/>
      <c r="G40" s="35" t="n"/>
      <c r="H40" s="35" t="n"/>
      <c r="I40" s="37">
        <f>IF(COUNTA(E40:H40)&gt;0,"X","")</f>
        <v/>
      </c>
      <c r="J40" s="35" t="n"/>
      <c r="K40" s="35" t="n"/>
      <c r="L40" s="35" t="n"/>
      <c r="M40" s="35" t="n"/>
      <c r="N40" s="37">
        <f>IF(COUNTA(J40:M40)&gt;0,"X","")</f>
        <v/>
      </c>
      <c r="O40" s="35" t="n"/>
      <c r="P40" s="35" t="n"/>
      <c r="Q40" s="35" t="n"/>
      <c r="R40" s="35" t="n"/>
      <c r="S40" s="37">
        <f>IF(COUNTA(O40:R40)&gt;0,"X","")</f>
        <v/>
      </c>
      <c r="T40" s="35" t="n"/>
      <c r="U40" s="35" t="n"/>
      <c r="V40" s="35" t="inlineStr">
        <is>
          <t>X</t>
        </is>
      </c>
      <c r="W40" s="35" t="n"/>
      <c r="X40" s="37">
        <f>IF(COUNTA(T40:W40)&gt;0,"X","")</f>
        <v/>
      </c>
      <c r="Z40">
        <f>AND(I40&lt;&gt;"",N40&lt;&gt;"")</f>
        <v/>
      </c>
      <c r="AA40">
        <f>OR(I40&lt;&gt;"",N40&lt;&gt;"")</f>
        <v/>
      </c>
      <c r="AB40">
        <f>AND(I40&lt;&gt;"",S40&lt;&gt;"")</f>
        <v/>
      </c>
      <c r="AC40">
        <f>OR(I40&lt;&gt;"",S40&lt;&gt;"")</f>
        <v/>
      </c>
      <c r="AD40">
        <f>AND(I40&lt;&gt;"",X40&lt;&gt;"")</f>
        <v/>
      </c>
      <c r="AE40">
        <f>OR(I40&lt;&gt;"",X40&lt;&gt;"")</f>
        <v/>
      </c>
      <c r="AF40">
        <f>AND(N40&lt;&gt;"",S40&lt;&gt;"")</f>
        <v/>
      </c>
      <c r="AG40">
        <f>OR(N40&lt;&gt;"",S40&lt;&gt;"")</f>
        <v/>
      </c>
      <c r="AH40">
        <f>AND(N40&lt;&gt;"",X40&lt;&gt;"")</f>
        <v/>
      </c>
      <c r="AI40">
        <f>OR(N40&lt;&gt;"",X40&lt;&gt;"")</f>
        <v/>
      </c>
      <c r="AJ40">
        <f>AND(S40&lt;&gt;"",X40&lt;&gt;"")</f>
        <v/>
      </c>
      <c r="AK40">
        <f>OR(S40&lt;&gt;"",X40&lt;&gt;"")</f>
        <v/>
      </c>
      <c r="AM40">
        <f>AND(I40&lt;&gt;"",N40&lt;&gt;"",B40="No")</f>
        <v/>
      </c>
      <c r="AN40">
        <f>AND(OR(I40&lt;&gt;"",N40&lt;&gt;""),B40="No")</f>
        <v/>
      </c>
      <c r="AO40">
        <f>AND(I40&lt;&gt;"",S40&lt;&gt;"",B40="No")</f>
        <v/>
      </c>
      <c r="AP40">
        <f>AND(OR(I40&lt;&gt;"",S40&lt;&gt;""),B40="No")</f>
        <v/>
      </c>
      <c r="AQ40">
        <f>AND(I40&lt;&gt;"",X40&lt;&gt;"",B40="No")</f>
        <v/>
      </c>
      <c r="AR40">
        <f>AND(OR(I40&lt;&gt;"",X40&lt;&gt;""),B40="No")</f>
        <v/>
      </c>
      <c r="AS40">
        <f>AND(N40&lt;&gt;"",S40&lt;&gt;"",B40="No")</f>
        <v/>
      </c>
      <c r="AT40">
        <f>AND(OR(N40&lt;&gt;"",S40&lt;&gt;""),B40="No")</f>
        <v/>
      </c>
      <c r="AU40">
        <f>AND(N40&lt;&gt;"",X40&lt;&gt;"",B40="No")</f>
        <v/>
      </c>
      <c r="AV40">
        <f>AND(OR(N40&lt;&gt;"",X40&lt;&gt;""),B40="No")</f>
        <v/>
      </c>
      <c r="AW40">
        <f>AND(S40&lt;&gt;"",X40&lt;&gt;"",B40="No")</f>
        <v/>
      </c>
      <c r="AX40">
        <f>AND(OR(S40&lt;&gt;"",X40&lt;&gt;""),B40="No")</f>
        <v/>
      </c>
    </row>
    <row r="41">
      <c r="A41" s="44" t="inlineStr">
        <is>
          <t>G0_iv.3.3</t>
        </is>
      </c>
      <c r="B41" s="47" t="inlineStr">
        <is>
          <t>Yes</t>
        </is>
      </c>
      <c r="C41" t="inlineStr">
        <is>
          <t>Template drift</t>
        </is>
      </c>
      <c r="D41" s="34" t="n"/>
      <c r="E41" s="35" t="n"/>
      <c r="F41" s="35" t="n"/>
      <c r="G41" s="35" t="n"/>
      <c r="H41" s="35" t="n"/>
      <c r="I41" s="37">
        <f>IF(COUNTA(E41:H41)&gt;0,"X","")</f>
        <v/>
      </c>
      <c r="J41" s="35" t="n"/>
      <c r="K41" s="35" t="n"/>
      <c r="L41" s="35" t="n"/>
      <c r="M41" s="35" t="n"/>
      <c r="N41" s="37">
        <f>IF(COUNTA(J41:M41)&gt;0,"X","")</f>
        <v/>
      </c>
      <c r="O41" s="35" t="n"/>
      <c r="P41" s="35" t="n"/>
      <c r="Q41" s="35" t="n"/>
      <c r="R41" s="35" t="n"/>
      <c r="S41" s="37">
        <f>IF(COUNTA(O41:R41)&gt;0,"X","")</f>
        <v/>
      </c>
      <c r="T41" s="35" t="n"/>
      <c r="U41" s="35" t="n"/>
      <c r="V41" s="35" t="n"/>
      <c r="W41" s="35" t="inlineStr">
        <is>
          <t>X</t>
        </is>
      </c>
      <c r="X41" s="37">
        <f>IF(COUNTA(T41:W41)&gt;0,"X","")</f>
        <v/>
      </c>
      <c r="Z41">
        <f>AND(I41&lt;&gt;"",N41&lt;&gt;"")</f>
        <v/>
      </c>
      <c r="AA41">
        <f>OR(I41&lt;&gt;"",N41&lt;&gt;"")</f>
        <v/>
      </c>
      <c r="AB41">
        <f>AND(I41&lt;&gt;"",S41&lt;&gt;"")</f>
        <v/>
      </c>
      <c r="AC41">
        <f>OR(I41&lt;&gt;"",S41&lt;&gt;"")</f>
        <v/>
      </c>
      <c r="AD41">
        <f>AND(I41&lt;&gt;"",X41&lt;&gt;"")</f>
        <v/>
      </c>
      <c r="AE41">
        <f>OR(I41&lt;&gt;"",X41&lt;&gt;"")</f>
        <v/>
      </c>
      <c r="AF41">
        <f>AND(N41&lt;&gt;"",S41&lt;&gt;"")</f>
        <v/>
      </c>
      <c r="AG41">
        <f>OR(N41&lt;&gt;"",S41&lt;&gt;"")</f>
        <v/>
      </c>
      <c r="AH41">
        <f>AND(N41&lt;&gt;"",X41&lt;&gt;"")</f>
        <v/>
      </c>
      <c r="AI41">
        <f>OR(N41&lt;&gt;"",X41&lt;&gt;"")</f>
        <v/>
      </c>
      <c r="AJ41">
        <f>AND(S41&lt;&gt;"",X41&lt;&gt;"")</f>
        <v/>
      </c>
      <c r="AK41">
        <f>OR(S41&lt;&gt;"",X41&lt;&gt;"")</f>
        <v/>
      </c>
      <c r="AM41">
        <f>AND(I41&lt;&gt;"",N41&lt;&gt;"",B41="No")</f>
        <v/>
      </c>
      <c r="AN41">
        <f>AND(OR(I41&lt;&gt;"",N41&lt;&gt;""),B41="No")</f>
        <v/>
      </c>
      <c r="AO41">
        <f>AND(I41&lt;&gt;"",S41&lt;&gt;"",B41="No")</f>
        <v/>
      </c>
      <c r="AP41">
        <f>AND(OR(I41&lt;&gt;"",S41&lt;&gt;""),B41="No")</f>
        <v/>
      </c>
      <c r="AQ41">
        <f>AND(I41&lt;&gt;"",X41&lt;&gt;"",B41="No")</f>
        <v/>
      </c>
      <c r="AR41">
        <f>AND(OR(I41&lt;&gt;"",X41&lt;&gt;""),B41="No")</f>
        <v/>
      </c>
      <c r="AS41">
        <f>AND(N41&lt;&gt;"",S41&lt;&gt;"",B41="No")</f>
        <v/>
      </c>
      <c r="AT41">
        <f>AND(OR(N41&lt;&gt;"",S41&lt;&gt;""),B41="No")</f>
        <v/>
      </c>
      <c r="AU41">
        <f>AND(N41&lt;&gt;"",X41&lt;&gt;"",B41="No")</f>
        <v/>
      </c>
      <c r="AV41">
        <f>AND(OR(N41&lt;&gt;"",X41&lt;&gt;""),B41="No")</f>
        <v/>
      </c>
      <c r="AW41">
        <f>AND(S41&lt;&gt;"",X41&lt;&gt;"",B41="No")</f>
        <v/>
      </c>
      <c r="AX41">
        <f>AND(OR(S41&lt;&gt;"",X41&lt;&gt;""),B41="No")</f>
        <v/>
      </c>
    </row>
    <row r="42">
      <c r="A42" s="44" t="inlineStr">
        <is>
          <t>GS.4.1</t>
        </is>
      </c>
      <c r="B42" s="47" t="inlineStr">
        <is>
          <t>No</t>
        </is>
      </c>
      <c r="C42" s="47" t="n"/>
      <c r="D42" s="34" t="inlineStr">
        <is>
          <t>H.4.1</t>
        </is>
      </c>
      <c r="E42" s="27" t="inlineStr">
        <is>
          <t>X</t>
        </is>
      </c>
      <c r="F42" s="27" t="inlineStr">
        <is>
          <t>X</t>
        </is>
      </c>
      <c r="G42" s="27" t="inlineStr">
        <is>
          <t>X</t>
        </is>
      </c>
      <c r="H42" s="27" t="inlineStr">
        <is>
          <t>P</t>
        </is>
      </c>
      <c r="I42" s="37">
        <f>IF(COUNTA(E42:H42)&gt;0,"X","")</f>
        <v/>
      </c>
      <c r="J42" s="27" t="inlineStr">
        <is>
          <t>X</t>
        </is>
      </c>
      <c r="K42" s="27" t="inlineStr">
        <is>
          <t>P</t>
        </is>
      </c>
      <c r="L42" s="27" t="inlineStr">
        <is>
          <t>P</t>
        </is>
      </c>
      <c r="M42" s="27" t="inlineStr">
        <is>
          <t>P</t>
        </is>
      </c>
      <c r="N42" s="37">
        <f>IF(COUNTA(J42:M42)&gt;0,"X","")</f>
        <v/>
      </c>
      <c r="O42" s="35" t="n"/>
      <c r="P42" s="35" t="n"/>
      <c r="Q42" s="35" t="n"/>
      <c r="R42" s="35" t="n"/>
      <c r="S42" s="37">
        <f>IF(COUNTA(O42:R42)&gt;0,"X","")</f>
        <v/>
      </c>
      <c r="T42" s="35" t="n"/>
      <c r="U42" s="35" t="n"/>
      <c r="V42" s="35" t="n"/>
      <c r="W42" s="35" t="n"/>
      <c r="X42" s="37">
        <f>IF(COUNTA(T42:W42)&gt;0,"X","")</f>
        <v/>
      </c>
      <c r="Z42">
        <f>AND(I42&lt;&gt;"",N42&lt;&gt;"")</f>
        <v/>
      </c>
      <c r="AA42">
        <f>OR(I42&lt;&gt;"",N42&lt;&gt;"")</f>
        <v/>
      </c>
      <c r="AB42">
        <f>AND(I42&lt;&gt;"",S42&lt;&gt;"")</f>
        <v/>
      </c>
      <c r="AC42">
        <f>OR(I42&lt;&gt;"",S42&lt;&gt;"")</f>
        <v/>
      </c>
      <c r="AD42">
        <f>AND(I42&lt;&gt;"",X42&lt;&gt;"")</f>
        <v/>
      </c>
      <c r="AE42">
        <f>OR(I42&lt;&gt;"",X42&lt;&gt;"")</f>
        <v/>
      </c>
      <c r="AF42">
        <f>AND(N42&lt;&gt;"",S42&lt;&gt;"")</f>
        <v/>
      </c>
      <c r="AG42">
        <f>OR(N42&lt;&gt;"",S42&lt;&gt;"")</f>
        <v/>
      </c>
      <c r="AH42">
        <f>AND(N42&lt;&gt;"",X42&lt;&gt;"")</f>
        <v/>
      </c>
      <c r="AI42">
        <f>OR(N42&lt;&gt;"",X42&lt;&gt;"")</f>
        <v/>
      </c>
      <c r="AJ42">
        <f>AND(S42&lt;&gt;"",X42&lt;&gt;"")</f>
        <v/>
      </c>
      <c r="AK42">
        <f>OR(S42&lt;&gt;"",X42&lt;&gt;"")</f>
        <v/>
      </c>
      <c r="AM42">
        <f>AND(I42&lt;&gt;"",N42&lt;&gt;"",B42="No")</f>
        <v/>
      </c>
      <c r="AN42">
        <f>AND(OR(I42&lt;&gt;"",N42&lt;&gt;""),B42="No")</f>
        <v/>
      </c>
      <c r="AO42">
        <f>AND(I42&lt;&gt;"",S42&lt;&gt;"",B42="No")</f>
        <v/>
      </c>
      <c r="AP42">
        <f>AND(OR(I42&lt;&gt;"",S42&lt;&gt;""),B42="No")</f>
        <v/>
      </c>
      <c r="AQ42">
        <f>AND(I42&lt;&gt;"",X42&lt;&gt;"",B42="No")</f>
        <v/>
      </c>
      <c r="AR42">
        <f>AND(OR(I42&lt;&gt;"",X42&lt;&gt;""),B42="No")</f>
        <v/>
      </c>
      <c r="AS42">
        <f>AND(N42&lt;&gt;"",S42&lt;&gt;"",B42="No")</f>
        <v/>
      </c>
      <c r="AT42">
        <f>AND(OR(N42&lt;&gt;"",S42&lt;&gt;""),B42="No")</f>
        <v/>
      </c>
      <c r="AU42">
        <f>AND(N42&lt;&gt;"",X42&lt;&gt;"",B42="No")</f>
        <v/>
      </c>
      <c r="AV42">
        <f>AND(OR(N42&lt;&gt;"",X42&lt;&gt;""),B42="No")</f>
        <v/>
      </c>
      <c r="AW42">
        <f>AND(S42&lt;&gt;"",X42&lt;&gt;"",B42="No")</f>
        <v/>
      </c>
      <c r="AX42">
        <f>AND(OR(S42&lt;&gt;"",X42&lt;&gt;""),B42="No")</f>
        <v/>
      </c>
    </row>
    <row r="43">
      <c r="A43" s="44" t="inlineStr">
        <is>
          <t>GS.4.2</t>
        </is>
      </c>
      <c r="B43" s="47" t="inlineStr">
        <is>
          <t>No</t>
        </is>
      </c>
      <c r="C43" s="47" t="n"/>
      <c r="D43" s="34" t="inlineStr">
        <is>
          <t>H.4.2</t>
        </is>
      </c>
      <c r="E43" s="27" t="inlineStr">
        <is>
          <t>X</t>
        </is>
      </c>
      <c r="F43" s="27" t="inlineStr">
        <is>
          <t>X</t>
        </is>
      </c>
      <c r="G43" s="27" t="inlineStr">
        <is>
          <t>X</t>
        </is>
      </c>
      <c r="H43" s="27" t="inlineStr">
        <is>
          <t>P</t>
        </is>
      </c>
      <c r="I43" s="37">
        <f>IF(COUNTA(E43:H43)&gt;0,"X","")</f>
        <v/>
      </c>
      <c r="K43" s="27" t="inlineStr">
        <is>
          <t>P</t>
        </is>
      </c>
      <c r="L43" s="27" t="inlineStr">
        <is>
          <t>P</t>
        </is>
      </c>
      <c r="M43" s="27" t="inlineStr">
        <is>
          <t>P</t>
        </is>
      </c>
      <c r="N43" s="37">
        <f>IF(COUNTA(J43:M43)&gt;0,"X","")</f>
        <v/>
      </c>
      <c r="O43" s="35" t="n"/>
      <c r="P43" s="35" t="n"/>
      <c r="Q43" s="35" t="n"/>
      <c r="R43" s="35" t="n"/>
      <c r="S43" s="37">
        <f>IF(COUNTA(O43:R43)&gt;0,"X","")</f>
        <v/>
      </c>
      <c r="T43" s="35" t="n"/>
      <c r="U43" s="35" t="n"/>
      <c r="V43" s="35" t="n"/>
      <c r="W43" s="35" t="n"/>
      <c r="X43" s="37">
        <f>IF(COUNTA(T43:W43)&gt;0,"X","")</f>
        <v/>
      </c>
      <c r="Z43">
        <f>AND(I43&lt;&gt;"",N43&lt;&gt;"")</f>
        <v/>
      </c>
      <c r="AA43">
        <f>OR(I43&lt;&gt;"",N43&lt;&gt;"")</f>
        <v/>
      </c>
      <c r="AB43">
        <f>AND(I43&lt;&gt;"",S43&lt;&gt;"")</f>
        <v/>
      </c>
      <c r="AC43">
        <f>OR(I43&lt;&gt;"",S43&lt;&gt;"")</f>
        <v/>
      </c>
      <c r="AD43">
        <f>AND(I43&lt;&gt;"",X43&lt;&gt;"")</f>
        <v/>
      </c>
      <c r="AE43">
        <f>OR(I43&lt;&gt;"",X43&lt;&gt;"")</f>
        <v/>
      </c>
      <c r="AF43">
        <f>AND(N43&lt;&gt;"",S43&lt;&gt;"")</f>
        <v/>
      </c>
      <c r="AG43">
        <f>OR(N43&lt;&gt;"",S43&lt;&gt;"")</f>
        <v/>
      </c>
      <c r="AH43">
        <f>AND(N43&lt;&gt;"",X43&lt;&gt;"")</f>
        <v/>
      </c>
      <c r="AI43">
        <f>OR(N43&lt;&gt;"",X43&lt;&gt;"")</f>
        <v/>
      </c>
      <c r="AJ43">
        <f>AND(S43&lt;&gt;"",X43&lt;&gt;"")</f>
        <v/>
      </c>
      <c r="AK43">
        <f>OR(S43&lt;&gt;"",X43&lt;&gt;"")</f>
        <v/>
      </c>
      <c r="AM43">
        <f>AND(I43&lt;&gt;"",N43&lt;&gt;"",B43="No")</f>
        <v/>
      </c>
      <c r="AN43">
        <f>AND(OR(I43&lt;&gt;"",N43&lt;&gt;""),B43="No")</f>
        <v/>
      </c>
      <c r="AO43">
        <f>AND(I43&lt;&gt;"",S43&lt;&gt;"",B43="No")</f>
        <v/>
      </c>
      <c r="AP43">
        <f>AND(OR(I43&lt;&gt;"",S43&lt;&gt;""),B43="No")</f>
        <v/>
      </c>
      <c r="AQ43">
        <f>AND(I43&lt;&gt;"",X43&lt;&gt;"",B43="No")</f>
        <v/>
      </c>
      <c r="AR43">
        <f>AND(OR(I43&lt;&gt;"",X43&lt;&gt;""),B43="No")</f>
        <v/>
      </c>
      <c r="AS43">
        <f>AND(N43&lt;&gt;"",S43&lt;&gt;"",B43="No")</f>
        <v/>
      </c>
      <c r="AT43">
        <f>AND(OR(N43&lt;&gt;"",S43&lt;&gt;""),B43="No")</f>
        <v/>
      </c>
      <c r="AU43">
        <f>AND(N43&lt;&gt;"",X43&lt;&gt;"",B43="No")</f>
        <v/>
      </c>
      <c r="AV43">
        <f>AND(OR(N43&lt;&gt;"",X43&lt;&gt;""),B43="No")</f>
        <v/>
      </c>
      <c r="AW43">
        <f>AND(S43&lt;&gt;"",X43&lt;&gt;"",B43="No")</f>
        <v/>
      </c>
      <c r="AX43">
        <f>AND(OR(S43&lt;&gt;"",X43&lt;&gt;""),B43="No")</f>
        <v/>
      </c>
    </row>
    <row r="44">
      <c r="A44" s="44" t="inlineStr">
        <is>
          <t>GS.4.3</t>
        </is>
      </c>
      <c r="B44" s="47" t="inlineStr">
        <is>
          <t>No</t>
        </is>
      </c>
      <c r="C44" s="47" t="n"/>
      <c r="D44" s="34" t="inlineStr">
        <is>
          <t>H.4.3</t>
        </is>
      </c>
      <c r="E44" s="27" t="inlineStr">
        <is>
          <t>X</t>
        </is>
      </c>
      <c r="F44" s="27" t="inlineStr">
        <is>
          <t>X</t>
        </is>
      </c>
      <c r="G44" s="27" t="inlineStr">
        <is>
          <t>X</t>
        </is>
      </c>
      <c r="H44" s="27" t="inlineStr">
        <is>
          <t>P</t>
        </is>
      </c>
      <c r="I44" s="37">
        <f>IF(COUNTA(E44:H44)&gt;0,"X","")</f>
        <v/>
      </c>
      <c r="J44" s="27" t="inlineStr">
        <is>
          <t>P</t>
        </is>
      </c>
      <c r="K44" s="27" t="inlineStr">
        <is>
          <t>P</t>
        </is>
      </c>
      <c r="L44" s="27" t="inlineStr">
        <is>
          <t>P</t>
        </is>
      </c>
      <c r="M44" s="27" t="inlineStr">
        <is>
          <t>P</t>
        </is>
      </c>
      <c r="N44" s="37">
        <f>IF(COUNTA(J44:M44)&gt;0,"X","")</f>
        <v/>
      </c>
      <c r="O44" s="35" t="n"/>
      <c r="P44" s="35" t="n"/>
      <c r="Q44" s="35" t="n"/>
      <c r="R44" s="35" t="n"/>
      <c r="S44" s="37">
        <f>IF(COUNTA(O44:R44)&gt;0,"X","")</f>
        <v/>
      </c>
      <c r="T44" s="35" t="n"/>
      <c r="U44" s="35" t="n"/>
      <c r="V44" s="35" t="n"/>
      <c r="W44" s="35" t="n"/>
      <c r="X44" s="37">
        <f>IF(COUNTA(T44:W44)&gt;0,"X","")</f>
        <v/>
      </c>
      <c r="Z44">
        <f>AND(I44&lt;&gt;"",N44&lt;&gt;"")</f>
        <v/>
      </c>
      <c r="AA44">
        <f>OR(I44&lt;&gt;"",N44&lt;&gt;"")</f>
        <v/>
      </c>
      <c r="AB44">
        <f>AND(I44&lt;&gt;"",S44&lt;&gt;"")</f>
        <v/>
      </c>
      <c r="AC44">
        <f>OR(I44&lt;&gt;"",S44&lt;&gt;"")</f>
        <v/>
      </c>
      <c r="AD44">
        <f>AND(I44&lt;&gt;"",X44&lt;&gt;"")</f>
        <v/>
      </c>
      <c r="AE44">
        <f>OR(I44&lt;&gt;"",X44&lt;&gt;"")</f>
        <v/>
      </c>
      <c r="AF44">
        <f>AND(N44&lt;&gt;"",S44&lt;&gt;"")</f>
        <v/>
      </c>
      <c r="AG44">
        <f>OR(N44&lt;&gt;"",S44&lt;&gt;"")</f>
        <v/>
      </c>
      <c r="AH44">
        <f>AND(N44&lt;&gt;"",X44&lt;&gt;"")</f>
        <v/>
      </c>
      <c r="AI44">
        <f>OR(N44&lt;&gt;"",X44&lt;&gt;"")</f>
        <v/>
      </c>
      <c r="AJ44">
        <f>AND(S44&lt;&gt;"",X44&lt;&gt;"")</f>
        <v/>
      </c>
      <c r="AK44">
        <f>OR(S44&lt;&gt;"",X44&lt;&gt;"")</f>
        <v/>
      </c>
      <c r="AM44">
        <f>AND(I44&lt;&gt;"",N44&lt;&gt;"",B44="No")</f>
        <v/>
      </c>
      <c r="AN44">
        <f>AND(OR(I44&lt;&gt;"",N44&lt;&gt;""),B44="No")</f>
        <v/>
      </c>
      <c r="AO44">
        <f>AND(I44&lt;&gt;"",S44&lt;&gt;"",B44="No")</f>
        <v/>
      </c>
      <c r="AP44">
        <f>AND(OR(I44&lt;&gt;"",S44&lt;&gt;""),B44="No")</f>
        <v/>
      </c>
      <c r="AQ44">
        <f>AND(I44&lt;&gt;"",X44&lt;&gt;"",B44="No")</f>
        <v/>
      </c>
      <c r="AR44">
        <f>AND(OR(I44&lt;&gt;"",X44&lt;&gt;""),B44="No")</f>
        <v/>
      </c>
      <c r="AS44">
        <f>AND(N44&lt;&gt;"",S44&lt;&gt;"",B44="No")</f>
        <v/>
      </c>
      <c r="AT44">
        <f>AND(OR(N44&lt;&gt;"",S44&lt;&gt;""),B44="No")</f>
        <v/>
      </c>
      <c r="AU44">
        <f>AND(N44&lt;&gt;"",X44&lt;&gt;"",B44="No")</f>
        <v/>
      </c>
      <c r="AV44">
        <f>AND(OR(N44&lt;&gt;"",X44&lt;&gt;""),B44="No")</f>
        <v/>
      </c>
      <c r="AW44">
        <f>AND(S44&lt;&gt;"",X44&lt;&gt;"",B44="No")</f>
        <v/>
      </c>
      <c r="AX44">
        <f>AND(OR(S44&lt;&gt;"",X44&lt;&gt;""),B44="No")</f>
        <v/>
      </c>
    </row>
    <row r="45">
      <c r="A45" s="44" t="inlineStr">
        <is>
          <t>GS.4.4</t>
        </is>
      </c>
      <c r="B45" s="47" t="inlineStr">
        <is>
          <t>No</t>
        </is>
      </c>
      <c r="C45" s="47" t="n"/>
      <c r="D45" s="34" t="inlineStr">
        <is>
          <t>H.4.4</t>
        </is>
      </c>
      <c r="E45" s="27" t="inlineStr">
        <is>
          <t>X</t>
        </is>
      </c>
      <c r="I45" s="37">
        <f>IF(COUNTA(E45:H45)&gt;0,"X","")</f>
        <v/>
      </c>
      <c r="J45" s="27" t="inlineStr">
        <is>
          <t>X</t>
        </is>
      </c>
      <c r="L45" s="27" t="inlineStr">
        <is>
          <t>P</t>
        </is>
      </c>
      <c r="M45" s="27" t="inlineStr">
        <is>
          <t>P</t>
        </is>
      </c>
      <c r="N45" s="37">
        <f>IF(COUNTA(J45:M45)&gt;0,"X","")</f>
        <v/>
      </c>
      <c r="O45" s="35" t="n"/>
      <c r="P45" s="35" t="n"/>
      <c r="Q45" s="35" t="n"/>
      <c r="R45" s="35" t="n"/>
      <c r="S45" s="37">
        <f>IF(COUNTA(O45:R45)&gt;0,"X","")</f>
        <v/>
      </c>
      <c r="T45" s="35" t="n"/>
      <c r="U45" s="35" t="n"/>
      <c r="V45" s="35" t="n"/>
      <c r="W45" s="35" t="n"/>
      <c r="X45" s="37">
        <f>IF(COUNTA(T45:W45)&gt;0,"X","")</f>
        <v/>
      </c>
      <c r="Z45">
        <f>AND(I45&lt;&gt;"",N45&lt;&gt;"")</f>
        <v/>
      </c>
      <c r="AA45">
        <f>OR(I45&lt;&gt;"",N45&lt;&gt;"")</f>
        <v/>
      </c>
      <c r="AB45">
        <f>AND(I45&lt;&gt;"",S45&lt;&gt;"")</f>
        <v/>
      </c>
      <c r="AC45">
        <f>OR(I45&lt;&gt;"",S45&lt;&gt;"")</f>
        <v/>
      </c>
      <c r="AD45">
        <f>AND(I45&lt;&gt;"",X45&lt;&gt;"")</f>
        <v/>
      </c>
      <c r="AE45">
        <f>OR(I45&lt;&gt;"",X45&lt;&gt;"")</f>
        <v/>
      </c>
      <c r="AF45">
        <f>AND(N45&lt;&gt;"",S45&lt;&gt;"")</f>
        <v/>
      </c>
      <c r="AG45">
        <f>OR(N45&lt;&gt;"",S45&lt;&gt;"")</f>
        <v/>
      </c>
      <c r="AH45">
        <f>AND(N45&lt;&gt;"",X45&lt;&gt;"")</f>
        <v/>
      </c>
      <c r="AI45">
        <f>OR(N45&lt;&gt;"",X45&lt;&gt;"")</f>
        <v/>
      </c>
      <c r="AJ45">
        <f>AND(S45&lt;&gt;"",X45&lt;&gt;"")</f>
        <v/>
      </c>
      <c r="AK45">
        <f>OR(S45&lt;&gt;"",X45&lt;&gt;"")</f>
        <v/>
      </c>
      <c r="AM45">
        <f>AND(I45&lt;&gt;"",N45&lt;&gt;"",B45="No")</f>
        <v/>
      </c>
      <c r="AN45">
        <f>AND(OR(I45&lt;&gt;"",N45&lt;&gt;""),B45="No")</f>
        <v/>
      </c>
      <c r="AO45">
        <f>AND(I45&lt;&gt;"",S45&lt;&gt;"",B45="No")</f>
        <v/>
      </c>
      <c r="AP45">
        <f>AND(OR(I45&lt;&gt;"",S45&lt;&gt;""),B45="No")</f>
        <v/>
      </c>
      <c r="AQ45">
        <f>AND(I45&lt;&gt;"",X45&lt;&gt;"",B45="No")</f>
        <v/>
      </c>
      <c r="AR45">
        <f>AND(OR(I45&lt;&gt;"",X45&lt;&gt;""),B45="No")</f>
        <v/>
      </c>
      <c r="AS45">
        <f>AND(N45&lt;&gt;"",S45&lt;&gt;"",B45="No")</f>
        <v/>
      </c>
      <c r="AT45">
        <f>AND(OR(N45&lt;&gt;"",S45&lt;&gt;""),B45="No")</f>
        <v/>
      </c>
      <c r="AU45">
        <f>AND(N45&lt;&gt;"",X45&lt;&gt;"",B45="No")</f>
        <v/>
      </c>
      <c r="AV45">
        <f>AND(OR(N45&lt;&gt;"",X45&lt;&gt;""),B45="No")</f>
        <v/>
      </c>
      <c r="AW45">
        <f>AND(S45&lt;&gt;"",X45&lt;&gt;"",B45="No")</f>
        <v/>
      </c>
      <c r="AX45">
        <f>AND(OR(S45&lt;&gt;"",X45&lt;&gt;""),B45="No")</f>
        <v/>
      </c>
    </row>
    <row r="46">
      <c r="A46" s="44" t="inlineStr">
        <is>
          <t>GS.4.5</t>
        </is>
      </c>
      <c r="B46" s="47" t="inlineStr">
        <is>
          <t>No</t>
        </is>
      </c>
      <c r="C46" s="47" t="n"/>
      <c r="D46" s="34" t="inlineStr">
        <is>
          <t>H.4.5</t>
        </is>
      </c>
      <c r="E46" s="27" t="inlineStr">
        <is>
          <t>X</t>
        </is>
      </c>
      <c r="F46" s="27" t="inlineStr">
        <is>
          <t>X</t>
        </is>
      </c>
      <c r="G46" s="27" t="inlineStr">
        <is>
          <t>X</t>
        </is>
      </c>
      <c r="H46" s="27" t="inlineStr">
        <is>
          <t>P</t>
        </is>
      </c>
      <c r="I46" s="37">
        <f>IF(COUNTA(E46:H46)&gt;0,"X","")</f>
        <v/>
      </c>
      <c r="J46" s="27" t="inlineStr">
        <is>
          <t>X</t>
        </is>
      </c>
      <c r="L46" s="27" t="inlineStr">
        <is>
          <t>P</t>
        </is>
      </c>
      <c r="M46" s="27" t="inlineStr">
        <is>
          <t>P</t>
        </is>
      </c>
      <c r="N46" s="37">
        <f>IF(COUNTA(J46:M46)&gt;0,"X","")</f>
        <v/>
      </c>
      <c r="O46" s="35" t="n"/>
      <c r="P46" s="35" t="n"/>
      <c r="Q46" s="35" t="n"/>
      <c r="R46" s="35" t="n"/>
      <c r="S46" s="37">
        <f>IF(COUNTA(O46:R46)&gt;0,"X","")</f>
        <v/>
      </c>
      <c r="T46" s="35" t="n"/>
      <c r="U46" s="35" t="n"/>
      <c r="V46" s="35" t="n"/>
      <c r="W46" s="35" t="n"/>
      <c r="X46" s="37">
        <f>IF(COUNTA(T46:W46)&gt;0,"X","")</f>
        <v/>
      </c>
      <c r="Z46">
        <f>AND(I46&lt;&gt;"",N46&lt;&gt;"")</f>
        <v/>
      </c>
      <c r="AA46">
        <f>OR(I46&lt;&gt;"",N46&lt;&gt;"")</f>
        <v/>
      </c>
      <c r="AB46">
        <f>AND(I46&lt;&gt;"",S46&lt;&gt;"")</f>
        <v/>
      </c>
      <c r="AC46">
        <f>OR(I46&lt;&gt;"",S46&lt;&gt;"")</f>
        <v/>
      </c>
      <c r="AD46">
        <f>AND(I46&lt;&gt;"",X46&lt;&gt;"")</f>
        <v/>
      </c>
      <c r="AE46">
        <f>OR(I46&lt;&gt;"",X46&lt;&gt;"")</f>
        <v/>
      </c>
      <c r="AF46">
        <f>AND(N46&lt;&gt;"",S46&lt;&gt;"")</f>
        <v/>
      </c>
      <c r="AG46">
        <f>OR(N46&lt;&gt;"",S46&lt;&gt;"")</f>
        <v/>
      </c>
      <c r="AH46">
        <f>AND(N46&lt;&gt;"",X46&lt;&gt;"")</f>
        <v/>
      </c>
      <c r="AI46">
        <f>OR(N46&lt;&gt;"",X46&lt;&gt;"")</f>
        <v/>
      </c>
      <c r="AJ46">
        <f>AND(S46&lt;&gt;"",X46&lt;&gt;"")</f>
        <v/>
      </c>
      <c r="AK46">
        <f>OR(S46&lt;&gt;"",X46&lt;&gt;"")</f>
        <v/>
      </c>
      <c r="AM46">
        <f>AND(I46&lt;&gt;"",N46&lt;&gt;"",B46="No")</f>
        <v/>
      </c>
      <c r="AN46">
        <f>AND(OR(I46&lt;&gt;"",N46&lt;&gt;""),B46="No")</f>
        <v/>
      </c>
      <c r="AO46">
        <f>AND(I46&lt;&gt;"",S46&lt;&gt;"",B46="No")</f>
        <v/>
      </c>
      <c r="AP46">
        <f>AND(OR(I46&lt;&gt;"",S46&lt;&gt;""),B46="No")</f>
        <v/>
      </c>
      <c r="AQ46">
        <f>AND(I46&lt;&gt;"",X46&lt;&gt;"",B46="No")</f>
        <v/>
      </c>
      <c r="AR46">
        <f>AND(OR(I46&lt;&gt;"",X46&lt;&gt;""),B46="No")</f>
        <v/>
      </c>
      <c r="AS46">
        <f>AND(N46&lt;&gt;"",S46&lt;&gt;"",B46="No")</f>
        <v/>
      </c>
      <c r="AT46">
        <f>AND(OR(N46&lt;&gt;"",S46&lt;&gt;""),B46="No")</f>
        <v/>
      </c>
      <c r="AU46">
        <f>AND(N46&lt;&gt;"",X46&lt;&gt;"",B46="No")</f>
        <v/>
      </c>
      <c r="AV46">
        <f>AND(OR(N46&lt;&gt;"",X46&lt;&gt;""),B46="No")</f>
        <v/>
      </c>
      <c r="AW46">
        <f>AND(S46&lt;&gt;"",X46&lt;&gt;"",B46="No")</f>
        <v/>
      </c>
      <c r="AX46">
        <f>AND(OR(S46&lt;&gt;"",X46&lt;&gt;""),B46="No")</f>
        <v/>
      </c>
    </row>
    <row r="47">
      <c r="A47" s="44" t="inlineStr">
        <is>
          <t>GS.4.6</t>
        </is>
      </c>
      <c r="B47" s="47" t="inlineStr">
        <is>
          <t>No</t>
        </is>
      </c>
      <c r="C47" s="47" t="n"/>
      <c r="D47" s="34" t="inlineStr">
        <is>
          <t>H.4.6</t>
        </is>
      </c>
      <c r="E47" s="35" t="n"/>
      <c r="F47" s="35" t="n"/>
      <c r="G47" s="35" t="n"/>
      <c r="H47" s="35" t="n"/>
      <c r="I47" s="37">
        <f>IF(COUNTA(E47:H47)&gt;0,"X","")</f>
        <v/>
      </c>
      <c r="K47" s="27" t="inlineStr">
        <is>
          <t>X</t>
        </is>
      </c>
      <c r="M47" s="27" t="inlineStr">
        <is>
          <t>X</t>
        </is>
      </c>
      <c r="N47" s="37">
        <f>IF(COUNTA(J47:M47)&gt;0,"X","")</f>
        <v/>
      </c>
      <c r="O47" s="35" t="n"/>
      <c r="P47" s="35" t="n"/>
      <c r="Q47" s="35" t="n"/>
      <c r="R47" s="35" t="n"/>
      <c r="S47" s="37">
        <f>IF(COUNTA(O47:R47)&gt;0,"X","")</f>
        <v/>
      </c>
      <c r="T47" s="35" t="n"/>
      <c r="U47" s="35" t="n"/>
      <c r="V47" s="35" t="n"/>
      <c r="W47" s="35" t="n"/>
      <c r="X47" s="37">
        <f>IF(COUNTA(T47:W47)&gt;0,"X","")</f>
        <v/>
      </c>
      <c r="Z47">
        <f>AND(I47&lt;&gt;"",N47&lt;&gt;"")</f>
        <v/>
      </c>
      <c r="AA47">
        <f>OR(I47&lt;&gt;"",N47&lt;&gt;"")</f>
        <v/>
      </c>
      <c r="AB47">
        <f>AND(I47&lt;&gt;"",S47&lt;&gt;"")</f>
        <v/>
      </c>
      <c r="AC47">
        <f>OR(I47&lt;&gt;"",S47&lt;&gt;"")</f>
        <v/>
      </c>
      <c r="AD47">
        <f>AND(I47&lt;&gt;"",X47&lt;&gt;"")</f>
        <v/>
      </c>
      <c r="AE47">
        <f>OR(I47&lt;&gt;"",X47&lt;&gt;"")</f>
        <v/>
      </c>
      <c r="AF47">
        <f>AND(N47&lt;&gt;"",S47&lt;&gt;"")</f>
        <v/>
      </c>
      <c r="AG47">
        <f>OR(N47&lt;&gt;"",S47&lt;&gt;"")</f>
        <v/>
      </c>
      <c r="AH47">
        <f>AND(N47&lt;&gt;"",X47&lt;&gt;"")</f>
        <v/>
      </c>
      <c r="AI47">
        <f>OR(N47&lt;&gt;"",X47&lt;&gt;"")</f>
        <v/>
      </c>
      <c r="AJ47">
        <f>AND(S47&lt;&gt;"",X47&lt;&gt;"")</f>
        <v/>
      </c>
      <c r="AK47">
        <f>OR(S47&lt;&gt;"",X47&lt;&gt;"")</f>
        <v/>
      </c>
      <c r="AM47">
        <f>AND(I47&lt;&gt;"",N47&lt;&gt;"",B47="No")</f>
        <v/>
      </c>
      <c r="AN47">
        <f>AND(OR(I47&lt;&gt;"",N47&lt;&gt;""),B47="No")</f>
        <v/>
      </c>
      <c r="AO47">
        <f>AND(I47&lt;&gt;"",S47&lt;&gt;"",B47="No")</f>
        <v/>
      </c>
      <c r="AP47">
        <f>AND(OR(I47&lt;&gt;"",S47&lt;&gt;""),B47="No")</f>
        <v/>
      </c>
      <c r="AQ47">
        <f>AND(I47&lt;&gt;"",X47&lt;&gt;"",B47="No")</f>
        <v/>
      </c>
      <c r="AR47">
        <f>AND(OR(I47&lt;&gt;"",X47&lt;&gt;""),B47="No")</f>
        <v/>
      </c>
      <c r="AS47">
        <f>AND(N47&lt;&gt;"",S47&lt;&gt;"",B47="No")</f>
        <v/>
      </c>
      <c r="AT47">
        <f>AND(OR(N47&lt;&gt;"",S47&lt;&gt;""),B47="No")</f>
        <v/>
      </c>
      <c r="AU47">
        <f>AND(N47&lt;&gt;"",X47&lt;&gt;"",B47="No")</f>
        <v/>
      </c>
      <c r="AV47">
        <f>AND(OR(N47&lt;&gt;"",X47&lt;&gt;""),B47="No")</f>
        <v/>
      </c>
      <c r="AW47">
        <f>AND(S47&lt;&gt;"",X47&lt;&gt;"",B47="No")</f>
        <v/>
      </c>
      <c r="AX47">
        <f>AND(OR(S47&lt;&gt;"",X47&lt;&gt;""),B47="No")</f>
        <v/>
      </c>
    </row>
    <row r="48">
      <c r="A48" s="44" t="inlineStr">
        <is>
          <t>GS.4.7</t>
        </is>
      </c>
      <c r="B48" s="47" t="inlineStr">
        <is>
          <t>No</t>
        </is>
      </c>
      <c r="C48" s="47" t="n"/>
      <c r="D48" s="34" t="inlineStr">
        <is>
          <t>H.4.7</t>
        </is>
      </c>
      <c r="E48" s="27" t="inlineStr">
        <is>
          <t>P</t>
        </is>
      </c>
      <c r="F48" s="27" t="inlineStr">
        <is>
          <t>P</t>
        </is>
      </c>
      <c r="G48" s="27" t="inlineStr">
        <is>
          <t>P</t>
        </is>
      </c>
      <c r="H48" s="27" t="inlineStr">
        <is>
          <t>P</t>
        </is>
      </c>
      <c r="I48" s="37">
        <f>IF(COUNTA(E48:H48)&gt;0,"X","")</f>
        <v/>
      </c>
      <c r="J48" s="27" t="inlineStr">
        <is>
          <t>X</t>
        </is>
      </c>
      <c r="K48" s="27" t="inlineStr">
        <is>
          <t>X</t>
        </is>
      </c>
      <c r="L48" s="27" t="inlineStr">
        <is>
          <t>X</t>
        </is>
      </c>
      <c r="M48" s="27" t="inlineStr">
        <is>
          <t>X</t>
        </is>
      </c>
      <c r="N48" s="37">
        <f>IF(COUNTA(J48:M48)&gt;0,"X","")</f>
        <v/>
      </c>
      <c r="O48" s="27" t="inlineStr">
        <is>
          <t>X</t>
        </is>
      </c>
      <c r="P48" s="27" t="inlineStr">
        <is>
          <t>X</t>
        </is>
      </c>
      <c r="Q48" s="27" t="inlineStr">
        <is>
          <t>X</t>
        </is>
      </c>
      <c r="R48" s="27" t="inlineStr">
        <is>
          <t>X</t>
        </is>
      </c>
      <c r="S48" s="37">
        <f>IF(COUNTA(O48:R48)&gt;0,"X","")</f>
        <v/>
      </c>
      <c r="U48" s="27" t="inlineStr">
        <is>
          <t>X</t>
        </is>
      </c>
      <c r="V48" s="27" t="inlineStr">
        <is>
          <t>X</t>
        </is>
      </c>
      <c r="W48" s="27" t="inlineStr">
        <is>
          <t>P</t>
        </is>
      </c>
      <c r="X48" s="37">
        <f>IF(COUNTA(T48:W48)&gt;0,"X","")</f>
        <v/>
      </c>
      <c r="Z48">
        <f>AND(I48&lt;&gt;"",N48&lt;&gt;"")</f>
        <v/>
      </c>
      <c r="AA48">
        <f>OR(I48&lt;&gt;"",N48&lt;&gt;"")</f>
        <v/>
      </c>
      <c r="AB48">
        <f>AND(I48&lt;&gt;"",S48&lt;&gt;"")</f>
        <v/>
      </c>
      <c r="AC48">
        <f>OR(I48&lt;&gt;"",S48&lt;&gt;"")</f>
        <v/>
      </c>
      <c r="AD48">
        <f>AND(I48&lt;&gt;"",X48&lt;&gt;"")</f>
        <v/>
      </c>
      <c r="AE48">
        <f>OR(I48&lt;&gt;"",X48&lt;&gt;"")</f>
        <v/>
      </c>
      <c r="AF48">
        <f>AND(N48&lt;&gt;"",S48&lt;&gt;"")</f>
        <v/>
      </c>
      <c r="AG48">
        <f>OR(N48&lt;&gt;"",S48&lt;&gt;"")</f>
        <v/>
      </c>
      <c r="AH48">
        <f>AND(N48&lt;&gt;"",X48&lt;&gt;"")</f>
        <v/>
      </c>
      <c r="AI48">
        <f>OR(N48&lt;&gt;"",X48&lt;&gt;"")</f>
        <v/>
      </c>
      <c r="AJ48">
        <f>AND(S48&lt;&gt;"",X48&lt;&gt;"")</f>
        <v/>
      </c>
      <c r="AK48">
        <f>OR(S48&lt;&gt;"",X48&lt;&gt;"")</f>
        <v/>
      </c>
      <c r="AM48">
        <f>AND(I48&lt;&gt;"",N48&lt;&gt;"",B48="No")</f>
        <v/>
      </c>
      <c r="AN48">
        <f>AND(OR(I48&lt;&gt;"",N48&lt;&gt;""),B48="No")</f>
        <v/>
      </c>
      <c r="AO48">
        <f>AND(I48&lt;&gt;"",S48&lt;&gt;"",B48="No")</f>
        <v/>
      </c>
      <c r="AP48">
        <f>AND(OR(I48&lt;&gt;"",S48&lt;&gt;""),B48="No")</f>
        <v/>
      </c>
      <c r="AQ48">
        <f>AND(I48&lt;&gt;"",X48&lt;&gt;"",B48="No")</f>
        <v/>
      </c>
      <c r="AR48">
        <f>AND(OR(I48&lt;&gt;"",X48&lt;&gt;""),B48="No")</f>
        <v/>
      </c>
      <c r="AS48">
        <f>AND(N48&lt;&gt;"",S48&lt;&gt;"",B48="No")</f>
        <v/>
      </c>
      <c r="AT48">
        <f>AND(OR(N48&lt;&gt;"",S48&lt;&gt;""),B48="No")</f>
        <v/>
      </c>
      <c r="AU48">
        <f>AND(N48&lt;&gt;"",X48&lt;&gt;"",B48="No")</f>
        <v/>
      </c>
      <c r="AV48">
        <f>AND(OR(N48&lt;&gt;"",X48&lt;&gt;""),B48="No")</f>
        <v/>
      </c>
      <c r="AW48">
        <f>AND(S48&lt;&gt;"",X48&lt;&gt;"",B48="No")</f>
        <v/>
      </c>
      <c r="AX48">
        <f>AND(OR(S48&lt;&gt;"",X48&lt;&gt;""),B48="No")</f>
        <v/>
      </c>
    </row>
    <row r="49">
      <c r="A49" s="44" t="inlineStr">
        <is>
          <t>GS.4.8</t>
        </is>
      </c>
      <c r="B49" s="47" t="inlineStr">
        <is>
          <t>No</t>
        </is>
      </c>
      <c r="C49" s="47" t="n"/>
      <c r="D49" s="34" t="inlineStr">
        <is>
          <t>H.4.8</t>
        </is>
      </c>
      <c r="E49" s="27" t="inlineStr">
        <is>
          <t>P</t>
        </is>
      </c>
      <c r="I49" s="37">
        <f>IF(COUNTA(E49:H49)&gt;0,"X","")</f>
        <v/>
      </c>
      <c r="J49" s="27" t="inlineStr">
        <is>
          <t>P</t>
        </is>
      </c>
      <c r="K49" s="27" t="inlineStr">
        <is>
          <t>P</t>
        </is>
      </c>
      <c r="L49" s="27" t="inlineStr">
        <is>
          <t>P</t>
        </is>
      </c>
      <c r="M49" s="27" t="inlineStr">
        <is>
          <t>P</t>
        </is>
      </c>
      <c r="N49" s="37">
        <f>IF(COUNTA(J49:M49)&gt;0,"X","")</f>
        <v/>
      </c>
      <c r="O49" s="35" t="n"/>
      <c r="P49" s="35" t="n"/>
      <c r="Q49" s="35" t="n"/>
      <c r="R49" s="35" t="n"/>
      <c r="S49" s="37">
        <f>IF(COUNTA(O49:R49)&gt;0,"X","")</f>
        <v/>
      </c>
      <c r="T49" s="27" t="inlineStr">
        <is>
          <t>P</t>
        </is>
      </c>
      <c r="U49" s="27" t="inlineStr">
        <is>
          <t>P</t>
        </is>
      </c>
      <c r="X49" s="37">
        <f>IF(COUNTA(T49:W49)&gt;0,"X","")</f>
        <v/>
      </c>
      <c r="Z49">
        <f>AND(I49&lt;&gt;"",N49&lt;&gt;"")</f>
        <v/>
      </c>
      <c r="AA49">
        <f>OR(I49&lt;&gt;"",N49&lt;&gt;"")</f>
        <v/>
      </c>
      <c r="AB49">
        <f>AND(I49&lt;&gt;"",S49&lt;&gt;"")</f>
        <v/>
      </c>
      <c r="AC49">
        <f>OR(I49&lt;&gt;"",S49&lt;&gt;"")</f>
        <v/>
      </c>
      <c r="AD49">
        <f>AND(I49&lt;&gt;"",X49&lt;&gt;"")</f>
        <v/>
      </c>
      <c r="AE49">
        <f>OR(I49&lt;&gt;"",X49&lt;&gt;"")</f>
        <v/>
      </c>
      <c r="AF49">
        <f>AND(N49&lt;&gt;"",S49&lt;&gt;"")</f>
        <v/>
      </c>
      <c r="AG49">
        <f>OR(N49&lt;&gt;"",S49&lt;&gt;"")</f>
        <v/>
      </c>
      <c r="AH49">
        <f>AND(N49&lt;&gt;"",X49&lt;&gt;"")</f>
        <v/>
      </c>
      <c r="AI49">
        <f>OR(N49&lt;&gt;"",X49&lt;&gt;"")</f>
        <v/>
      </c>
      <c r="AJ49">
        <f>AND(S49&lt;&gt;"",X49&lt;&gt;"")</f>
        <v/>
      </c>
      <c r="AK49">
        <f>OR(S49&lt;&gt;"",X49&lt;&gt;"")</f>
        <v/>
      </c>
      <c r="AM49">
        <f>AND(I49&lt;&gt;"",N49&lt;&gt;"",B49="No")</f>
        <v/>
      </c>
      <c r="AN49">
        <f>AND(OR(I49&lt;&gt;"",N49&lt;&gt;""),B49="No")</f>
        <v/>
      </c>
      <c r="AO49">
        <f>AND(I49&lt;&gt;"",S49&lt;&gt;"",B49="No")</f>
        <v/>
      </c>
      <c r="AP49">
        <f>AND(OR(I49&lt;&gt;"",S49&lt;&gt;""),B49="No")</f>
        <v/>
      </c>
      <c r="AQ49">
        <f>AND(I49&lt;&gt;"",X49&lt;&gt;"",B49="No")</f>
        <v/>
      </c>
      <c r="AR49">
        <f>AND(OR(I49&lt;&gt;"",X49&lt;&gt;""),B49="No")</f>
        <v/>
      </c>
      <c r="AS49">
        <f>AND(N49&lt;&gt;"",S49&lt;&gt;"",B49="No")</f>
        <v/>
      </c>
      <c r="AT49">
        <f>AND(OR(N49&lt;&gt;"",S49&lt;&gt;""),B49="No")</f>
        <v/>
      </c>
      <c r="AU49">
        <f>AND(N49&lt;&gt;"",X49&lt;&gt;"",B49="No")</f>
        <v/>
      </c>
      <c r="AV49">
        <f>AND(OR(N49&lt;&gt;"",X49&lt;&gt;""),B49="No")</f>
        <v/>
      </c>
      <c r="AW49">
        <f>AND(S49&lt;&gt;"",X49&lt;&gt;"",B49="No")</f>
        <v/>
      </c>
      <c r="AX49">
        <f>AND(OR(S49&lt;&gt;"",X49&lt;&gt;""),B49="No")</f>
        <v/>
      </c>
    </row>
    <row r="50">
      <c r="A50" s="44" t="inlineStr">
        <is>
          <t>GS.4.9</t>
        </is>
      </c>
      <c r="B50" s="47" t="inlineStr">
        <is>
          <t>No</t>
        </is>
      </c>
      <c r="C50" s="47" t="n"/>
      <c r="D50" s="34" t="n"/>
      <c r="E50" s="35" t="inlineStr">
        <is>
          <t>X</t>
        </is>
      </c>
      <c r="F50" s="35" t="n"/>
      <c r="G50" s="35" t="n"/>
      <c r="H50" s="35" t="n"/>
      <c r="I50" s="37">
        <f>IF(COUNTA(E50:H50)&gt;0,"X","")</f>
        <v/>
      </c>
      <c r="J50" s="35" t="n"/>
      <c r="K50" s="35" t="n"/>
      <c r="L50" s="35" t="n"/>
      <c r="M50" s="35" t="n"/>
      <c r="N50" s="37">
        <f>IF(COUNTA(J50:M50)&gt;0,"X","")</f>
        <v/>
      </c>
      <c r="O50" s="35" t="n"/>
      <c r="P50" s="35" t="n"/>
      <c r="Q50" s="35" t="n"/>
      <c r="R50" s="35" t="n"/>
      <c r="S50" s="37">
        <f>IF(COUNTA(O50:R50)&gt;0,"X","")</f>
        <v/>
      </c>
      <c r="T50" s="35" t="n"/>
      <c r="U50" s="35" t="n"/>
      <c r="V50" s="35" t="n"/>
      <c r="W50" s="35" t="n"/>
      <c r="X50" s="37">
        <f>IF(COUNTA(T50:W50)&gt;0,"X","")</f>
        <v/>
      </c>
      <c r="Z50">
        <f>AND(I50&lt;&gt;"",N50&lt;&gt;"")</f>
        <v/>
      </c>
      <c r="AA50">
        <f>OR(I50&lt;&gt;"",N50&lt;&gt;"")</f>
        <v/>
      </c>
      <c r="AB50">
        <f>AND(I50&lt;&gt;"",S50&lt;&gt;"")</f>
        <v/>
      </c>
      <c r="AC50">
        <f>OR(I50&lt;&gt;"",S50&lt;&gt;"")</f>
        <v/>
      </c>
      <c r="AD50">
        <f>AND(I50&lt;&gt;"",X50&lt;&gt;"")</f>
        <v/>
      </c>
      <c r="AE50">
        <f>OR(I50&lt;&gt;"",X50&lt;&gt;"")</f>
        <v/>
      </c>
      <c r="AF50">
        <f>AND(N50&lt;&gt;"",S50&lt;&gt;"")</f>
        <v/>
      </c>
      <c r="AG50">
        <f>OR(N50&lt;&gt;"",S50&lt;&gt;"")</f>
        <v/>
      </c>
      <c r="AH50">
        <f>AND(N50&lt;&gt;"",X50&lt;&gt;"")</f>
        <v/>
      </c>
      <c r="AI50">
        <f>OR(N50&lt;&gt;"",X50&lt;&gt;"")</f>
        <v/>
      </c>
      <c r="AJ50">
        <f>AND(S50&lt;&gt;"",X50&lt;&gt;"")</f>
        <v/>
      </c>
      <c r="AK50">
        <f>OR(S50&lt;&gt;"",X50&lt;&gt;"")</f>
        <v/>
      </c>
      <c r="AM50">
        <f>AND(I50&lt;&gt;"",N50&lt;&gt;"",B50="No")</f>
        <v/>
      </c>
      <c r="AN50">
        <f>AND(OR(I50&lt;&gt;"",N50&lt;&gt;""),B50="No")</f>
        <v/>
      </c>
      <c r="AO50">
        <f>AND(I50&lt;&gt;"",S50&lt;&gt;"",B50="No")</f>
        <v/>
      </c>
      <c r="AP50">
        <f>AND(OR(I50&lt;&gt;"",S50&lt;&gt;""),B50="No")</f>
        <v/>
      </c>
      <c r="AQ50">
        <f>AND(I50&lt;&gt;"",X50&lt;&gt;"",B50="No")</f>
        <v/>
      </c>
      <c r="AR50">
        <f>AND(OR(I50&lt;&gt;"",X50&lt;&gt;""),B50="No")</f>
        <v/>
      </c>
      <c r="AS50">
        <f>AND(N50&lt;&gt;"",S50&lt;&gt;"",B50="No")</f>
        <v/>
      </c>
      <c r="AT50">
        <f>AND(OR(N50&lt;&gt;"",S50&lt;&gt;""),B50="No")</f>
        <v/>
      </c>
      <c r="AU50">
        <f>AND(N50&lt;&gt;"",X50&lt;&gt;"",B50="No")</f>
        <v/>
      </c>
      <c r="AV50">
        <f>AND(OR(N50&lt;&gt;"",X50&lt;&gt;""),B50="No")</f>
        <v/>
      </c>
      <c r="AW50">
        <f>AND(S50&lt;&gt;"",X50&lt;&gt;"",B50="No")</f>
        <v/>
      </c>
      <c r="AX50">
        <f>AND(OR(S50&lt;&gt;"",X50&lt;&gt;""),B50="No")</f>
        <v/>
      </c>
    </row>
    <row r="51">
      <c r="A51" s="44" t="inlineStr">
        <is>
          <t>GS.4.10</t>
        </is>
      </c>
      <c r="B51" s="47" t="inlineStr">
        <is>
          <t>No</t>
        </is>
      </c>
      <c r="C51" s="47" t="n"/>
      <c r="D51" s="34" t="n"/>
      <c r="E51" s="35" t="inlineStr">
        <is>
          <t>X</t>
        </is>
      </c>
      <c r="F51" s="35" t="n"/>
      <c r="G51" s="35" t="n"/>
      <c r="H51" s="35" t="n"/>
      <c r="I51" s="37">
        <f>IF(COUNTA(E51:H51)&gt;0,"X","")</f>
        <v/>
      </c>
      <c r="J51" s="35" t="n"/>
      <c r="K51" s="35" t="n"/>
      <c r="L51" s="35" t="n"/>
      <c r="M51" s="35" t="n"/>
      <c r="N51" s="37">
        <f>IF(COUNTA(J51:M51)&gt;0,"X","")</f>
        <v/>
      </c>
      <c r="O51" s="35" t="inlineStr">
        <is>
          <t>X</t>
        </is>
      </c>
      <c r="P51" s="35" t="inlineStr">
        <is>
          <t>X</t>
        </is>
      </c>
      <c r="Q51" s="35" t="inlineStr">
        <is>
          <t>X</t>
        </is>
      </c>
      <c r="R51" s="35" t="inlineStr">
        <is>
          <t>X</t>
        </is>
      </c>
      <c r="S51" s="37">
        <f>IF(COUNTA(O51:R51)&gt;0,"X","")</f>
        <v/>
      </c>
      <c r="T51" s="35" t="n"/>
      <c r="U51" s="35" t="n"/>
      <c r="V51" s="35" t="n"/>
      <c r="W51" s="35" t="n"/>
      <c r="X51" s="37">
        <f>IF(COUNTA(T51:W51)&gt;0,"X","")</f>
        <v/>
      </c>
      <c r="Z51">
        <f>AND(I51&lt;&gt;"",N51&lt;&gt;"")</f>
        <v/>
      </c>
      <c r="AA51">
        <f>OR(I51&lt;&gt;"",N51&lt;&gt;"")</f>
        <v/>
      </c>
      <c r="AB51">
        <f>AND(I51&lt;&gt;"",S51&lt;&gt;"")</f>
        <v/>
      </c>
      <c r="AC51">
        <f>OR(I51&lt;&gt;"",S51&lt;&gt;"")</f>
        <v/>
      </c>
      <c r="AD51">
        <f>AND(I51&lt;&gt;"",X51&lt;&gt;"")</f>
        <v/>
      </c>
      <c r="AE51">
        <f>OR(I51&lt;&gt;"",X51&lt;&gt;"")</f>
        <v/>
      </c>
      <c r="AF51">
        <f>AND(N51&lt;&gt;"",S51&lt;&gt;"")</f>
        <v/>
      </c>
      <c r="AG51">
        <f>OR(N51&lt;&gt;"",S51&lt;&gt;"")</f>
        <v/>
      </c>
      <c r="AH51">
        <f>AND(N51&lt;&gt;"",X51&lt;&gt;"")</f>
        <v/>
      </c>
      <c r="AI51">
        <f>OR(N51&lt;&gt;"",X51&lt;&gt;"")</f>
        <v/>
      </c>
      <c r="AJ51">
        <f>AND(S51&lt;&gt;"",X51&lt;&gt;"")</f>
        <v/>
      </c>
      <c r="AK51">
        <f>OR(S51&lt;&gt;"",X51&lt;&gt;"")</f>
        <v/>
      </c>
      <c r="AM51">
        <f>AND(I51&lt;&gt;"",N51&lt;&gt;"",B51="No")</f>
        <v/>
      </c>
      <c r="AN51">
        <f>AND(OR(I51&lt;&gt;"",N51&lt;&gt;""),B51="No")</f>
        <v/>
      </c>
      <c r="AO51">
        <f>AND(I51&lt;&gt;"",S51&lt;&gt;"",B51="No")</f>
        <v/>
      </c>
      <c r="AP51">
        <f>AND(OR(I51&lt;&gt;"",S51&lt;&gt;""),B51="No")</f>
        <v/>
      </c>
      <c r="AQ51">
        <f>AND(I51&lt;&gt;"",X51&lt;&gt;"",B51="No")</f>
        <v/>
      </c>
      <c r="AR51">
        <f>AND(OR(I51&lt;&gt;"",X51&lt;&gt;""),B51="No")</f>
        <v/>
      </c>
      <c r="AS51">
        <f>AND(N51&lt;&gt;"",S51&lt;&gt;"",B51="No")</f>
        <v/>
      </c>
      <c r="AT51">
        <f>AND(OR(N51&lt;&gt;"",S51&lt;&gt;""),B51="No")</f>
        <v/>
      </c>
      <c r="AU51">
        <f>AND(N51&lt;&gt;"",X51&lt;&gt;"",B51="No")</f>
        <v/>
      </c>
      <c r="AV51">
        <f>AND(OR(N51&lt;&gt;"",X51&lt;&gt;""),B51="No")</f>
        <v/>
      </c>
      <c r="AW51">
        <f>AND(S51&lt;&gt;"",X51&lt;&gt;"",B51="No")</f>
        <v/>
      </c>
      <c r="AX51">
        <f>AND(OR(S51&lt;&gt;"",X51&lt;&gt;""),B51="No")</f>
        <v/>
      </c>
    </row>
    <row r="52">
      <c r="A52" s="44" t="inlineStr">
        <is>
          <t>GS.4.11</t>
        </is>
      </c>
      <c r="B52" s="47" t="inlineStr">
        <is>
          <t>No</t>
        </is>
      </c>
      <c r="C52" s="47" t="n"/>
      <c r="D52" s="34" t="n"/>
      <c r="E52" s="35" t="inlineStr">
        <is>
          <t>X</t>
        </is>
      </c>
      <c r="F52" s="35" t="n"/>
      <c r="G52" s="35" t="n"/>
      <c r="H52" s="35" t="n"/>
      <c r="I52" s="37">
        <f>IF(COUNTA(E52:H52)&gt;0,"X","")</f>
        <v/>
      </c>
      <c r="J52" s="35" t="n"/>
      <c r="K52" s="35" t="n"/>
      <c r="L52" s="35" t="n"/>
      <c r="M52" s="35" t="n"/>
      <c r="N52" s="37">
        <f>IF(COUNTA(J52:M52)&gt;0,"X","")</f>
        <v/>
      </c>
      <c r="O52" s="35" t="inlineStr">
        <is>
          <t>X</t>
        </is>
      </c>
      <c r="P52" s="35" t="inlineStr">
        <is>
          <t>X</t>
        </is>
      </c>
      <c r="Q52" s="35" t="inlineStr">
        <is>
          <t>X</t>
        </is>
      </c>
      <c r="R52" s="35" t="inlineStr">
        <is>
          <t>X</t>
        </is>
      </c>
      <c r="S52" s="37">
        <f>IF(COUNTA(O52:R52)&gt;0,"X","")</f>
        <v/>
      </c>
      <c r="T52" s="35" t="n"/>
      <c r="U52" s="35" t="n"/>
      <c r="V52" s="35" t="n"/>
      <c r="W52" s="35" t="n"/>
      <c r="X52" s="37">
        <f>IF(COUNTA(T52:W52)&gt;0,"X","")</f>
        <v/>
      </c>
      <c r="Z52">
        <f>AND(I52&lt;&gt;"",N52&lt;&gt;"")</f>
        <v/>
      </c>
      <c r="AA52">
        <f>OR(I52&lt;&gt;"",N52&lt;&gt;"")</f>
        <v/>
      </c>
      <c r="AB52">
        <f>AND(I52&lt;&gt;"",S52&lt;&gt;"")</f>
        <v/>
      </c>
      <c r="AC52">
        <f>OR(I52&lt;&gt;"",S52&lt;&gt;"")</f>
        <v/>
      </c>
      <c r="AD52">
        <f>AND(I52&lt;&gt;"",X52&lt;&gt;"")</f>
        <v/>
      </c>
      <c r="AE52">
        <f>OR(I52&lt;&gt;"",X52&lt;&gt;"")</f>
        <v/>
      </c>
      <c r="AF52">
        <f>AND(N52&lt;&gt;"",S52&lt;&gt;"")</f>
        <v/>
      </c>
      <c r="AG52">
        <f>OR(N52&lt;&gt;"",S52&lt;&gt;"")</f>
        <v/>
      </c>
      <c r="AH52">
        <f>AND(N52&lt;&gt;"",X52&lt;&gt;"")</f>
        <v/>
      </c>
      <c r="AI52">
        <f>OR(N52&lt;&gt;"",X52&lt;&gt;"")</f>
        <v/>
      </c>
      <c r="AJ52">
        <f>AND(S52&lt;&gt;"",X52&lt;&gt;"")</f>
        <v/>
      </c>
      <c r="AK52">
        <f>OR(S52&lt;&gt;"",X52&lt;&gt;"")</f>
        <v/>
      </c>
      <c r="AM52">
        <f>AND(I52&lt;&gt;"",N52&lt;&gt;"",B52="No")</f>
        <v/>
      </c>
      <c r="AN52">
        <f>AND(OR(I52&lt;&gt;"",N52&lt;&gt;""),B52="No")</f>
        <v/>
      </c>
      <c r="AO52">
        <f>AND(I52&lt;&gt;"",S52&lt;&gt;"",B52="No")</f>
        <v/>
      </c>
      <c r="AP52">
        <f>AND(OR(I52&lt;&gt;"",S52&lt;&gt;""),B52="No")</f>
        <v/>
      </c>
      <c r="AQ52">
        <f>AND(I52&lt;&gt;"",X52&lt;&gt;"",B52="No")</f>
        <v/>
      </c>
      <c r="AR52">
        <f>AND(OR(I52&lt;&gt;"",X52&lt;&gt;""),B52="No")</f>
        <v/>
      </c>
      <c r="AS52">
        <f>AND(N52&lt;&gt;"",S52&lt;&gt;"",B52="No")</f>
        <v/>
      </c>
      <c r="AT52">
        <f>AND(OR(N52&lt;&gt;"",S52&lt;&gt;""),B52="No")</f>
        <v/>
      </c>
      <c r="AU52">
        <f>AND(N52&lt;&gt;"",X52&lt;&gt;"",B52="No")</f>
        <v/>
      </c>
      <c r="AV52">
        <f>AND(OR(N52&lt;&gt;"",X52&lt;&gt;""),B52="No")</f>
        <v/>
      </c>
      <c r="AW52">
        <f>AND(S52&lt;&gt;"",X52&lt;&gt;"",B52="No")</f>
        <v/>
      </c>
      <c r="AX52">
        <f>AND(OR(S52&lt;&gt;"",X52&lt;&gt;""),B52="No")</f>
        <v/>
      </c>
    </row>
    <row r="53">
      <c r="A53" s="44" t="inlineStr">
        <is>
          <t>GS.4.12</t>
        </is>
      </c>
      <c r="B53" s="47" t="inlineStr">
        <is>
          <t>No</t>
        </is>
      </c>
      <c r="C53" s="47" t="n"/>
      <c r="D53" s="34" t="n"/>
      <c r="E53" s="35" t="inlineStr">
        <is>
          <t>X</t>
        </is>
      </c>
      <c r="F53" s="35" t="n"/>
      <c r="G53" s="35" t="n"/>
      <c r="H53" s="35" t="n"/>
      <c r="I53" s="37">
        <f>IF(COUNTA(E53:H53)&gt;0,"X","")</f>
        <v/>
      </c>
      <c r="J53" s="35" t="n"/>
      <c r="K53" s="35" t="n"/>
      <c r="L53" s="35" t="n"/>
      <c r="M53" s="35" t="n"/>
      <c r="N53" s="37">
        <f>IF(COUNTA(J53:M53)&gt;0,"X","")</f>
        <v/>
      </c>
      <c r="O53" s="35" t="inlineStr">
        <is>
          <t>X</t>
        </is>
      </c>
      <c r="P53" s="35" t="inlineStr">
        <is>
          <t>X</t>
        </is>
      </c>
      <c r="Q53" s="35" t="inlineStr">
        <is>
          <t>X</t>
        </is>
      </c>
      <c r="R53" s="35" t="inlineStr">
        <is>
          <t>X</t>
        </is>
      </c>
      <c r="S53" s="37">
        <f>IF(COUNTA(O53:R53)&gt;0,"X","")</f>
        <v/>
      </c>
      <c r="T53" s="35" t="n"/>
      <c r="U53" s="35" t="n"/>
      <c r="V53" s="35" t="n"/>
      <c r="W53" s="35" t="n"/>
      <c r="X53" s="37">
        <f>IF(COUNTA(T53:W53)&gt;0,"X","")</f>
        <v/>
      </c>
      <c r="Z53">
        <f>AND(I53&lt;&gt;"",N53&lt;&gt;"")</f>
        <v/>
      </c>
      <c r="AA53">
        <f>OR(I53&lt;&gt;"",N53&lt;&gt;"")</f>
        <v/>
      </c>
      <c r="AB53">
        <f>AND(I53&lt;&gt;"",S53&lt;&gt;"")</f>
        <v/>
      </c>
      <c r="AC53">
        <f>OR(I53&lt;&gt;"",S53&lt;&gt;"")</f>
        <v/>
      </c>
      <c r="AD53">
        <f>AND(I53&lt;&gt;"",X53&lt;&gt;"")</f>
        <v/>
      </c>
      <c r="AE53">
        <f>OR(I53&lt;&gt;"",X53&lt;&gt;"")</f>
        <v/>
      </c>
      <c r="AF53">
        <f>AND(N53&lt;&gt;"",S53&lt;&gt;"")</f>
        <v/>
      </c>
      <c r="AG53">
        <f>OR(N53&lt;&gt;"",S53&lt;&gt;"")</f>
        <v/>
      </c>
      <c r="AH53">
        <f>AND(N53&lt;&gt;"",X53&lt;&gt;"")</f>
        <v/>
      </c>
      <c r="AI53">
        <f>OR(N53&lt;&gt;"",X53&lt;&gt;"")</f>
        <v/>
      </c>
      <c r="AJ53">
        <f>AND(S53&lt;&gt;"",X53&lt;&gt;"")</f>
        <v/>
      </c>
      <c r="AK53">
        <f>OR(S53&lt;&gt;"",X53&lt;&gt;"")</f>
        <v/>
      </c>
      <c r="AM53">
        <f>AND(I53&lt;&gt;"",N53&lt;&gt;"",B53="No")</f>
        <v/>
      </c>
      <c r="AN53">
        <f>AND(OR(I53&lt;&gt;"",N53&lt;&gt;""),B53="No")</f>
        <v/>
      </c>
      <c r="AO53">
        <f>AND(I53&lt;&gt;"",S53&lt;&gt;"",B53="No")</f>
        <v/>
      </c>
      <c r="AP53">
        <f>AND(OR(I53&lt;&gt;"",S53&lt;&gt;""),B53="No")</f>
        <v/>
      </c>
      <c r="AQ53">
        <f>AND(I53&lt;&gt;"",X53&lt;&gt;"",B53="No")</f>
        <v/>
      </c>
      <c r="AR53">
        <f>AND(OR(I53&lt;&gt;"",X53&lt;&gt;""),B53="No")</f>
        <v/>
      </c>
      <c r="AS53">
        <f>AND(N53&lt;&gt;"",S53&lt;&gt;"",B53="No")</f>
        <v/>
      </c>
      <c r="AT53">
        <f>AND(OR(N53&lt;&gt;"",S53&lt;&gt;""),B53="No")</f>
        <v/>
      </c>
      <c r="AU53">
        <f>AND(N53&lt;&gt;"",X53&lt;&gt;"",B53="No")</f>
        <v/>
      </c>
      <c r="AV53">
        <f>AND(OR(N53&lt;&gt;"",X53&lt;&gt;""),B53="No")</f>
        <v/>
      </c>
      <c r="AW53">
        <f>AND(S53&lt;&gt;"",X53&lt;&gt;"",B53="No")</f>
        <v/>
      </c>
      <c r="AX53">
        <f>AND(OR(S53&lt;&gt;"",X53&lt;&gt;""),B53="No")</f>
        <v/>
      </c>
    </row>
    <row r="54">
      <c r="A54" s="44" t="inlineStr">
        <is>
          <t>GS.4.14</t>
        </is>
      </c>
      <c r="B54" s="47" t="inlineStr">
        <is>
          <t>No</t>
        </is>
      </c>
      <c r="C54" s="47" t="n"/>
      <c r="D54" s="34" t="n"/>
      <c r="E54" s="35" t="n"/>
      <c r="F54" s="35" t="n"/>
      <c r="G54" s="35" t="n"/>
      <c r="H54" s="35" t="n"/>
      <c r="I54" s="37">
        <f>IF(COUNTA(E54:H54)&gt;0,"X","")</f>
        <v/>
      </c>
      <c r="J54" s="35" t="n"/>
      <c r="K54" s="35" t="n"/>
      <c r="L54" s="35" t="n"/>
      <c r="M54" s="35" t="n"/>
      <c r="N54" s="37">
        <f>IF(COUNTA(J54:M54)&gt;0,"X","")</f>
        <v/>
      </c>
      <c r="O54" s="35" t="n"/>
      <c r="P54" s="35" t="n"/>
      <c r="Q54" s="35" t="n"/>
      <c r="R54" s="35" t="n"/>
      <c r="S54" s="37">
        <f>IF(COUNTA(O54:R54)&gt;0,"X","")</f>
        <v/>
      </c>
      <c r="T54" s="35" t="n"/>
      <c r="U54" s="35" t="n"/>
      <c r="V54" s="35" t="n"/>
      <c r="W54" s="35" t="n"/>
      <c r="X54" s="37">
        <f>IF(COUNTA(T54:W54)&gt;0,"X","")</f>
        <v/>
      </c>
      <c r="Z54">
        <f>AND(I54&lt;&gt;"",N54&lt;&gt;"")</f>
        <v/>
      </c>
      <c r="AA54">
        <f>OR(I54&lt;&gt;"",N54&lt;&gt;"")</f>
        <v/>
      </c>
      <c r="AB54">
        <f>AND(I54&lt;&gt;"",S54&lt;&gt;"")</f>
        <v/>
      </c>
      <c r="AC54">
        <f>OR(I54&lt;&gt;"",S54&lt;&gt;"")</f>
        <v/>
      </c>
      <c r="AD54">
        <f>AND(I54&lt;&gt;"",X54&lt;&gt;"")</f>
        <v/>
      </c>
      <c r="AE54">
        <f>OR(I54&lt;&gt;"",X54&lt;&gt;"")</f>
        <v/>
      </c>
      <c r="AF54">
        <f>AND(N54&lt;&gt;"",S54&lt;&gt;"")</f>
        <v/>
      </c>
      <c r="AG54">
        <f>OR(N54&lt;&gt;"",S54&lt;&gt;"")</f>
        <v/>
      </c>
      <c r="AH54">
        <f>AND(N54&lt;&gt;"",X54&lt;&gt;"")</f>
        <v/>
      </c>
      <c r="AI54">
        <f>OR(N54&lt;&gt;"",X54&lt;&gt;"")</f>
        <v/>
      </c>
      <c r="AJ54">
        <f>AND(S54&lt;&gt;"",X54&lt;&gt;"")</f>
        <v/>
      </c>
      <c r="AK54">
        <f>OR(S54&lt;&gt;"",X54&lt;&gt;"")</f>
        <v/>
      </c>
      <c r="AM54">
        <f>AND(I54&lt;&gt;"",N54&lt;&gt;"",B54="No")</f>
        <v/>
      </c>
      <c r="AN54">
        <f>AND(OR(I54&lt;&gt;"",N54&lt;&gt;""),B54="No")</f>
        <v/>
      </c>
      <c r="AO54">
        <f>AND(I54&lt;&gt;"",S54&lt;&gt;"",B54="No")</f>
        <v/>
      </c>
      <c r="AP54">
        <f>AND(OR(I54&lt;&gt;"",S54&lt;&gt;""),B54="No")</f>
        <v/>
      </c>
      <c r="AQ54">
        <f>AND(I54&lt;&gt;"",X54&lt;&gt;"",B54="No")</f>
        <v/>
      </c>
      <c r="AR54">
        <f>AND(OR(I54&lt;&gt;"",X54&lt;&gt;""),B54="No")</f>
        <v/>
      </c>
      <c r="AS54">
        <f>AND(N54&lt;&gt;"",S54&lt;&gt;"",B54="No")</f>
        <v/>
      </c>
      <c r="AT54">
        <f>AND(OR(N54&lt;&gt;"",S54&lt;&gt;""),B54="No")</f>
        <v/>
      </c>
      <c r="AU54">
        <f>AND(N54&lt;&gt;"",X54&lt;&gt;"",B54="No")</f>
        <v/>
      </c>
      <c r="AV54">
        <f>AND(OR(N54&lt;&gt;"",X54&lt;&gt;""),B54="No")</f>
        <v/>
      </c>
      <c r="AW54">
        <f>AND(S54&lt;&gt;"",X54&lt;&gt;"",B54="No")</f>
        <v/>
      </c>
      <c r="AX54">
        <f>AND(OR(S54&lt;&gt;"",X54&lt;&gt;""),B54="No")</f>
        <v/>
      </c>
    </row>
    <row r="55">
      <c r="A55" s="44" t="inlineStr">
        <is>
          <t>GS.4.15</t>
        </is>
      </c>
      <c r="B55" s="47" t="inlineStr">
        <is>
          <t>No</t>
        </is>
      </c>
      <c r="C55" s="47" t="n"/>
      <c r="D55" s="34" t="n"/>
      <c r="E55" s="35" t="n"/>
      <c r="F55" s="35" t="n"/>
      <c r="G55" s="35" t="n"/>
      <c r="H55" s="35" t="n"/>
      <c r="I55" s="37">
        <f>IF(COUNTA(E55:H55)&gt;0,"X","")</f>
        <v/>
      </c>
      <c r="J55" s="35" t="inlineStr">
        <is>
          <t>X</t>
        </is>
      </c>
      <c r="K55" s="35" t="inlineStr">
        <is>
          <t>X</t>
        </is>
      </c>
      <c r="L55" s="35" t="inlineStr">
        <is>
          <t>X</t>
        </is>
      </c>
      <c r="M55" s="35" t="inlineStr">
        <is>
          <t>X</t>
        </is>
      </c>
      <c r="N55" s="37">
        <f>IF(COUNTA(J55:M55)&gt;0,"X","")</f>
        <v/>
      </c>
      <c r="O55" s="35" t="n"/>
      <c r="P55" s="35" t="n"/>
      <c r="Q55" s="35" t="n"/>
      <c r="R55" s="35" t="n"/>
      <c r="S55" s="37">
        <f>IF(COUNTA(O55:R55)&gt;0,"X","")</f>
        <v/>
      </c>
      <c r="T55" s="35" t="n"/>
      <c r="U55" s="35" t="n"/>
      <c r="V55" s="35" t="n"/>
      <c r="W55" s="35" t="n"/>
      <c r="X55" s="37">
        <f>IF(COUNTA(T55:W55)&gt;0,"X","")</f>
        <v/>
      </c>
      <c r="Z55">
        <f>AND(I55&lt;&gt;"",N55&lt;&gt;"")</f>
        <v/>
      </c>
      <c r="AA55">
        <f>OR(I55&lt;&gt;"",N55&lt;&gt;"")</f>
        <v/>
      </c>
      <c r="AB55">
        <f>AND(I55&lt;&gt;"",S55&lt;&gt;"")</f>
        <v/>
      </c>
      <c r="AC55">
        <f>OR(I55&lt;&gt;"",S55&lt;&gt;"")</f>
        <v/>
      </c>
      <c r="AD55">
        <f>AND(I55&lt;&gt;"",X55&lt;&gt;"")</f>
        <v/>
      </c>
      <c r="AE55">
        <f>OR(I55&lt;&gt;"",X55&lt;&gt;"")</f>
        <v/>
      </c>
      <c r="AF55">
        <f>AND(N55&lt;&gt;"",S55&lt;&gt;"")</f>
        <v/>
      </c>
      <c r="AG55">
        <f>OR(N55&lt;&gt;"",S55&lt;&gt;"")</f>
        <v/>
      </c>
      <c r="AH55">
        <f>AND(N55&lt;&gt;"",X55&lt;&gt;"")</f>
        <v/>
      </c>
      <c r="AI55">
        <f>OR(N55&lt;&gt;"",X55&lt;&gt;"")</f>
        <v/>
      </c>
      <c r="AJ55">
        <f>AND(S55&lt;&gt;"",X55&lt;&gt;"")</f>
        <v/>
      </c>
      <c r="AK55">
        <f>OR(S55&lt;&gt;"",X55&lt;&gt;"")</f>
        <v/>
      </c>
      <c r="AM55">
        <f>AND(I55&lt;&gt;"",N55&lt;&gt;"",B55="No")</f>
        <v/>
      </c>
      <c r="AN55">
        <f>AND(OR(I55&lt;&gt;"",N55&lt;&gt;""),B55="No")</f>
        <v/>
      </c>
      <c r="AO55">
        <f>AND(I55&lt;&gt;"",S55&lt;&gt;"",B55="No")</f>
        <v/>
      </c>
      <c r="AP55">
        <f>AND(OR(I55&lt;&gt;"",S55&lt;&gt;""),B55="No")</f>
        <v/>
      </c>
      <c r="AQ55">
        <f>AND(I55&lt;&gt;"",X55&lt;&gt;"",B55="No")</f>
        <v/>
      </c>
      <c r="AR55">
        <f>AND(OR(I55&lt;&gt;"",X55&lt;&gt;""),B55="No")</f>
        <v/>
      </c>
      <c r="AS55">
        <f>AND(N55&lt;&gt;"",S55&lt;&gt;"",B55="No")</f>
        <v/>
      </c>
      <c r="AT55">
        <f>AND(OR(N55&lt;&gt;"",S55&lt;&gt;""),B55="No")</f>
        <v/>
      </c>
      <c r="AU55">
        <f>AND(N55&lt;&gt;"",X55&lt;&gt;"",B55="No")</f>
        <v/>
      </c>
      <c r="AV55">
        <f>AND(OR(N55&lt;&gt;"",X55&lt;&gt;""),B55="No")</f>
        <v/>
      </c>
      <c r="AW55">
        <f>AND(S55&lt;&gt;"",X55&lt;&gt;"",B55="No")</f>
        <v/>
      </c>
      <c r="AX55">
        <f>AND(OR(S55&lt;&gt;"",X55&lt;&gt;""),B55="No")</f>
        <v/>
      </c>
    </row>
    <row r="56">
      <c r="A56" s="44" t="inlineStr">
        <is>
          <t>GS.4.16</t>
        </is>
      </c>
      <c r="B56" s="47" t="inlineStr">
        <is>
          <t>No</t>
        </is>
      </c>
      <c r="C56" s="47" t="n"/>
      <c r="D56" s="34" t="n"/>
      <c r="E56" s="35" t="n"/>
      <c r="F56" s="35" t="n"/>
      <c r="G56" s="35" t="n"/>
      <c r="H56" s="35" t="n"/>
      <c r="I56" s="37">
        <f>IF(COUNTA(E56:H56)&gt;0,"X","")</f>
        <v/>
      </c>
      <c r="J56" s="35" t="inlineStr">
        <is>
          <t>X</t>
        </is>
      </c>
      <c r="K56" s="35" t="inlineStr">
        <is>
          <t>X</t>
        </is>
      </c>
      <c r="L56" s="35" t="inlineStr">
        <is>
          <t>X</t>
        </is>
      </c>
      <c r="M56" s="35" t="inlineStr">
        <is>
          <t>X</t>
        </is>
      </c>
      <c r="N56" s="37">
        <f>IF(COUNTA(J56:M56)&gt;0,"X","")</f>
        <v/>
      </c>
      <c r="O56" s="35" t="n"/>
      <c r="P56" s="35" t="n"/>
      <c r="Q56" s="35" t="n"/>
      <c r="R56" s="35" t="n"/>
      <c r="S56" s="37">
        <f>IF(COUNTA(O56:R56)&gt;0,"X","")</f>
        <v/>
      </c>
      <c r="T56" s="35" t="n"/>
      <c r="U56" s="35" t="n"/>
      <c r="V56" s="35" t="n"/>
      <c r="W56" s="35" t="n"/>
      <c r="X56" s="37">
        <f>IF(COUNTA(T56:W56)&gt;0,"X","")</f>
        <v/>
      </c>
      <c r="Z56">
        <f>AND(I56&lt;&gt;"",N56&lt;&gt;"")</f>
        <v/>
      </c>
      <c r="AA56">
        <f>OR(I56&lt;&gt;"",N56&lt;&gt;"")</f>
        <v/>
      </c>
      <c r="AB56">
        <f>AND(I56&lt;&gt;"",S56&lt;&gt;"")</f>
        <v/>
      </c>
      <c r="AC56">
        <f>OR(I56&lt;&gt;"",S56&lt;&gt;"")</f>
        <v/>
      </c>
      <c r="AD56">
        <f>AND(I56&lt;&gt;"",X56&lt;&gt;"")</f>
        <v/>
      </c>
      <c r="AE56">
        <f>OR(I56&lt;&gt;"",X56&lt;&gt;"")</f>
        <v/>
      </c>
      <c r="AF56">
        <f>AND(N56&lt;&gt;"",S56&lt;&gt;"")</f>
        <v/>
      </c>
      <c r="AG56">
        <f>OR(N56&lt;&gt;"",S56&lt;&gt;"")</f>
        <v/>
      </c>
      <c r="AH56">
        <f>AND(N56&lt;&gt;"",X56&lt;&gt;"")</f>
        <v/>
      </c>
      <c r="AI56">
        <f>OR(N56&lt;&gt;"",X56&lt;&gt;"")</f>
        <v/>
      </c>
      <c r="AJ56">
        <f>AND(S56&lt;&gt;"",X56&lt;&gt;"")</f>
        <v/>
      </c>
      <c r="AK56">
        <f>OR(S56&lt;&gt;"",X56&lt;&gt;"")</f>
        <v/>
      </c>
      <c r="AM56">
        <f>AND(I56&lt;&gt;"",N56&lt;&gt;"",B56="No")</f>
        <v/>
      </c>
      <c r="AN56">
        <f>AND(OR(I56&lt;&gt;"",N56&lt;&gt;""),B56="No")</f>
        <v/>
      </c>
      <c r="AO56">
        <f>AND(I56&lt;&gt;"",S56&lt;&gt;"",B56="No")</f>
        <v/>
      </c>
      <c r="AP56">
        <f>AND(OR(I56&lt;&gt;"",S56&lt;&gt;""),B56="No")</f>
        <v/>
      </c>
      <c r="AQ56">
        <f>AND(I56&lt;&gt;"",X56&lt;&gt;"",B56="No")</f>
        <v/>
      </c>
      <c r="AR56">
        <f>AND(OR(I56&lt;&gt;"",X56&lt;&gt;""),B56="No")</f>
        <v/>
      </c>
      <c r="AS56">
        <f>AND(N56&lt;&gt;"",S56&lt;&gt;"",B56="No")</f>
        <v/>
      </c>
      <c r="AT56">
        <f>AND(OR(N56&lt;&gt;"",S56&lt;&gt;""),B56="No")</f>
        <v/>
      </c>
      <c r="AU56">
        <f>AND(N56&lt;&gt;"",X56&lt;&gt;"",B56="No")</f>
        <v/>
      </c>
      <c r="AV56">
        <f>AND(OR(N56&lt;&gt;"",X56&lt;&gt;""),B56="No")</f>
        <v/>
      </c>
      <c r="AW56">
        <f>AND(S56&lt;&gt;"",X56&lt;&gt;"",B56="No")</f>
        <v/>
      </c>
      <c r="AX56">
        <f>AND(OR(S56&lt;&gt;"",X56&lt;&gt;""),B56="No")</f>
        <v/>
      </c>
    </row>
    <row r="57">
      <c r="A57" s="44" t="inlineStr">
        <is>
          <t>GS.4.17</t>
        </is>
      </c>
      <c r="B57" s="47" t="inlineStr">
        <is>
          <t>No</t>
        </is>
      </c>
      <c r="C57" s="47" t="n"/>
      <c r="D57" s="34" t="n"/>
      <c r="E57" s="35" t="n"/>
      <c r="F57" s="35" t="n"/>
      <c r="G57" s="35" t="n"/>
      <c r="H57" s="35" t="n"/>
      <c r="I57" s="37">
        <f>IF(COUNTA(E57:H57)&gt;0,"X","")</f>
        <v/>
      </c>
      <c r="J57" s="35" t="inlineStr">
        <is>
          <t>X</t>
        </is>
      </c>
      <c r="K57" s="35" t="inlineStr">
        <is>
          <t>X</t>
        </is>
      </c>
      <c r="L57" s="35" t="inlineStr">
        <is>
          <t>X</t>
        </is>
      </c>
      <c r="M57" s="35" t="inlineStr">
        <is>
          <t>X</t>
        </is>
      </c>
      <c r="N57" s="37">
        <f>IF(COUNTA(J57:M57)&gt;0,"X","")</f>
        <v/>
      </c>
      <c r="O57" s="35" t="n"/>
      <c r="P57" s="35" t="n"/>
      <c r="Q57" s="35" t="n"/>
      <c r="R57" s="35" t="n"/>
      <c r="S57" s="37">
        <f>IF(COUNTA(O57:R57)&gt;0,"X","")</f>
        <v/>
      </c>
      <c r="T57" s="35" t="n"/>
      <c r="U57" s="35" t="n"/>
      <c r="V57" s="35" t="n"/>
      <c r="W57" s="35" t="n"/>
      <c r="X57" s="37">
        <f>IF(COUNTA(T57:W57)&gt;0,"X","")</f>
        <v/>
      </c>
      <c r="Z57">
        <f>AND(I57&lt;&gt;"",N57&lt;&gt;"")</f>
        <v/>
      </c>
      <c r="AA57">
        <f>OR(I57&lt;&gt;"",N57&lt;&gt;"")</f>
        <v/>
      </c>
      <c r="AB57">
        <f>AND(I57&lt;&gt;"",S57&lt;&gt;"")</f>
        <v/>
      </c>
      <c r="AC57">
        <f>OR(I57&lt;&gt;"",S57&lt;&gt;"")</f>
        <v/>
      </c>
      <c r="AD57">
        <f>AND(I57&lt;&gt;"",X57&lt;&gt;"")</f>
        <v/>
      </c>
      <c r="AE57">
        <f>OR(I57&lt;&gt;"",X57&lt;&gt;"")</f>
        <v/>
      </c>
      <c r="AF57">
        <f>AND(N57&lt;&gt;"",S57&lt;&gt;"")</f>
        <v/>
      </c>
      <c r="AG57">
        <f>OR(N57&lt;&gt;"",S57&lt;&gt;"")</f>
        <v/>
      </c>
      <c r="AH57">
        <f>AND(N57&lt;&gt;"",X57&lt;&gt;"")</f>
        <v/>
      </c>
      <c r="AI57">
        <f>OR(N57&lt;&gt;"",X57&lt;&gt;"")</f>
        <v/>
      </c>
      <c r="AJ57">
        <f>AND(S57&lt;&gt;"",X57&lt;&gt;"")</f>
        <v/>
      </c>
      <c r="AK57">
        <f>OR(S57&lt;&gt;"",X57&lt;&gt;"")</f>
        <v/>
      </c>
      <c r="AM57">
        <f>AND(I57&lt;&gt;"",N57&lt;&gt;"",B57="No")</f>
        <v/>
      </c>
      <c r="AN57">
        <f>AND(OR(I57&lt;&gt;"",N57&lt;&gt;""),B57="No")</f>
        <v/>
      </c>
      <c r="AO57">
        <f>AND(I57&lt;&gt;"",S57&lt;&gt;"",B57="No")</f>
        <v/>
      </c>
      <c r="AP57">
        <f>AND(OR(I57&lt;&gt;"",S57&lt;&gt;""),B57="No")</f>
        <v/>
      </c>
      <c r="AQ57">
        <f>AND(I57&lt;&gt;"",X57&lt;&gt;"",B57="No")</f>
        <v/>
      </c>
      <c r="AR57">
        <f>AND(OR(I57&lt;&gt;"",X57&lt;&gt;""),B57="No")</f>
        <v/>
      </c>
      <c r="AS57">
        <f>AND(N57&lt;&gt;"",S57&lt;&gt;"",B57="No")</f>
        <v/>
      </c>
      <c r="AT57">
        <f>AND(OR(N57&lt;&gt;"",S57&lt;&gt;""),B57="No")</f>
        <v/>
      </c>
      <c r="AU57">
        <f>AND(N57&lt;&gt;"",X57&lt;&gt;"",B57="No")</f>
        <v/>
      </c>
      <c r="AV57">
        <f>AND(OR(N57&lt;&gt;"",X57&lt;&gt;""),B57="No")</f>
        <v/>
      </c>
      <c r="AW57">
        <f>AND(S57&lt;&gt;"",X57&lt;&gt;"",B57="No")</f>
        <v/>
      </c>
      <c r="AX57">
        <f>AND(OR(S57&lt;&gt;"",X57&lt;&gt;""),B57="No")</f>
        <v/>
      </c>
    </row>
    <row r="58">
      <c r="A58" s="44" t="inlineStr">
        <is>
          <t>GS.4.18</t>
        </is>
      </c>
      <c r="B58" s="47" t="inlineStr">
        <is>
          <t>No</t>
        </is>
      </c>
      <c r="C58" s="47" t="n"/>
      <c r="D58" s="34" t="n"/>
      <c r="E58" s="35" t="n"/>
      <c r="F58" s="35" t="n"/>
      <c r="G58" s="35" t="n"/>
      <c r="H58" s="35" t="n"/>
      <c r="I58" s="37">
        <f>IF(COUNTA(E58:H58)&gt;0,"X","")</f>
        <v/>
      </c>
      <c r="J58" s="35" t="n"/>
      <c r="K58" s="35" t="n"/>
      <c r="L58" s="35" t="n"/>
      <c r="M58" s="35" t="inlineStr">
        <is>
          <t>X</t>
        </is>
      </c>
      <c r="N58" s="37">
        <f>IF(COUNTA(J58:M58)&gt;0,"X","")</f>
        <v/>
      </c>
      <c r="O58" s="35" t="n"/>
      <c r="P58" s="35" t="n"/>
      <c r="Q58" s="35" t="inlineStr">
        <is>
          <t>X</t>
        </is>
      </c>
      <c r="R58" s="35" t="n"/>
      <c r="S58" s="37">
        <f>IF(COUNTA(O58:R58)&gt;0,"X","")</f>
        <v/>
      </c>
      <c r="T58" s="35" t="n"/>
      <c r="U58" s="35" t="n"/>
      <c r="V58" s="35" t="n"/>
      <c r="W58" s="35" t="n"/>
      <c r="X58" s="37">
        <f>IF(COUNTA(T58:W58)&gt;0,"X","")</f>
        <v/>
      </c>
      <c r="Z58">
        <f>AND(I58&lt;&gt;"",N58&lt;&gt;"")</f>
        <v/>
      </c>
      <c r="AA58">
        <f>OR(I58&lt;&gt;"",N58&lt;&gt;"")</f>
        <v/>
      </c>
      <c r="AB58">
        <f>AND(I58&lt;&gt;"",S58&lt;&gt;"")</f>
        <v/>
      </c>
      <c r="AC58">
        <f>OR(I58&lt;&gt;"",S58&lt;&gt;"")</f>
        <v/>
      </c>
      <c r="AD58">
        <f>AND(I58&lt;&gt;"",X58&lt;&gt;"")</f>
        <v/>
      </c>
      <c r="AE58">
        <f>OR(I58&lt;&gt;"",X58&lt;&gt;"")</f>
        <v/>
      </c>
      <c r="AF58">
        <f>AND(N58&lt;&gt;"",S58&lt;&gt;"")</f>
        <v/>
      </c>
      <c r="AG58">
        <f>OR(N58&lt;&gt;"",S58&lt;&gt;"")</f>
        <v/>
      </c>
      <c r="AH58">
        <f>AND(N58&lt;&gt;"",X58&lt;&gt;"")</f>
        <v/>
      </c>
      <c r="AI58">
        <f>OR(N58&lt;&gt;"",X58&lt;&gt;"")</f>
        <v/>
      </c>
      <c r="AJ58">
        <f>AND(S58&lt;&gt;"",X58&lt;&gt;"")</f>
        <v/>
      </c>
      <c r="AK58">
        <f>OR(S58&lt;&gt;"",X58&lt;&gt;"")</f>
        <v/>
      </c>
      <c r="AM58">
        <f>AND(I58&lt;&gt;"",N58&lt;&gt;"",B58="No")</f>
        <v/>
      </c>
      <c r="AN58">
        <f>AND(OR(I58&lt;&gt;"",N58&lt;&gt;""),B58="No")</f>
        <v/>
      </c>
      <c r="AO58">
        <f>AND(I58&lt;&gt;"",S58&lt;&gt;"",B58="No")</f>
        <v/>
      </c>
      <c r="AP58">
        <f>AND(OR(I58&lt;&gt;"",S58&lt;&gt;""),B58="No")</f>
        <v/>
      </c>
      <c r="AQ58">
        <f>AND(I58&lt;&gt;"",X58&lt;&gt;"",B58="No")</f>
        <v/>
      </c>
      <c r="AR58">
        <f>AND(OR(I58&lt;&gt;"",X58&lt;&gt;""),B58="No")</f>
        <v/>
      </c>
      <c r="AS58">
        <f>AND(N58&lt;&gt;"",S58&lt;&gt;"",B58="No")</f>
        <v/>
      </c>
      <c r="AT58">
        <f>AND(OR(N58&lt;&gt;"",S58&lt;&gt;""),B58="No")</f>
        <v/>
      </c>
      <c r="AU58">
        <f>AND(N58&lt;&gt;"",X58&lt;&gt;"",B58="No")</f>
        <v/>
      </c>
      <c r="AV58">
        <f>AND(OR(N58&lt;&gt;"",X58&lt;&gt;""),B58="No")</f>
        <v/>
      </c>
      <c r="AW58">
        <f>AND(S58&lt;&gt;"",X58&lt;&gt;"",B58="No")</f>
        <v/>
      </c>
      <c r="AX58">
        <f>AND(OR(S58&lt;&gt;"",X58&lt;&gt;""),B58="No")</f>
        <v/>
      </c>
    </row>
    <row r="59">
      <c r="A59" s="44" t="inlineStr">
        <is>
          <t>GS.4.19</t>
        </is>
      </c>
      <c r="B59" s="47" t="inlineStr">
        <is>
          <t>No</t>
        </is>
      </c>
      <c r="C59" s="47" t="n"/>
      <c r="D59" s="34" t="n"/>
      <c r="E59" s="35" t="n"/>
      <c r="F59" s="35" t="n"/>
      <c r="G59" s="35" t="n"/>
      <c r="H59" s="35" t="n"/>
      <c r="I59" s="37">
        <f>IF(COUNTA(E59:H59)&gt;0,"X","")</f>
        <v/>
      </c>
      <c r="J59" s="35" t="n"/>
      <c r="K59" s="35" t="n"/>
      <c r="L59" s="35" t="n"/>
      <c r="M59" s="35" t="n"/>
      <c r="N59" s="37">
        <f>IF(COUNTA(J59:M59)&gt;0,"X","")</f>
        <v/>
      </c>
      <c r="O59" s="35" t="n"/>
      <c r="P59" s="35" t="n"/>
      <c r="Q59" s="35" t="n"/>
      <c r="R59" s="35" t="n"/>
      <c r="S59" s="37">
        <f>IF(COUNTA(O59:R59)&gt;0,"X","")</f>
        <v/>
      </c>
      <c r="T59" s="35" t="inlineStr">
        <is>
          <t>X</t>
        </is>
      </c>
      <c r="U59" s="35" t="n"/>
      <c r="V59" s="35" t="inlineStr">
        <is>
          <t>X</t>
        </is>
      </c>
      <c r="W59" s="35" t="inlineStr">
        <is>
          <t>X</t>
        </is>
      </c>
      <c r="X59" s="37">
        <f>IF(COUNTA(T59:W59)&gt;0,"X","")</f>
        <v/>
      </c>
      <c r="Z59">
        <f>AND(I59&lt;&gt;"",N59&lt;&gt;"")</f>
        <v/>
      </c>
      <c r="AA59">
        <f>OR(I59&lt;&gt;"",N59&lt;&gt;"")</f>
        <v/>
      </c>
      <c r="AB59">
        <f>AND(I59&lt;&gt;"",S59&lt;&gt;"")</f>
        <v/>
      </c>
      <c r="AC59">
        <f>OR(I59&lt;&gt;"",S59&lt;&gt;"")</f>
        <v/>
      </c>
      <c r="AD59">
        <f>AND(I59&lt;&gt;"",X59&lt;&gt;"")</f>
        <v/>
      </c>
      <c r="AE59">
        <f>OR(I59&lt;&gt;"",X59&lt;&gt;"")</f>
        <v/>
      </c>
      <c r="AF59">
        <f>AND(N59&lt;&gt;"",S59&lt;&gt;"")</f>
        <v/>
      </c>
      <c r="AG59">
        <f>OR(N59&lt;&gt;"",S59&lt;&gt;"")</f>
        <v/>
      </c>
      <c r="AH59">
        <f>AND(N59&lt;&gt;"",X59&lt;&gt;"")</f>
        <v/>
      </c>
      <c r="AI59">
        <f>OR(N59&lt;&gt;"",X59&lt;&gt;"")</f>
        <v/>
      </c>
      <c r="AJ59">
        <f>AND(S59&lt;&gt;"",X59&lt;&gt;"")</f>
        <v/>
      </c>
      <c r="AK59">
        <f>OR(S59&lt;&gt;"",X59&lt;&gt;"")</f>
        <v/>
      </c>
      <c r="AM59">
        <f>AND(I59&lt;&gt;"",N59&lt;&gt;"",B59="No")</f>
        <v/>
      </c>
      <c r="AN59">
        <f>AND(OR(I59&lt;&gt;"",N59&lt;&gt;""),B59="No")</f>
        <v/>
      </c>
      <c r="AO59">
        <f>AND(I59&lt;&gt;"",S59&lt;&gt;"",B59="No")</f>
        <v/>
      </c>
      <c r="AP59">
        <f>AND(OR(I59&lt;&gt;"",S59&lt;&gt;""),B59="No")</f>
        <v/>
      </c>
      <c r="AQ59">
        <f>AND(I59&lt;&gt;"",X59&lt;&gt;"",B59="No")</f>
        <v/>
      </c>
      <c r="AR59">
        <f>AND(OR(I59&lt;&gt;"",X59&lt;&gt;""),B59="No")</f>
        <v/>
      </c>
      <c r="AS59">
        <f>AND(N59&lt;&gt;"",S59&lt;&gt;"",B59="No")</f>
        <v/>
      </c>
      <c r="AT59">
        <f>AND(OR(N59&lt;&gt;"",S59&lt;&gt;""),B59="No")</f>
        <v/>
      </c>
      <c r="AU59">
        <f>AND(N59&lt;&gt;"",X59&lt;&gt;"",B59="No")</f>
        <v/>
      </c>
      <c r="AV59">
        <f>AND(OR(N59&lt;&gt;"",X59&lt;&gt;""),B59="No")</f>
        <v/>
      </c>
      <c r="AW59">
        <f>AND(S59&lt;&gt;"",X59&lt;&gt;"",B59="No")</f>
        <v/>
      </c>
      <c r="AX59">
        <f>AND(OR(S59&lt;&gt;"",X59&lt;&gt;""),B59="No")</f>
        <v/>
      </c>
    </row>
    <row r="60">
      <c r="A60" s="44" t="inlineStr">
        <is>
          <t>GS.4.20</t>
        </is>
      </c>
      <c r="B60" s="47" t="inlineStr">
        <is>
          <t>No</t>
        </is>
      </c>
      <c r="C60" s="47" t="n"/>
      <c r="D60" s="34" t="n"/>
      <c r="E60" s="35" t="n"/>
      <c r="F60" s="35" t="n"/>
      <c r="G60" s="35" t="n"/>
      <c r="H60" s="35" t="n"/>
      <c r="I60" s="37">
        <f>IF(COUNTA(E60:H60)&gt;0,"X","")</f>
        <v/>
      </c>
      <c r="N60" s="37">
        <f>IF(COUNTA(J60:M60)&gt;0,"X","")</f>
        <v/>
      </c>
      <c r="O60" s="35" t="n"/>
      <c r="P60" s="35" t="n"/>
      <c r="Q60" s="35" t="n"/>
      <c r="R60" s="35" t="n"/>
      <c r="S60" s="37">
        <f>IF(COUNTA(O60:R60)&gt;0,"X","")</f>
        <v/>
      </c>
      <c r="T60" s="35" t="n"/>
      <c r="U60" s="35" t="n"/>
      <c r="V60" s="35" t="n"/>
      <c r="W60" s="35" t="n"/>
      <c r="X60" s="37">
        <f>IF(COUNTA(T60:W60)&gt;0,"X","")</f>
        <v/>
      </c>
      <c r="Z60">
        <f>AND(I60&lt;&gt;"",N60&lt;&gt;"")</f>
        <v/>
      </c>
      <c r="AA60">
        <f>OR(I60&lt;&gt;"",N60&lt;&gt;"")</f>
        <v/>
      </c>
      <c r="AB60">
        <f>AND(I60&lt;&gt;"",S60&lt;&gt;"")</f>
        <v/>
      </c>
      <c r="AC60">
        <f>OR(I60&lt;&gt;"",S60&lt;&gt;"")</f>
        <v/>
      </c>
      <c r="AD60">
        <f>AND(I60&lt;&gt;"",X60&lt;&gt;"")</f>
        <v/>
      </c>
      <c r="AE60">
        <f>OR(I60&lt;&gt;"",X60&lt;&gt;"")</f>
        <v/>
      </c>
      <c r="AF60">
        <f>AND(N60&lt;&gt;"",S60&lt;&gt;"")</f>
        <v/>
      </c>
      <c r="AG60">
        <f>OR(N60&lt;&gt;"",S60&lt;&gt;"")</f>
        <v/>
      </c>
      <c r="AH60">
        <f>AND(N60&lt;&gt;"",X60&lt;&gt;"")</f>
        <v/>
      </c>
      <c r="AI60">
        <f>OR(N60&lt;&gt;"",X60&lt;&gt;"")</f>
        <v/>
      </c>
      <c r="AJ60">
        <f>AND(S60&lt;&gt;"",X60&lt;&gt;"")</f>
        <v/>
      </c>
      <c r="AK60">
        <f>OR(S60&lt;&gt;"",X60&lt;&gt;"")</f>
        <v/>
      </c>
      <c r="AM60">
        <f>AND(I60&lt;&gt;"",N60&lt;&gt;"",B60="No")</f>
        <v/>
      </c>
      <c r="AN60">
        <f>AND(OR(I60&lt;&gt;"",N60&lt;&gt;""),B60="No")</f>
        <v/>
      </c>
      <c r="AO60">
        <f>AND(I60&lt;&gt;"",S60&lt;&gt;"",B60="No")</f>
        <v/>
      </c>
      <c r="AP60">
        <f>AND(OR(I60&lt;&gt;"",S60&lt;&gt;""),B60="No")</f>
        <v/>
      </c>
      <c r="AQ60">
        <f>AND(I60&lt;&gt;"",X60&lt;&gt;"",B60="No")</f>
        <v/>
      </c>
      <c r="AR60">
        <f>AND(OR(I60&lt;&gt;"",X60&lt;&gt;""),B60="No")</f>
        <v/>
      </c>
      <c r="AS60">
        <f>AND(N60&lt;&gt;"",S60&lt;&gt;"",B60="No")</f>
        <v/>
      </c>
      <c r="AT60">
        <f>AND(OR(N60&lt;&gt;"",S60&lt;&gt;""),B60="No")</f>
        <v/>
      </c>
      <c r="AU60">
        <f>AND(N60&lt;&gt;"",X60&lt;&gt;"",B60="No")</f>
        <v/>
      </c>
      <c r="AV60">
        <f>AND(OR(N60&lt;&gt;"",X60&lt;&gt;""),B60="No")</f>
        <v/>
      </c>
      <c r="AW60">
        <f>AND(S60&lt;&gt;"",X60&lt;&gt;"",B60="No")</f>
        <v/>
      </c>
      <c r="AX60">
        <f>AND(OR(S60&lt;&gt;"",X60&lt;&gt;""),B60="No")</f>
        <v/>
      </c>
    </row>
    <row r="61">
      <c r="A61" s="44" t="inlineStr">
        <is>
          <t>GS.4.21</t>
        </is>
      </c>
      <c r="B61" s="47" t="inlineStr">
        <is>
          <t>No</t>
        </is>
      </c>
      <c r="C61" s="47" t="n"/>
      <c r="D61" s="34" t="n"/>
      <c r="E61" s="35" t="n"/>
      <c r="F61" s="35" t="n"/>
      <c r="G61" s="35" t="n"/>
      <c r="H61" s="35" t="n"/>
      <c r="I61" s="37">
        <f>IF(COUNTA(E61:H61)&gt;0,"X","")</f>
        <v/>
      </c>
      <c r="J61" s="35" t="n"/>
      <c r="K61" s="35" t="n"/>
      <c r="L61" s="35" t="n"/>
      <c r="M61" s="35" t="n"/>
      <c r="N61" s="37">
        <f>IF(COUNTA(J61:M61)&gt;0,"X","")</f>
        <v/>
      </c>
      <c r="O61" s="35" t="n"/>
      <c r="P61" s="35" t="n"/>
      <c r="Q61" s="35" t="n"/>
      <c r="R61" s="35" t="n"/>
      <c r="S61" s="37">
        <f>IF(COUNTA(O61:R61)&gt;0,"X","")</f>
        <v/>
      </c>
      <c r="T61" s="35" t="n"/>
      <c r="U61" s="35" t="n"/>
      <c r="V61" s="35" t="n"/>
      <c r="W61" s="35" t="n"/>
      <c r="X61" s="37">
        <f>IF(COUNTA(T61:W61)&gt;0,"X","")</f>
        <v/>
      </c>
      <c r="Z61">
        <f>AND(I61&lt;&gt;"",N61&lt;&gt;"")</f>
        <v/>
      </c>
      <c r="AA61">
        <f>OR(I61&lt;&gt;"",N61&lt;&gt;"")</f>
        <v/>
      </c>
      <c r="AB61">
        <f>AND(I61&lt;&gt;"",S61&lt;&gt;"")</f>
        <v/>
      </c>
      <c r="AC61">
        <f>OR(I61&lt;&gt;"",S61&lt;&gt;"")</f>
        <v/>
      </c>
      <c r="AD61">
        <f>AND(I61&lt;&gt;"",X61&lt;&gt;"")</f>
        <v/>
      </c>
      <c r="AE61">
        <f>OR(I61&lt;&gt;"",X61&lt;&gt;"")</f>
        <v/>
      </c>
      <c r="AF61">
        <f>AND(N61&lt;&gt;"",S61&lt;&gt;"")</f>
        <v/>
      </c>
      <c r="AG61">
        <f>OR(N61&lt;&gt;"",S61&lt;&gt;"")</f>
        <v/>
      </c>
      <c r="AH61">
        <f>AND(N61&lt;&gt;"",X61&lt;&gt;"")</f>
        <v/>
      </c>
      <c r="AI61">
        <f>OR(N61&lt;&gt;"",X61&lt;&gt;"")</f>
        <v/>
      </c>
      <c r="AJ61">
        <f>AND(S61&lt;&gt;"",X61&lt;&gt;"")</f>
        <v/>
      </c>
      <c r="AK61">
        <f>OR(S61&lt;&gt;"",X61&lt;&gt;"")</f>
        <v/>
      </c>
      <c r="AM61">
        <f>AND(I61&lt;&gt;"",N61&lt;&gt;"",B61="No")</f>
        <v/>
      </c>
      <c r="AN61">
        <f>AND(OR(I61&lt;&gt;"",N61&lt;&gt;""),B61="No")</f>
        <v/>
      </c>
      <c r="AO61">
        <f>AND(I61&lt;&gt;"",S61&lt;&gt;"",B61="No")</f>
        <v/>
      </c>
      <c r="AP61">
        <f>AND(OR(I61&lt;&gt;"",S61&lt;&gt;""),B61="No")</f>
        <v/>
      </c>
      <c r="AQ61">
        <f>AND(I61&lt;&gt;"",X61&lt;&gt;"",B61="No")</f>
        <v/>
      </c>
      <c r="AR61">
        <f>AND(OR(I61&lt;&gt;"",X61&lt;&gt;""),B61="No")</f>
        <v/>
      </c>
      <c r="AS61">
        <f>AND(N61&lt;&gt;"",S61&lt;&gt;"",B61="No")</f>
        <v/>
      </c>
      <c r="AT61">
        <f>AND(OR(N61&lt;&gt;"",S61&lt;&gt;""),B61="No")</f>
        <v/>
      </c>
      <c r="AU61">
        <f>AND(N61&lt;&gt;"",X61&lt;&gt;"",B61="No")</f>
        <v/>
      </c>
      <c r="AV61">
        <f>AND(OR(N61&lt;&gt;"",X61&lt;&gt;""),B61="No")</f>
        <v/>
      </c>
      <c r="AW61">
        <f>AND(S61&lt;&gt;"",X61&lt;&gt;"",B61="No")</f>
        <v/>
      </c>
      <c r="AX61">
        <f>AND(OR(S61&lt;&gt;"",X61&lt;&gt;""),B61="No")</f>
        <v/>
      </c>
    </row>
    <row r="62">
      <c r="A62" s="44" t="inlineStr">
        <is>
          <t>M0_iii.4.2</t>
        </is>
      </c>
      <c r="B62" s="47" t="inlineStr">
        <is>
          <t>Yes</t>
        </is>
      </c>
      <c r="C62" t="inlineStr">
        <is>
          <t>Template drift</t>
        </is>
      </c>
      <c r="D62" s="34" t="n"/>
      <c r="E62" s="35" t="n"/>
      <c r="F62" s="35" t="n"/>
      <c r="G62" s="35" t="n"/>
      <c r="H62" s="35" t="n"/>
      <c r="I62" s="37">
        <f>IF(COUNTA(E62:H62)&gt;0,"X","")</f>
        <v/>
      </c>
      <c r="J62" s="35" t="n"/>
      <c r="K62" s="35" t="n"/>
      <c r="L62" s="35" t="n"/>
      <c r="M62" s="35" t="n"/>
      <c r="N62" s="37">
        <f>IF(COUNTA(J62:M62)&gt;0,"X","")</f>
        <v/>
      </c>
      <c r="O62" s="35" t="n"/>
      <c r="P62" s="35" t="n"/>
      <c r="Q62" s="35" t="inlineStr">
        <is>
          <t>X</t>
        </is>
      </c>
      <c r="R62" s="35" t="n"/>
      <c r="S62" s="37">
        <f>IF(COUNTA(O62:R62)&gt;0,"X","")</f>
        <v/>
      </c>
      <c r="T62" s="35" t="n"/>
      <c r="U62" s="35" t="n"/>
      <c r="V62" s="35" t="n"/>
      <c r="W62" s="35" t="n"/>
      <c r="X62" s="37">
        <f>IF(COUNTA(T62:W62)&gt;0,"X","")</f>
        <v/>
      </c>
      <c r="Z62">
        <f>AND(I62&lt;&gt;"",N62&lt;&gt;"")</f>
        <v/>
      </c>
      <c r="AA62">
        <f>OR(I62&lt;&gt;"",N62&lt;&gt;"")</f>
        <v/>
      </c>
      <c r="AB62">
        <f>AND(I62&lt;&gt;"",S62&lt;&gt;"")</f>
        <v/>
      </c>
      <c r="AC62">
        <f>OR(I62&lt;&gt;"",S62&lt;&gt;"")</f>
        <v/>
      </c>
      <c r="AD62">
        <f>AND(I62&lt;&gt;"",X62&lt;&gt;"")</f>
        <v/>
      </c>
      <c r="AE62">
        <f>OR(I62&lt;&gt;"",X62&lt;&gt;"")</f>
        <v/>
      </c>
      <c r="AF62">
        <f>AND(N62&lt;&gt;"",S62&lt;&gt;"")</f>
        <v/>
      </c>
      <c r="AG62">
        <f>OR(N62&lt;&gt;"",S62&lt;&gt;"")</f>
        <v/>
      </c>
      <c r="AH62">
        <f>AND(N62&lt;&gt;"",X62&lt;&gt;"")</f>
        <v/>
      </c>
      <c r="AI62">
        <f>OR(N62&lt;&gt;"",X62&lt;&gt;"")</f>
        <v/>
      </c>
      <c r="AJ62">
        <f>AND(S62&lt;&gt;"",X62&lt;&gt;"")</f>
        <v/>
      </c>
      <c r="AK62">
        <f>OR(S62&lt;&gt;"",X62&lt;&gt;"")</f>
        <v/>
      </c>
      <c r="AM62">
        <f>AND(I62&lt;&gt;"",N62&lt;&gt;"",B62="No")</f>
        <v/>
      </c>
      <c r="AN62">
        <f>AND(OR(I62&lt;&gt;"",N62&lt;&gt;""),B62="No")</f>
        <v/>
      </c>
      <c r="AO62">
        <f>AND(I62&lt;&gt;"",S62&lt;&gt;"",B62="No")</f>
        <v/>
      </c>
      <c r="AP62">
        <f>AND(OR(I62&lt;&gt;"",S62&lt;&gt;""),B62="No")</f>
        <v/>
      </c>
      <c r="AQ62">
        <f>AND(I62&lt;&gt;"",X62&lt;&gt;"",B62="No")</f>
        <v/>
      </c>
      <c r="AR62">
        <f>AND(OR(I62&lt;&gt;"",X62&lt;&gt;""),B62="No")</f>
        <v/>
      </c>
      <c r="AS62">
        <f>AND(N62&lt;&gt;"",S62&lt;&gt;"",B62="No")</f>
        <v/>
      </c>
      <c r="AT62">
        <f>AND(OR(N62&lt;&gt;"",S62&lt;&gt;""),B62="No")</f>
        <v/>
      </c>
      <c r="AU62">
        <f>AND(N62&lt;&gt;"",X62&lt;&gt;"",B62="No")</f>
        <v/>
      </c>
      <c r="AV62">
        <f>AND(OR(N62&lt;&gt;"",X62&lt;&gt;""),B62="No")</f>
        <v/>
      </c>
      <c r="AW62">
        <f>AND(S62&lt;&gt;"",X62&lt;&gt;"",B62="No")</f>
        <v/>
      </c>
      <c r="AX62">
        <f>AND(OR(S62&lt;&gt;"",X62&lt;&gt;""),B62="No")</f>
        <v/>
      </c>
    </row>
    <row r="63">
      <c r="A63" s="44" t="inlineStr">
        <is>
          <t>Q0.4.2</t>
        </is>
      </c>
      <c r="B63" s="47" t="inlineStr">
        <is>
          <t>Yes</t>
        </is>
      </c>
      <c r="C63" t="inlineStr">
        <is>
          <t>Template drift</t>
        </is>
      </c>
      <c r="D63" s="34" t="n"/>
      <c r="E63" s="35" t="n"/>
      <c r="F63" s="35" t="n"/>
      <c r="G63" s="35" t="n"/>
      <c r="H63" s="35" t="n"/>
      <c r="I63" s="37">
        <f>IF(COUNTA(E63:H63)&gt;0,"X","")</f>
        <v/>
      </c>
      <c r="J63" s="35" t="inlineStr">
        <is>
          <t>X</t>
        </is>
      </c>
      <c r="K63" s="35" t="n"/>
      <c r="L63" s="35" t="n"/>
      <c r="M63" s="35" t="n"/>
      <c r="N63" s="37">
        <f>IF(COUNTA(J63:M63)&gt;0,"X","")</f>
        <v/>
      </c>
      <c r="O63" s="35" t="n"/>
      <c r="P63" s="35" t="n"/>
      <c r="Q63" s="35" t="n"/>
      <c r="R63" s="35" t="n"/>
      <c r="S63" s="37">
        <f>IF(COUNTA(O63:R63)&gt;0,"X","")</f>
        <v/>
      </c>
      <c r="T63" s="35" t="n"/>
      <c r="U63" s="35" t="n"/>
      <c r="V63" s="35" t="n"/>
      <c r="W63" s="35" t="n"/>
      <c r="X63" s="37">
        <f>IF(COUNTA(T63:W63)&gt;0,"X","")</f>
        <v/>
      </c>
      <c r="Z63">
        <f>AND(I63&lt;&gt;"",N63&lt;&gt;"")</f>
        <v/>
      </c>
      <c r="AA63">
        <f>OR(I63&lt;&gt;"",N63&lt;&gt;"")</f>
        <v/>
      </c>
      <c r="AB63">
        <f>AND(I63&lt;&gt;"",S63&lt;&gt;"")</f>
        <v/>
      </c>
      <c r="AC63">
        <f>OR(I63&lt;&gt;"",S63&lt;&gt;"")</f>
        <v/>
      </c>
      <c r="AD63">
        <f>AND(I63&lt;&gt;"",X63&lt;&gt;"")</f>
        <v/>
      </c>
      <c r="AE63">
        <f>OR(I63&lt;&gt;"",X63&lt;&gt;"")</f>
        <v/>
      </c>
      <c r="AF63">
        <f>AND(N63&lt;&gt;"",S63&lt;&gt;"")</f>
        <v/>
      </c>
      <c r="AG63">
        <f>OR(N63&lt;&gt;"",S63&lt;&gt;"")</f>
        <v/>
      </c>
      <c r="AH63">
        <f>AND(N63&lt;&gt;"",X63&lt;&gt;"")</f>
        <v/>
      </c>
      <c r="AI63">
        <f>OR(N63&lt;&gt;"",X63&lt;&gt;"")</f>
        <v/>
      </c>
      <c r="AJ63">
        <f>AND(S63&lt;&gt;"",X63&lt;&gt;"")</f>
        <v/>
      </c>
      <c r="AK63">
        <f>OR(S63&lt;&gt;"",X63&lt;&gt;"")</f>
        <v/>
      </c>
      <c r="AM63">
        <f>AND(I63&lt;&gt;"",N63&lt;&gt;"",B63="No")</f>
        <v/>
      </c>
      <c r="AN63">
        <f>AND(OR(I63&lt;&gt;"",N63&lt;&gt;""),B63="No")</f>
        <v/>
      </c>
      <c r="AO63">
        <f>AND(I63&lt;&gt;"",S63&lt;&gt;"",B63="No")</f>
        <v/>
      </c>
      <c r="AP63">
        <f>AND(OR(I63&lt;&gt;"",S63&lt;&gt;""),B63="No")</f>
        <v/>
      </c>
      <c r="AQ63">
        <f>AND(I63&lt;&gt;"",X63&lt;&gt;"",B63="No")</f>
        <v/>
      </c>
      <c r="AR63">
        <f>AND(OR(I63&lt;&gt;"",X63&lt;&gt;""),B63="No")</f>
        <v/>
      </c>
      <c r="AS63">
        <f>AND(N63&lt;&gt;"",S63&lt;&gt;"",B63="No")</f>
        <v/>
      </c>
      <c r="AT63">
        <f>AND(OR(N63&lt;&gt;"",S63&lt;&gt;""),B63="No")</f>
        <v/>
      </c>
      <c r="AU63">
        <f>AND(N63&lt;&gt;"",X63&lt;&gt;"",B63="No")</f>
        <v/>
      </c>
      <c r="AV63">
        <f>AND(OR(N63&lt;&gt;"",X63&lt;&gt;""),B63="No")</f>
        <v/>
      </c>
      <c r="AW63">
        <f>AND(S63&lt;&gt;"",X63&lt;&gt;"",B63="No")</f>
        <v/>
      </c>
      <c r="AX63">
        <f>AND(OR(S63&lt;&gt;"",X63&lt;&gt;""),B63="No")</f>
        <v/>
      </c>
    </row>
    <row r="64">
      <c r="A64" s="44" t="inlineStr">
        <is>
          <t>Q0.4.7</t>
        </is>
      </c>
      <c r="B64" s="47" t="inlineStr">
        <is>
          <t>Yes</t>
        </is>
      </c>
      <c r="C64" t="inlineStr">
        <is>
          <t>Contextual misfit</t>
        </is>
      </c>
      <c r="D64" s="34" t="n"/>
      <c r="E64" s="35" t="n"/>
      <c r="F64" s="35" t="n"/>
      <c r="G64" s="35" t="n"/>
      <c r="H64" s="35" t="n"/>
      <c r="I64" s="37">
        <f>IF(COUNTA(E64:H64)&gt;0,"X","")</f>
        <v/>
      </c>
      <c r="J64" s="35" t="inlineStr">
        <is>
          <t>X</t>
        </is>
      </c>
      <c r="K64" s="35" t="n"/>
      <c r="L64" s="35" t="n"/>
      <c r="M64" s="35" t="n"/>
      <c r="N64" s="37">
        <f>IF(COUNTA(J64:M64)&gt;0,"X","")</f>
        <v/>
      </c>
      <c r="O64" s="35" t="n"/>
      <c r="P64" s="35" t="n"/>
      <c r="Q64" s="35" t="n"/>
      <c r="R64" s="35" t="n"/>
      <c r="S64" s="37">
        <f>IF(COUNTA(O64:R64)&gt;0,"X","")</f>
        <v/>
      </c>
      <c r="T64" s="35" t="n"/>
      <c r="U64" s="35" t="n"/>
      <c r="V64" s="35" t="n"/>
      <c r="W64" s="35" t="n"/>
      <c r="X64" s="37">
        <f>IF(COUNTA(T64:W64)&gt;0,"X","")</f>
        <v/>
      </c>
      <c r="Z64">
        <f>AND(I64&lt;&gt;"",N64&lt;&gt;"")</f>
        <v/>
      </c>
      <c r="AA64">
        <f>OR(I64&lt;&gt;"",N64&lt;&gt;"")</f>
        <v/>
      </c>
      <c r="AB64">
        <f>AND(I64&lt;&gt;"",S64&lt;&gt;"")</f>
        <v/>
      </c>
      <c r="AC64">
        <f>OR(I64&lt;&gt;"",S64&lt;&gt;"")</f>
        <v/>
      </c>
      <c r="AD64">
        <f>AND(I64&lt;&gt;"",X64&lt;&gt;"")</f>
        <v/>
      </c>
      <c r="AE64">
        <f>OR(I64&lt;&gt;"",X64&lt;&gt;"")</f>
        <v/>
      </c>
      <c r="AF64">
        <f>AND(N64&lt;&gt;"",S64&lt;&gt;"")</f>
        <v/>
      </c>
      <c r="AG64">
        <f>OR(N64&lt;&gt;"",S64&lt;&gt;"")</f>
        <v/>
      </c>
      <c r="AH64">
        <f>AND(N64&lt;&gt;"",X64&lt;&gt;"")</f>
        <v/>
      </c>
      <c r="AI64">
        <f>OR(N64&lt;&gt;"",X64&lt;&gt;"")</f>
        <v/>
      </c>
      <c r="AJ64">
        <f>AND(S64&lt;&gt;"",X64&lt;&gt;"")</f>
        <v/>
      </c>
      <c r="AK64">
        <f>OR(S64&lt;&gt;"",X64&lt;&gt;"")</f>
        <v/>
      </c>
      <c r="AM64">
        <f>AND(I64&lt;&gt;"",N64&lt;&gt;"",B64="No")</f>
        <v/>
      </c>
      <c r="AN64">
        <f>AND(OR(I64&lt;&gt;"",N64&lt;&gt;""),B64="No")</f>
        <v/>
      </c>
      <c r="AO64">
        <f>AND(I64&lt;&gt;"",S64&lt;&gt;"",B64="No")</f>
        <v/>
      </c>
      <c r="AP64">
        <f>AND(OR(I64&lt;&gt;"",S64&lt;&gt;""),B64="No")</f>
        <v/>
      </c>
      <c r="AQ64">
        <f>AND(I64&lt;&gt;"",X64&lt;&gt;"",B64="No")</f>
        <v/>
      </c>
      <c r="AR64">
        <f>AND(OR(I64&lt;&gt;"",X64&lt;&gt;""),B64="No")</f>
        <v/>
      </c>
      <c r="AS64">
        <f>AND(N64&lt;&gt;"",S64&lt;&gt;"",B64="No")</f>
        <v/>
      </c>
      <c r="AT64">
        <f>AND(OR(N64&lt;&gt;"",S64&lt;&gt;""),B64="No")</f>
        <v/>
      </c>
      <c r="AU64">
        <f>AND(N64&lt;&gt;"",X64&lt;&gt;"",B64="No")</f>
        <v/>
      </c>
      <c r="AV64">
        <f>AND(OR(N64&lt;&gt;"",X64&lt;&gt;""),B64="No")</f>
        <v/>
      </c>
      <c r="AW64">
        <f>AND(S64&lt;&gt;"",X64&lt;&gt;"",B64="No")</f>
        <v/>
      </c>
      <c r="AX64">
        <f>AND(OR(S64&lt;&gt;"",X64&lt;&gt;""),B64="No")</f>
        <v/>
      </c>
    </row>
    <row r="65">
      <c r="A65" s="44" t="inlineStr">
        <is>
          <t>Q0.4.11</t>
        </is>
      </c>
      <c r="B65" s="47" t="inlineStr">
        <is>
          <t>Yes</t>
        </is>
      </c>
      <c r="C65" t="inlineStr">
        <is>
          <t>Template drift</t>
        </is>
      </c>
      <c r="D65" s="34" t="n"/>
      <c r="E65" s="35" t="n"/>
      <c r="F65" s="35" t="n"/>
      <c r="G65" s="35" t="n"/>
      <c r="H65" s="35" t="n"/>
      <c r="I65" s="37">
        <f>IF(COUNTA(E65:H65)&gt;0,"X","")</f>
        <v/>
      </c>
      <c r="J65" s="35" t="inlineStr">
        <is>
          <t>X</t>
        </is>
      </c>
      <c r="K65" s="35" t="n"/>
      <c r="L65" s="35" t="n"/>
      <c r="M65" s="35" t="n"/>
      <c r="N65" s="37">
        <f>IF(COUNTA(J65:M65)&gt;0,"X","")</f>
        <v/>
      </c>
      <c r="O65" s="35" t="n"/>
      <c r="P65" s="35" t="n"/>
      <c r="Q65" s="35" t="n"/>
      <c r="R65" s="35" t="n"/>
      <c r="S65" s="37">
        <f>IF(COUNTA(O65:R65)&gt;0,"X","")</f>
        <v/>
      </c>
      <c r="T65" s="35" t="n"/>
      <c r="U65" s="35" t="n"/>
      <c r="V65" s="35" t="n"/>
      <c r="W65" s="35" t="n"/>
      <c r="X65" s="37">
        <f>IF(COUNTA(T65:W65)&gt;0,"X","")</f>
        <v/>
      </c>
      <c r="Z65">
        <f>AND(I65&lt;&gt;"",N65&lt;&gt;"")</f>
        <v/>
      </c>
      <c r="AA65">
        <f>OR(I65&lt;&gt;"",N65&lt;&gt;"")</f>
        <v/>
      </c>
      <c r="AB65">
        <f>AND(I65&lt;&gt;"",S65&lt;&gt;"")</f>
        <v/>
      </c>
      <c r="AC65">
        <f>OR(I65&lt;&gt;"",S65&lt;&gt;"")</f>
        <v/>
      </c>
      <c r="AD65">
        <f>AND(I65&lt;&gt;"",X65&lt;&gt;"")</f>
        <v/>
      </c>
      <c r="AE65">
        <f>OR(I65&lt;&gt;"",X65&lt;&gt;"")</f>
        <v/>
      </c>
      <c r="AF65">
        <f>AND(N65&lt;&gt;"",S65&lt;&gt;"")</f>
        <v/>
      </c>
      <c r="AG65">
        <f>OR(N65&lt;&gt;"",S65&lt;&gt;"")</f>
        <v/>
      </c>
      <c r="AH65">
        <f>AND(N65&lt;&gt;"",X65&lt;&gt;"")</f>
        <v/>
      </c>
      <c r="AI65">
        <f>OR(N65&lt;&gt;"",X65&lt;&gt;"")</f>
        <v/>
      </c>
      <c r="AJ65">
        <f>AND(S65&lt;&gt;"",X65&lt;&gt;"")</f>
        <v/>
      </c>
      <c r="AK65">
        <f>OR(S65&lt;&gt;"",X65&lt;&gt;"")</f>
        <v/>
      </c>
      <c r="AM65">
        <f>AND(I65&lt;&gt;"",N65&lt;&gt;"",B65="No")</f>
        <v/>
      </c>
      <c r="AN65">
        <f>AND(OR(I65&lt;&gt;"",N65&lt;&gt;""),B65="No")</f>
        <v/>
      </c>
      <c r="AO65">
        <f>AND(I65&lt;&gt;"",S65&lt;&gt;"",B65="No")</f>
        <v/>
      </c>
      <c r="AP65">
        <f>AND(OR(I65&lt;&gt;"",S65&lt;&gt;""),B65="No")</f>
        <v/>
      </c>
      <c r="AQ65">
        <f>AND(I65&lt;&gt;"",X65&lt;&gt;"",B65="No")</f>
        <v/>
      </c>
      <c r="AR65">
        <f>AND(OR(I65&lt;&gt;"",X65&lt;&gt;""),B65="No")</f>
        <v/>
      </c>
      <c r="AS65">
        <f>AND(N65&lt;&gt;"",S65&lt;&gt;"",B65="No")</f>
        <v/>
      </c>
      <c r="AT65">
        <f>AND(OR(N65&lt;&gt;"",S65&lt;&gt;""),B65="No")</f>
        <v/>
      </c>
      <c r="AU65">
        <f>AND(N65&lt;&gt;"",X65&lt;&gt;"",B65="No")</f>
        <v/>
      </c>
      <c r="AV65">
        <f>AND(OR(N65&lt;&gt;"",X65&lt;&gt;""),B65="No")</f>
        <v/>
      </c>
      <c r="AW65">
        <f>AND(S65&lt;&gt;"",X65&lt;&gt;"",B65="No")</f>
        <v/>
      </c>
      <c r="AX65">
        <f>AND(OR(S65&lt;&gt;"",X65&lt;&gt;""),B65="No")</f>
        <v/>
      </c>
    </row>
    <row r="66">
      <c r="A66" s="44" t="inlineStr">
        <is>
          <t>Q0.4.12</t>
        </is>
      </c>
      <c r="B66" s="47" t="inlineStr">
        <is>
          <t>Yes</t>
        </is>
      </c>
      <c r="C66" t="inlineStr">
        <is>
          <t>Template drift</t>
        </is>
      </c>
      <c r="D66" s="34" t="n"/>
      <c r="E66" s="35" t="n"/>
      <c r="F66" s="35" t="n"/>
      <c r="G66" s="35" t="n"/>
      <c r="H66" s="35" t="n"/>
      <c r="I66" s="37">
        <f>IF(COUNTA(E66:H66)&gt;0,"X","")</f>
        <v/>
      </c>
      <c r="J66" s="35" t="inlineStr">
        <is>
          <t>X</t>
        </is>
      </c>
      <c r="K66" s="35" t="n"/>
      <c r="L66" s="35" t="n"/>
      <c r="M66" s="35" t="n"/>
      <c r="N66" s="37">
        <f>IF(COUNTA(J66:M66)&gt;0,"X","")</f>
        <v/>
      </c>
      <c r="O66" s="35" t="n"/>
      <c r="P66" s="35" t="n"/>
      <c r="Q66" s="35" t="n"/>
      <c r="R66" s="35" t="n"/>
      <c r="S66" s="37">
        <f>IF(COUNTA(O66:R66)&gt;0,"X","")</f>
        <v/>
      </c>
      <c r="T66" s="35" t="n"/>
      <c r="U66" s="35" t="n"/>
      <c r="V66" s="35" t="n"/>
      <c r="W66" s="35" t="n"/>
      <c r="X66" s="37">
        <f>IF(COUNTA(T66:W66)&gt;0,"X","")</f>
        <v/>
      </c>
      <c r="Z66">
        <f>AND(I66&lt;&gt;"",N66&lt;&gt;"")</f>
        <v/>
      </c>
      <c r="AA66">
        <f>OR(I66&lt;&gt;"",N66&lt;&gt;"")</f>
        <v/>
      </c>
      <c r="AB66">
        <f>AND(I66&lt;&gt;"",S66&lt;&gt;"")</f>
        <v/>
      </c>
      <c r="AC66">
        <f>OR(I66&lt;&gt;"",S66&lt;&gt;"")</f>
        <v/>
      </c>
      <c r="AD66">
        <f>AND(I66&lt;&gt;"",X66&lt;&gt;"")</f>
        <v/>
      </c>
      <c r="AE66">
        <f>OR(I66&lt;&gt;"",X66&lt;&gt;"")</f>
        <v/>
      </c>
      <c r="AF66">
        <f>AND(N66&lt;&gt;"",S66&lt;&gt;"")</f>
        <v/>
      </c>
      <c r="AG66">
        <f>OR(N66&lt;&gt;"",S66&lt;&gt;"")</f>
        <v/>
      </c>
      <c r="AH66">
        <f>AND(N66&lt;&gt;"",X66&lt;&gt;"")</f>
        <v/>
      </c>
      <c r="AI66">
        <f>OR(N66&lt;&gt;"",X66&lt;&gt;"")</f>
        <v/>
      </c>
      <c r="AJ66">
        <f>AND(S66&lt;&gt;"",X66&lt;&gt;"")</f>
        <v/>
      </c>
      <c r="AK66">
        <f>OR(S66&lt;&gt;"",X66&lt;&gt;"")</f>
        <v/>
      </c>
      <c r="AM66">
        <f>AND(I66&lt;&gt;"",N66&lt;&gt;"",B66="No")</f>
        <v/>
      </c>
      <c r="AN66">
        <f>AND(OR(I66&lt;&gt;"",N66&lt;&gt;""),B66="No")</f>
        <v/>
      </c>
      <c r="AO66">
        <f>AND(I66&lt;&gt;"",S66&lt;&gt;"",B66="No")</f>
        <v/>
      </c>
      <c r="AP66">
        <f>AND(OR(I66&lt;&gt;"",S66&lt;&gt;""),B66="No")</f>
        <v/>
      </c>
      <c r="AQ66">
        <f>AND(I66&lt;&gt;"",X66&lt;&gt;"",B66="No")</f>
        <v/>
      </c>
      <c r="AR66">
        <f>AND(OR(I66&lt;&gt;"",X66&lt;&gt;""),B66="No")</f>
        <v/>
      </c>
      <c r="AS66">
        <f>AND(N66&lt;&gt;"",S66&lt;&gt;"",B66="No")</f>
        <v/>
      </c>
      <c r="AT66">
        <f>AND(OR(N66&lt;&gt;"",S66&lt;&gt;""),B66="No")</f>
        <v/>
      </c>
      <c r="AU66">
        <f>AND(N66&lt;&gt;"",X66&lt;&gt;"",B66="No")</f>
        <v/>
      </c>
      <c r="AV66">
        <f>AND(OR(N66&lt;&gt;"",X66&lt;&gt;""),B66="No")</f>
        <v/>
      </c>
      <c r="AW66">
        <f>AND(S66&lt;&gt;"",X66&lt;&gt;"",B66="No")</f>
        <v/>
      </c>
      <c r="AX66">
        <f>AND(OR(S66&lt;&gt;"",X66&lt;&gt;""),B66="No")</f>
        <v/>
      </c>
    </row>
    <row r="67">
      <c r="A67" s="44" t="inlineStr">
        <is>
          <t>Q0_ii.4.2</t>
        </is>
      </c>
      <c r="B67" s="47" t="inlineStr">
        <is>
          <t>Yes</t>
        </is>
      </c>
      <c r="C67" t="inlineStr">
        <is>
          <t>Template drift</t>
        </is>
      </c>
      <c r="D67" s="34" t="n"/>
      <c r="E67" s="35" t="n"/>
      <c r="F67" s="35" t="n"/>
      <c r="G67" s="35" t="n"/>
      <c r="H67" s="35" t="n"/>
      <c r="I67" s="37">
        <f>IF(COUNTA(E67:H67)&gt;0,"X","")</f>
        <v/>
      </c>
      <c r="J67" s="35" t="n"/>
      <c r="K67" s="35" t="inlineStr">
        <is>
          <t>X</t>
        </is>
      </c>
      <c r="L67" s="35" t="n"/>
      <c r="M67" s="35" t="n"/>
      <c r="N67" s="37">
        <f>IF(COUNTA(J67:M67)&gt;0,"X","")</f>
        <v/>
      </c>
      <c r="O67" s="35" t="n"/>
      <c r="P67" s="35" t="n"/>
      <c r="Q67" s="35" t="n"/>
      <c r="R67" s="35" t="n"/>
      <c r="S67" s="37">
        <f>IF(COUNTA(O67:R67)&gt;0,"X","")</f>
        <v/>
      </c>
      <c r="T67" s="35" t="n"/>
      <c r="U67" s="35" t="n"/>
      <c r="V67" s="35" t="n"/>
      <c r="W67" s="35" t="n"/>
      <c r="X67" s="37">
        <f>IF(COUNTA(T67:W67)&gt;0,"X","")</f>
        <v/>
      </c>
      <c r="Z67">
        <f>AND(I67&lt;&gt;"",N67&lt;&gt;"")</f>
        <v/>
      </c>
      <c r="AA67">
        <f>OR(I67&lt;&gt;"",N67&lt;&gt;"")</f>
        <v/>
      </c>
      <c r="AB67">
        <f>AND(I67&lt;&gt;"",S67&lt;&gt;"")</f>
        <v/>
      </c>
      <c r="AC67">
        <f>OR(I67&lt;&gt;"",S67&lt;&gt;"")</f>
        <v/>
      </c>
      <c r="AD67">
        <f>AND(I67&lt;&gt;"",X67&lt;&gt;"")</f>
        <v/>
      </c>
      <c r="AE67">
        <f>OR(I67&lt;&gt;"",X67&lt;&gt;"")</f>
        <v/>
      </c>
      <c r="AF67">
        <f>AND(N67&lt;&gt;"",S67&lt;&gt;"")</f>
        <v/>
      </c>
      <c r="AG67">
        <f>OR(N67&lt;&gt;"",S67&lt;&gt;"")</f>
        <v/>
      </c>
      <c r="AH67">
        <f>AND(N67&lt;&gt;"",X67&lt;&gt;"")</f>
        <v/>
      </c>
      <c r="AI67">
        <f>OR(N67&lt;&gt;"",X67&lt;&gt;"")</f>
        <v/>
      </c>
      <c r="AJ67">
        <f>AND(S67&lt;&gt;"",X67&lt;&gt;"")</f>
        <v/>
      </c>
      <c r="AK67">
        <f>OR(S67&lt;&gt;"",X67&lt;&gt;"")</f>
        <v/>
      </c>
      <c r="AM67">
        <f>AND(I67&lt;&gt;"",N67&lt;&gt;"",B67="No")</f>
        <v/>
      </c>
      <c r="AN67">
        <f>AND(OR(I67&lt;&gt;"",N67&lt;&gt;""),B67="No")</f>
        <v/>
      </c>
      <c r="AO67">
        <f>AND(I67&lt;&gt;"",S67&lt;&gt;"",B67="No")</f>
        <v/>
      </c>
      <c r="AP67">
        <f>AND(OR(I67&lt;&gt;"",S67&lt;&gt;""),B67="No")</f>
        <v/>
      </c>
      <c r="AQ67">
        <f>AND(I67&lt;&gt;"",X67&lt;&gt;"",B67="No")</f>
        <v/>
      </c>
      <c r="AR67">
        <f>AND(OR(I67&lt;&gt;"",X67&lt;&gt;""),B67="No")</f>
        <v/>
      </c>
      <c r="AS67">
        <f>AND(N67&lt;&gt;"",S67&lt;&gt;"",B67="No")</f>
        <v/>
      </c>
      <c r="AT67">
        <f>AND(OR(N67&lt;&gt;"",S67&lt;&gt;""),B67="No")</f>
        <v/>
      </c>
      <c r="AU67">
        <f>AND(N67&lt;&gt;"",X67&lt;&gt;"",B67="No")</f>
        <v/>
      </c>
      <c r="AV67">
        <f>AND(OR(N67&lt;&gt;"",X67&lt;&gt;""),B67="No")</f>
        <v/>
      </c>
      <c r="AW67">
        <f>AND(S67&lt;&gt;"",X67&lt;&gt;"",B67="No")</f>
        <v/>
      </c>
      <c r="AX67">
        <f>AND(OR(S67&lt;&gt;"",X67&lt;&gt;""),B67="No")</f>
        <v/>
      </c>
    </row>
    <row r="68">
      <c r="A68" s="44" t="inlineStr">
        <is>
          <t>Q0_iii.4.3</t>
        </is>
      </c>
      <c r="B68" s="47" t="inlineStr">
        <is>
          <t>Yes</t>
        </is>
      </c>
      <c r="C68" t="inlineStr">
        <is>
          <t>Scope misalignment</t>
        </is>
      </c>
      <c r="D68" s="34" t="n"/>
      <c r="E68" s="35" t="n"/>
      <c r="F68" s="35" t="n"/>
      <c r="G68" s="35" t="n"/>
      <c r="H68" s="35" t="n"/>
      <c r="I68" s="37">
        <f>IF(COUNTA(E68:H68)&gt;0,"X","")</f>
        <v/>
      </c>
      <c r="J68" s="35" t="n"/>
      <c r="K68" s="35" t="n"/>
      <c r="L68" s="35" t="inlineStr">
        <is>
          <t>X</t>
        </is>
      </c>
      <c r="M68" s="35" t="n"/>
      <c r="N68" s="37">
        <f>IF(COUNTA(J68:M68)&gt;0,"X","")</f>
        <v/>
      </c>
      <c r="O68" s="35" t="n"/>
      <c r="P68" s="35" t="n"/>
      <c r="Q68" s="35" t="n"/>
      <c r="R68" s="35" t="n"/>
      <c r="S68" s="37">
        <f>IF(COUNTA(O68:R68)&gt;0,"X","")</f>
        <v/>
      </c>
      <c r="T68" s="35" t="n"/>
      <c r="U68" s="35" t="n"/>
      <c r="V68" s="35" t="n"/>
      <c r="W68" s="35" t="n"/>
      <c r="X68" s="37">
        <f>IF(COUNTA(T68:W68)&gt;0,"X","")</f>
        <v/>
      </c>
      <c r="Z68">
        <f>AND(I68&lt;&gt;"",N68&lt;&gt;"")</f>
        <v/>
      </c>
      <c r="AA68">
        <f>OR(I68&lt;&gt;"",N68&lt;&gt;"")</f>
        <v/>
      </c>
      <c r="AB68">
        <f>AND(I68&lt;&gt;"",S68&lt;&gt;"")</f>
        <v/>
      </c>
      <c r="AC68">
        <f>OR(I68&lt;&gt;"",S68&lt;&gt;"")</f>
        <v/>
      </c>
      <c r="AD68">
        <f>AND(I68&lt;&gt;"",X68&lt;&gt;"")</f>
        <v/>
      </c>
      <c r="AE68">
        <f>OR(I68&lt;&gt;"",X68&lt;&gt;"")</f>
        <v/>
      </c>
      <c r="AF68">
        <f>AND(N68&lt;&gt;"",S68&lt;&gt;"")</f>
        <v/>
      </c>
      <c r="AG68">
        <f>OR(N68&lt;&gt;"",S68&lt;&gt;"")</f>
        <v/>
      </c>
      <c r="AH68">
        <f>AND(N68&lt;&gt;"",X68&lt;&gt;"")</f>
        <v/>
      </c>
      <c r="AI68">
        <f>OR(N68&lt;&gt;"",X68&lt;&gt;"")</f>
        <v/>
      </c>
      <c r="AJ68">
        <f>AND(S68&lt;&gt;"",X68&lt;&gt;"")</f>
        <v/>
      </c>
      <c r="AK68">
        <f>OR(S68&lt;&gt;"",X68&lt;&gt;"")</f>
        <v/>
      </c>
      <c r="AM68">
        <f>AND(I68&lt;&gt;"",N68&lt;&gt;"",B68="No")</f>
        <v/>
      </c>
      <c r="AN68">
        <f>AND(OR(I68&lt;&gt;"",N68&lt;&gt;""),B68="No")</f>
        <v/>
      </c>
      <c r="AO68">
        <f>AND(I68&lt;&gt;"",S68&lt;&gt;"",B68="No")</f>
        <v/>
      </c>
      <c r="AP68">
        <f>AND(OR(I68&lt;&gt;"",S68&lt;&gt;""),B68="No")</f>
        <v/>
      </c>
      <c r="AQ68">
        <f>AND(I68&lt;&gt;"",X68&lt;&gt;"",B68="No")</f>
        <v/>
      </c>
      <c r="AR68">
        <f>AND(OR(I68&lt;&gt;"",X68&lt;&gt;""),B68="No")</f>
        <v/>
      </c>
      <c r="AS68">
        <f>AND(N68&lt;&gt;"",S68&lt;&gt;"",B68="No")</f>
        <v/>
      </c>
      <c r="AT68">
        <f>AND(OR(N68&lt;&gt;"",S68&lt;&gt;""),B68="No")</f>
        <v/>
      </c>
      <c r="AU68">
        <f>AND(N68&lt;&gt;"",X68&lt;&gt;"",B68="No")</f>
        <v/>
      </c>
      <c r="AV68">
        <f>AND(OR(N68&lt;&gt;"",X68&lt;&gt;""),B68="No")</f>
        <v/>
      </c>
      <c r="AW68">
        <f>AND(S68&lt;&gt;"",X68&lt;&gt;"",B68="No")</f>
        <v/>
      </c>
      <c r="AX68">
        <f>AND(OR(S68&lt;&gt;"",X68&lt;&gt;""),B68="No")</f>
        <v/>
      </c>
    </row>
    <row r="69">
      <c r="A69" s="44" t="inlineStr">
        <is>
          <t>Q0_iii.4.4</t>
        </is>
      </c>
      <c r="B69" s="47" t="inlineStr">
        <is>
          <t>Yes</t>
        </is>
      </c>
      <c r="C69" t="inlineStr">
        <is>
          <t>Contextual misfit</t>
        </is>
      </c>
      <c r="D69" s="34" t="n"/>
      <c r="E69" s="35" t="n"/>
      <c r="F69" s="35" t="n"/>
      <c r="G69" s="35" t="n"/>
      <c r="H69" s="35" t="n"/>
      <c r="I69" s="37">
        <f>IF(COUNTA(E69:H69)&gt;0,"X","")</f>
        <v/>
      </c>
      <c r="J69" s="35" t="n"/>
      <c r="K69" s="35" t="n"/>
      <c r="L69" s="35" t="inlineStr">
        <is>
          <t>X</t>
        </is>
      </c>
      <c r="M69" s="35" t="n"/>
      <c r="N69" s="37">
        <f>IF(COUNTA(J69:M69)&gt;0,"X","")</f>
        <v/>
      </c>
      <c r="O69" s="35" t="n"/>
      <c r="P69" s="35" t="n"/>
      <c r="Q69" s="35" t="n"/>
      <c r="R69" s="35" t="n"/>
      <c r="S69" s="37">
        <f>IF(COUNTA(O69:R69)&gt;0,"X","")</f>
        <v/>
      </c>
      <c r="T69" s="35" t="n"/>
      <c r="U69" s="35" t="n"/>
      <c r="V69" s="35" t="n"/>
      <c r="W69" s="35" t="n"/>
      <c r="X69" s="37">
        <f>IF(COUNTA(T69:W69)&gt;0,"X","")</f>
        <v/>
      </c>
      <c r="Z69">
        <f>AND(I69&lt;&gt;"",N69&lt;&gt;"")</f>
        <v/>
      </c>
      <c r="AA69">
        <f>OR(I69&lt;&gt;"",N69&lt;&gt;"")</f>
        <v/>
      </c>
      <c r="AB69">
        <f>AND(I69&lt;&gt;"",S69&lt;&gt;"")</f>
        <v/>
      </c>
      <c r="AC69">
        <f>OR(I69&lt;&gt;"",S69&lt;&gt;"")</f>
        <v/>
      </c>
      <c r="AD69">
        <f>AND(I69&lt;&gt;"",X69&lt;&gt;"")</f>
        <v/>
      </c>
      <c r="AE69">
        <f>OR(I69&lt;&gt;"",X69&lt;&gt;"")</f>
        <v/>
      </c>
      <c r="AF69">
        <f>AND(N69&lt;&gt;"",S69&lt;&gt;"")</f>
        <v/>
      </c>
      <c r="AG69">
        <f>OR(N69&lt;&gt;"",S69&lt;&gt;"")</f>
        <v/>
      </c>
      <c r="AH69">
        <f>AND(N69&lt;&gt;"",X69&lt;&gt;"")</f>
        <v/>
      </c>
      <c r="AI69">
        <f>OR(N69&lt;&gt;"",X69&lt;&gt;"")</f>
        <v/>
      </c>
      <c r="AJ69">
        <f>AND(S69&lt;&gt;"",X69&lt;&gt;"")</f>
        <v/>
      </c>
      <c r="AK69">
        <f>OR(S69&lt;&gt;"",X69&lt;&gt;"")</f>
        <v/>
      </c>
      <c r="AM69">
        <f>AND(I69&lt;&gt;"",N69&lt;&gt;"",B69="No")</f>
        <v/>
      </c>
      <c r="AN69">
        <f>AND(OR(I69&lt;&gt;"",N69&lt;&gt;""),B69="No")</f>
        <v/>
      </c>
      <c r="AO69">
        <f>AND(I69&lt;&gt;"",S69&lt;&gt;"",B69="No")</f>
        <v/>
      </c>
      <c r="AP69">
        <f>AND(OR(I69&lt;&gt;"",S69&lt;&gt;""),B69="No")</f>
        <v/>
      </c>
      <c r="AQ69">
        <f>AND(I69&lt;&gt;"",X69&lt;&gt;"",B69="No")</f>
        <v/>
      </c>
      <c r="AR69">
        <f>AND(OR(I69&lt;&gt;"",X69&lt;&gt;""),B69="No")</f>
        <v/>
      </c>
      <c r="AS69">
        <f>AND(N69&lt;&gt;"",S69&lt;&gt;"",B69="No")</f>
        <v/>
      </c>
      <c r="AT69">
        <f>AND(OR(N69&lt;&gt;"",S69&lt;&gt;""),B69="No")</f>
        <v/>
      </c>
      <c r="AU69">
        <f>AND(N69&lt;&gt;"",X69&lt;&gt;"",B69="No")</f>
        <v/>
      </c>
      <c r="AV69">
        <f>AND(OR(N69&lt;&gt;"",X69&lt;&gt;""),B69="No")</f>
        <v/>
      </c>
      <c r="AW69">
        <f>AND(S69&lt;&gt;"",X69&lt;&gt;"",B69="No")</f>
        <v/>
      </c>
      <c r="AX69">
        <f>AND(OR(S69&lt;&gt;"",X69&lt;&gt;""),B69="No")</f>
        <v/>
      </c>
    </row>
    <row r="70">
      <c r="A70" s="44" t="inlineStr">
        <is>
          <t>Q0_iv.4.4</t>
        </is>
      </c>
      <c r="B70" s="47" t="inlineStr">
        <is>
          <t>Yes</t>
        </is>
      </c>
      <c r="C70" t="inlineStr">
        <is>
          <t>Scope misalignment</t>
        </is>
      </c>
      <c r="D70" s="34" t="n"/>
      <c r="E70" s="35" t="n"/>
      <c r="F70" s="35" t="n"/>
      <c r="G70" s="35" t="n"/>
      <c r="H70" s="35" t="n"/>
      <c r="I70" s="37">
        <f>IF(COUNTA(E70:H70)&gt;0,"X","")</f>
        <v/>
      </c>
      <c r="J70" s="35" t="n"/>
      <c r="K70" s="35" t="n"/>
      <c r="L70" s="35" t="n"/>
      <c r="M70" s="35" t="inlineStr">
        <is>
          <t>X</t>
        </is>
      </c>
      <c r="N70" s="37">
        <f>IF(COUNTA(J70:M70)&gt;0,"X","")</f>
        <v/>
      </c>
      <c r="O70" s="35" t="n"/>
      <c r="P70" s="35" t="n"/>
      <c r="Q70" s="35" t="n"/>
      <c r="R70" s="35" t="n"/>
      <c r="S70" s="37">
        <f>IF(COUNTA(O70:R70)&gt;0,"X","")</f>
        <v/>
      </c>
      <c r="T70" s="35" t="n"/>
      <c r="U70" s="35" t="n"/>
      <c r="V70" s="35" t="n"/>
      <c r="W70" s="35" t="n"/>
      <c r="X70" s="37">
        <f>IF(COUNTA(T70:W70)&gt;0,"X","")</f>
        <v/>
      </c>
      <c r="Z70">
        <f>AND(I70&lt;&gt;"",N70&lt;&gt;"")</f>
        <v/>
      </c>
      <c r="AA70">
        <f>OR(I70&lt;&gt;"",N70&lt;&gt;"")</f>
        <v/>
      </c>
      <c r="AB70">
        <f>AND(I70&lt;&gt;"",S70&lt;&gt;"")</f>
        <v/>
      </c>
      <c r="AC70">
        <f>OR(I70&lt;&gt;"",S70&lt;&gt;"")</f>
        <v/>
      </c>
      <c r="AD70">
        <f>AND(I70&lt;&gt;"",X70&lt;&gt;"")</f>
        <v/>
      </c>
      <c r="AE70">
        <f>OR(I70&lt;&gt;"",X70&lt;&gt;"")</f>
        <v/>
      </c>
      <c r="AF70">
        <f>AND(N70&lt;&gt;"",S70&lt;&gt;"")</f>
        <v/>
      </c>
      <c r="AG70">
        <f>OR(N70&lt;&gt;"",S70&lt;&gt;"")</f>
        <v/>
      </c>
      <c r="AH70">
        <f>AND(N70&lt;&gt;"",X70&lt;&gt;"")</f>
        <v/>
      </c>
      <c r="AI70">
        <f>OR(N70&lt;&gt;"",X70&lt;&gt;"")</f>
        <v/>
      </c>
      <c r="AJ70">
        <f>AND(S70&lt;&gt;"",X70&lt;&gt;"")</f>
        <v/>
      </c>
      <c r="AK70">
        <f>OR(S70&lt;&gt;"",X70&lt;&gt;"")</f>
        <v/>
      </c>
      <c r="AM70">
        <f>AND(I70&lt;&gt;"",N70&lt;&gt;"",B70="No")</f>
        <v/>
      </c>
      <c r="AN70">
        <f>AND(OR(I70&lt;&gt;"",N70&lt;&gt;""),B70="No")</f>
        <v/>
      </c>
      <c r="AO70">
        <f>AND(I70&lt;&gt;"",S70&lt;&gt;"",B70="No")</f>
        <v/>
      </c>
      <c r="AP70">
        <f>AND(OR(I70&lt;&gt;"",S70&lt;&gt;""),B70="No")</f>
        <v/>
      </c>
      <c r="AQ70">
        <f>AND(I70&lt;&gt;"",X70&lt;&gt;"",B70="No")</f>
        <v/>
      </c>
      <c r="AR70">
        <f>AND(OR(I70&lt;&gt;"",X70&lt;&gt;""),B70="No")</f>
        <v/>
      </c>
      <c r="AS70">
        <f>AND(N70&lt;&gt;"",S70&lt;&gt;"",B70="No")</f>
        <v/>
      </c>
      <c r="AT70">
        <f>AND(OR(N70&lt;&gt;"",S70&lt;&gt;""),B70="No")</f>
        <v/>
      </c>
      <c r="AU70">
        <f>AND(N70&lt;&gt;"",X70&lt;&gt;"",B70="No")</f>
        <v/>
      </c>
      <c r="AV70">
        <f>AND(OR(N70&lt;&gt;"",X70&lt;&gt;""),B70="No")</f>
        <v/>
      </c>
      <c r="AW70">
        <f>AND(S70&lt;&gt;"",X70&lt;&gt;"",B70="No")</f>
        <v/>
      </c>
      <c r="AX70">
        <f>AND(OR(S70&lt;&gt;"",X70&lt;&gt;""),B70="No")</f>
        <v/>
      </c>
    </row>
    <row r="71">
      <c r="A71" s="44" t="inlineStr">
        <is>
          <t>G0.4.1</t>
        </is>
      </c>
      <c r="B71" s="47" t="inlineStr">
        <is>
          <t>Yes</t>
        </is>
      </c>
      <c r="C71" t="inlineStr">
        <is>
          <t>Template drift</t>
        </is>
      </c>
      <c r="D71" s="34" t="n"/>
      <c r="E71" s="35" t="n"/>
      <c r="F71" s="35" t="n"/>
      <c r="G71" s="35" t="n"/>
      <c r="H71" s="35" t="n"/>
      <c r="I71" s="37">
        <f>IF(COUNTA(E71:H71)&gt;0,"X","")</f>
        <v/>
      </c>
      <c r="J71" s="35" t="n"/>
      <c r="K71" s="35" t="n"/>
      <c r="L71" s="35" t="n"/>
      <c r="M71" s="35" t="n"/>
      <c r="N71" s="37">
        <f>IF(COUNTA(J71:M71)&gt;0,"X","")</f>
        <v/>
      </c>
      <c r="O71" s="35" t="n"/>
      <c r="P71" s="35" t="n"/>
      <c r="Q71" s="35" t="n"/>
      <c r="R71" s="35" t="n"/>
      <c r="S71" s="37">
        <f>IF(COUNTA(O71:R71)&gt;0,"X","")</f>
        <v/>
      </c>
      <c r="T71" s="35" t="inlineStr">
        <is>
          <t>X</t>
        </is>
      </c>
      <c r="U71" s="35" t="n"/>
      <c r="V71" s="35" t="n"/>
      <c r="W71" s="35" t="n"/>
      <c r="X71" s="37">
        <f>IF(COUNTA(T71:W71)&gt;0,"X","")</f>
        <v/>
      </c>
      <c r="Z71">
        <f>AND(I71&lt;&gt;"",N71&lt;&gt;"")</f>
        <v/>
      </c>
      <c r="AA71">
        <f>OR(I71&lt;&gt;"",N71&lt;&gt;"")</f>
        <v/>
      </c>
      <c r="AB71">
        <f>AND(I71&lt;&gt;"",S71&lt;&gt;"")</f>
        <v/>
      </c>
      <c r="AC71">
        <f>OR(I71&lt;&gt;"",S71&lt;&gt;"")</f>
        <v/>
      </c>
      <c r="AD71">
        <f>AND(I71&lt;&gt;"",X71&lt;&gt;"")</f>
        <v/>
      </c>
      <c r="AE71">
        <f>OR(I71&lt;&gt;"",X71&lt;&gt;"")</f>
        <v/>
      </c>
      <c r="AF71">
        <f>AND(N71&lt;&gt;"",S71&lt;&gt;"")</f>
        <v/>
      </c>
      <c r="AG71">
        <f>OR(N71&lt;&gt;"",S71&lt;&gt;"")</f>
        <v/>
      </c>
      <c r="AH71">
        <f>AND(N71&lt;&gt;"",X71&lt;&gt;"")</f>
        <v/>
      </c>
      <c r="AI71">
        <f>OR(N71&lt;&gt;"",X71&lt;&gt;"")</f>
        <v/>
      </c>
      <c r="AJ71">
        <f>AND(S71&lt;&gt;"",X71&lt;&gt;"")</f>
        <v/>
      </c>
      <c r="AK71">
        <f>OR(S71&lt;&gt;"",X71&lt;&gt;"")</f>
        <v/>
      </c>
      <c r="AM71">
        <f>AND(I71&lt;&gt;"",N71&lt;&gt;"",B71="No")</f>
        <v/>
      </c>
      <c r="AN71">
        <f>AND(OR(I71&lt;&gt;"",N71&lt;&gt;""),B71="No")</f>
        <v/>
      </c>
      <c r="AO71">
        <f>AND(I71&lt;&gt;"",S71&lt;&gt;"",B71="No")</f>
        <v/>
      </c>
      <c r="AP71">
        <f>AND(OR(I71&lt;&gt;"",S71&lt;&gt;""),B71="No")</f>
        <v/>
      </c>
      <c r="AQ71">
        <f>AND(I71&lt;&gt;"",X71&lt;&gt;"",B71="No")</f>
        <v/>
      </c>
      <c r="AR71">
        <f>AND(OR(I71&lt;&gt;"",X71&lt;&gt;""),B71="No")</f>
        <v/>
      </c>
      <c r="AS71">
        <f>AND(N71&lt;&gt;"",S71&lt;&gt;"",B71="No")</f>
        <v/>
      </c>
      <c r="AT71">
        <f>AND(OR(N71&lt;&gt;"",S71&lt;&gt;""),B71="No")</f>
        <v/>
      </c>
      <c r="AU71">
        <f>AND(N71&lt;&gt;"",X71&lt;&gt;"",B71="No")</f>
        <v/>
      </c>
      <c r="AV71">
        <f>AND(OR(N71&lt;&gt;"",X71&lt;&gt;""),B71="No")</f>
        <v/>
      </c>
      <c r="AW71">
        <f>AND(S71&lt;&gt;"",X71&lt;&gt;"",B71="No")</f>
        <v/>
      </c>
      <c r="AX71">
        <f>AND(OR(S71&lt;&gt;"",X71&lt;&gt;""),B71="No")</f>
        <v/>
      </c>
    </row>
    <row r="72">
      <c r="A72" s="44" t="inlineStr">
        <is>
          <t>G0.4.2</t>
        </is>
      </c>
      <c r="B72" s="47" t="inlineStr">
        <is>
          <t>Yes</t>
        </is>
      </c>
      <c r="C72" t="inlineStr">
        <is>
          <t>Template drift</t>
        </is>
      </c>
      <c r="D72" s="34" t="n"/>
      <c r="E72" s="35" t="n"/>
      <c r="F72" s="35" t="n"/>
      <c r="G72" s="35" t="n"/>
      <c r="H72" s="35" t="n"/>
      <c r="I72" s="37">
        <f>IF(COUNTA(E72:H72)&gt;0,"X","")</f>
        <v/>
      </c>
      <c r="J72" s="35" t="n"/>
      <c r="K72" s="35" t="n"/>
      <c r="L72" s="35" t="n"/>
      <c r="M72" s="35" t="n"/>
      <c r="N72" s="37">
        <f>IF(COUNTA(J72:M72)&gt;0,"X","")</f>
        <v/>
      </c>
      <c r="O72" s="35" t="n"/>
      <c r="P72" s="35" t="n"/>
      <c r="Q72" s="35" t="n"/>
      <c r="R72" s="35" t="n"/>
      <c r="S72" s="37">
        <f>IF(COUNTA(O72:R72)&gt;0,"X","")</f>
        <v/>
      </c>
      <c r="T72" s="35" t="inlineStr">
        <is>
          <t>X</t>
        </is>
      </c>
      <c r="U72" s="35" t="n"/>
      <c r="V72" s="35" t="n"/>
      <c r="W72" s="35" t="n"/>
      <c r="X72" s="37">
        <f>IF(COUNTA(T72:W72)&gt;0,"X","")</f>
        <v/>
      </c>
      <c r="Z72">
        <f>AND(I72&lt;&gt;"",N72&lt;&gt;"")</f>
        <v/>
      </c>
      <c r="AA72">
        <f>OR(I72&lt;&gt;"",N72&lt;&gt;"")</f>
        <v/>
      </c>
      <c r="AB72">
        <f>AND(I72&lt;&gt;"",S72&lt;&gt;"")</f>
        <v/>
      </c>
      <c r="AC72">
        <f>OR(I72&lt;&gt;"",S72&lt;&gt;"")</f>
        <v/>
      </c>
      <c r="AD72">
        <f>AND(I72&lt;&gt;"",X72&lt;&gt;"")</f>
        <v/>
      </c>
      <c r="AE72">
        <f>OR(I72&lt;&gt;"",X72&lt;&gt;"")</f>
        <v/>
      </c>
      <c r="AF72">
        <f>AND(N72&lt;&gt;"",S72&lt;&gt;"")</f>
        <v/>
      </c>
      <c r="AG72">
        <f>OR(N72&lt;&gt;"",S72&lt;&gt;"")</f>
        <v/>
      </c>
      <c r="AH72">
        <f>AND(N72&lt;&gt;"",X72&lt;&gt;"")</f>
        <v/>
      </c>
      <c r="AI72">
        <f>OR(N72&lt;&gt;"",X72&lt;&gt;"")</f>
        <v/>
      </c>
      <c r="AJ72">
        <f>AND(S72&lt;&gt;"",X72&lt;&gt;"")</f>
        <v/>
      </c>
      <c r="AK72">
        <f>OR(S72&lt;&gt;"",X72&lt;&gt;"")</f>
        <v/>
      </c>
      <c r="AM72">
        <f>AND(I72&lt;&gt;"",N72&lt;&gt;"",B72="No")</f>
        <v/>
      </c>
      <c r="AN72">
        <f>AND(OR(I72&lt;&gt;"",N72&lt;&gt;""),B72="No")</f>
        <v/>
      </c>
      <c r="AO72">
        <f>AND(I72&lt;&gt;"",S72&lt;&gt;"",B72="No")</f>
        <v/>
      </c>
      <c r="AP72">
        <f>AND(OR(I72&lt;&gt;"",S72&lt;&gt;""),B72="No")</f>
        <v/>
      </c>
      <c r="AQ72">
        <f>AND(I72&lt;&gt;"",X72&lt;&gt;"",B72="No")</f>
        <v/>
      </c>
      <c r="AR72">
        <f>AND(OR(I72&lt;&gt;"",X72&lt;&gt;""),B72="No")</f>
        <v/>
      </c>
      <c r="AS72">
        <f>AND(N72&lt;&gt;"",S72&lt;&gt;"",B72="No")</f>
        <v/>
      </c>
      <c r="AT72">
        <f>AND(OR(N72&lt;&gt;"",S72&lt;&gt;""),B72="No")</f>
        <v/>
      </c>
      <c r="AU72">
        <f>AND(N72&lt;&gt;"",X72&lt;&gt;"",B72="No")</f>
        <v/>
      </c>
      <c r="AV72">
        <f>AND(OR(N72&lt;&gt;"",X72&lt;&gt;""),B72="No")</f>
        <v/>
      </c>
      <c r="AW72">
        <f>AND(S72&lt;&gt;"",X72&lt;&gt;"",B72="No")</f>
        <v/>
      </c>
      <c r="AX72">
        <f>AND(OR(S72&lt;&gt;"",X72&lt;&gt;""),B72="No")</f>
        <v/>
      </c>
    </row>
    <row r="73">
      <c r="A73" s="44" t="inlineStr">
        <is>
          <t>G0_iv.4.2</t>
        </is>
      </c>
      <c r="B73" s="47" t="inlineStr">
        <is>
          <t>Yes</t>
        </is>
      </c>
      <c r="C73" t="inlineStr">
        <is>
          <t>Template drift</t>
        </is>
      </c>
      <c r="D73" s="34" t="n"/>
      <c r="E73" s="35" t="n"/>
      <c r="F73" s="35" t="n"/>
      <c r="G73" s="35" t="n"/>
      <c r="H73" s="35" t="n"/>
      <c r="I73" s="37">
        <f>IF(COUNTA(E73:H73)&gt;0,"X","")</f>
        <v/>
      </c>
      <c r="J73" s="35" t="n"/>
      <c r="K73" s="35" t="n"/>
      <c r="L73" s="35" t="n"/>
      <c r="M73" s="35" t="n"/>
      <c r="N73" s="37">
        <f>IF(COUNTA(J73:M73)&gt;0,"X","")</f>
        <v/>
      </c>
      <c r="O73" s="35" t="n"/>
      <c r="P73" s="35" t="n"/>
      <c r="Q73" s="35" t="n"/>
      <c r="R73" s="35" t="n"/>
      <c r="S73" s="37">
        <f>IF(COUNTA(O73:R73)&gt;0,"X","")</f>
        <v/>
      </c>
      <c r="T73" s="35" t="n"/>
      <c r="U73" s="35" t="n"/>
      <c r="V73" s="35" t="n"/>
      <c r="W73" s="35" t="inlineStr">
        <is>
          <t>X</t>
        </is>
      </c>
      <c r="X73" s="37">
        <f>IF(COUNTA(T73:W73)&gt;0,"X","")</f>
        <v/>
      </c>
      <c r="Z73">
        <f>AND(I73&lt;&gt;"",N73&lt;&gt;"")</f>
        <v/>
      </c>
      <c r="AA73">
        <f>OR(I73&lt;&gt;"",N73&lt;&gt;"")</f>
        <v/>
      </c>
      <c r="AB73">
        <f>AND(I73&lt;&gt;"",S73&lt;&gt;"")</f>
        <v/>
      </c>
      <c r="AC73">
        <f>OR(I73&lt;&gt;"",S73&lt;&gt;"")</f>
        <v/>
      </c>
      <c r="AD73">
        <f>AND(I73&lt;&gt;"",X73&lt;&gt;"")</f>
        <v/>
      </c>
      <c r="AE73">
        <f>OR(I73&lt;&gt;"",X73&lt;&gt;"")</f>
        <v/>
      </c>
      <c r="AF73">
        <f>AND(N73&lt;&gt;"",S73&lt;&gt;"")</f>
        <v/>
      </c>
      <c r="AG73">
        <f>OR(N73&lt;&gt;"",S73&lt;&gt;"")</f>
        <v/>
      </c>
      <c r="AH73">
        <f>AND(N73&lt;&gt;"",X73&lt;&gt;"")</f>
        <v/>
      </c>
      <c r="AI73">
        <f>OR(N73&lt;&gt;"",X73&lt;&gt;"")</f>
        <v/>
      </c>
      <c r="AJ73">
        <f>AND(S73&lt;&gt;"",X73&lt;&gt;"")</f>
        <v/>
      </c>
      <c r="AK73">
        <f>OR(S73&lt;&gt;"",X73&lt;&gt;"")</f>
        <v/>
      </c>
      <c r="AM73">
        <f>AND(I73&lt;&gt;"",N73&lt;&gt;"",B73="No")</f>
        <v/>
      </c>
      <c r="AN73">
        <f>AND(OR(I73&lt;&gt;"",N73&lt;&gt;""),B73="No")</f>
        <v/>
      </c>
      <c r="AO73">
        <f>AND(I73&lt;&gt;"",S73&lt;&gt;"",B73="No")</f>
        <v/>
      </c>
      <c r="AP73">
        <f>AND(OR(I73&lt;&gt;"",S73&lt;&gt;""),B73="No")</f>
        <v/>
      </c>
      <c r="AQ73">
        <f>AND(I73&lt;&gt;"",X73&lt;&gt;"",B73="No")</f>
        <v/>
      </c>
      <c r="AR73">
        <f>AND(OR(I73&lt;&gt;"",X73&lt;&gt;""),B73="No")</f>
        <v/>
      </c>
      <c r="AS73">
        <f>AND(N73&lt;&gt;"",S73&lt;&gt;"",B73="No")</f>
        <v/>
      </c>
      <c r="AT73">
        <f>AND(OR(N73&lt;&gt;"",S73&lt;&gt;""),B73="No")</f>
        <v/>
      </c>
      <c r="AU73">
        <f>AND(N73&lt;&gt;"",X73&lt;&gt;"",B73="No")</f>
        <v/>
      </c>
      <c r="AV73">
        <f>AND(OR(N73&lt;&gt;"",X73&lt;&gt;""),B73="No")</f>
        <v/>
      </c>
      <c r="AW73">
        <f>AND(S73&lt;&gt;"",X73&lt;&gt;"",B73="No")</f>
        <v/>
      </c>
      <c r="AX73">
        <f>AND(OR(S73&lt;&gt;"",X73&lt;&gt;""),B73="No")</f>
        <v/>
      </c>
    </row>
    <row r="74">
      <c r="A74" s="44" t="inlineStr">
        <is>
          <t>GS.5.1</t>
        </is>
      </c>
      <c r="B74" s="47" t="inlineStr">
        <is>
          <t>No</t>
        </is>
      </c>
      <c r="C74" s="47" t="n"/>
      <c r="D74" s="34" t="inlineStr">
        <is>
          <t>H.5.1</t>
        </is>
      </c>
      <c r="E74" s="27" t="inlineStr">
        <is>
          <t>X</t>
        </is>
      </c>
      <c r="F74" s="27" t="inlineStr">
        <is>
          <t>X</t>
        </is>
      </c>
      <c r="G74" s="27" t="inlineStr">
        <is>
          <t>X</t>
        </is>
      </c>
      <c r="H74" s="27" t="inlineStr">
        <is>
          <t>X</t>
        </is>
      </c>
      <c r="I74" s="37">
        <f>IF(COUNTA(E74:H74)&gt;0,"X","")</f>
        <v/>
      </c>
      <c r="J74" s="27" t="inlineStr">
        <is>
          <t>X</t>
        </is>
      </c>
      <c r="K74" s="27" t="inlineStr">
        <is>
          <t>X</t>
        </is>
      </c>
      <c r="L74" s="27" t="inlineStr">
        <is>
          <t>X</t>
        </is>
      </c>
      <c r="M74" s="27" t="inlineStr">
        <is>
          <t>X</t>
        </is>
      </c>
      <c r="N74" s="37">
        <f>IF(COUNTA(J74:M74)&gt;0,"X","")</f>
        <v/>
      </c>
      <c r="O74" s="27" t="inlineStr">
        <is>
          <t>X</t>
        </is>
      </c>
      <c r="P74" s="27" t="inlineStr">
        <is>
          <t>X</t>
        </is>
      </c>
      <c r="Q74" s="27" t="inlineStr">
        <is>
          <t>X</t>
        </is>
      </c>
      <c r="R74" s="27" t="inlineStr">
        <is>
          <t>X</t>
        </is>
      </c>
      <c r="S74" s="37">
        <f>IF(COUNTA(O74:R74)&gt;0,"X","")</f>
        <v/>
      </c>
      <c r="T74" s="27" t="inlineStr">
        <is>
          <t>X</t>
        </is>
      </c>
      <c r="U74" s="27" t="inlineStr">
        <is>
          <t>X</t>
        </is>
      </c>
      <c r="V74" s="27" t="inlineStr">
        <is>
          <t>X</t>
        </is>
      </c>
      <c r="W74" s="27" t="inlineStr">
        <is>
          <t>X</t>
        </is>
      </c>
      <c r="X74" s="37">
        <f>IF(COUNTA(T74:W74)&gt;0,"X","")</f>
        <v/>
      </c>
      <c r="Z74">
        <f>AND(I74&lt;&gt;"",N74&lt;&gt;"")</f>
        <v/>
      </c>
      <c r="AA74">
        <f>OR(I74&lt;&gt;"",N74&lt;&gt;"")</f>
        <v/>
      </c>
      <c r="AB74">
        <f>AND(I74&lt;&gt;"",S74&lt;&gt;"")</f>
        <v/>
      </c>
      <c r="AC74">
        <f>OR(I74&lt;&gt;"",S74&lt;&gt;"")</f>
        <v/>
      </c>
      <c r="AD74">
        <f>AND(I74&lt;&gt;"",X74&lt;&gt;"")</f>
        <v/>
      </c>
      <c r="AE74">
        <f>OR(I74&lt;&gt;"",X74&lt;&gt;"")</f>
        <v/>
      </c>
      <c r="AF74">
        <f>AND(N74&lt;&gt;"",S74&lt;&gt;"")</f>
        <v/>
      </c>
      <c r="AG74">
        <f>OR(N74&lt;&gt;"",S74&lt;&gt;"")</f>
        <v/>
      </c>
      <c r="AH74">
        <f>AND(N74&lt;&gt;"",X74&lt;&gt;"")</f>
        <v/>
      </c>
      <c r="AI74">
        <f>OR(N74&lt;&gt;"",X74&lt;&gt;"")</f>
        <v/>
      </c>
      <c r="AJ74">
        <f>AND(S74&lt;&gt;"",X74&lt;&gt;"")</f>
        <v/>
      </c>
      <c r="AK74">
        <f>OR(S74&lt;&gt;"",X74&lt;&gt;"")</f>
        <v/>
      </c>
      <c r="AM74">
        <f>AND(I74&lt;&gt;"",N74&lt;&gt;"",B74="No")</f>
        <v/>
      </c>
      <c r="AN74">
        <f>AND(OR(I74&lt;&gt;"",N74&lt;&gt;""),B74="No")</f>
        <v/>
      </c>
      <c r="AO74">
        <f>AND(I74&lt;&gt;"",S74&lt;&gt;"",B74="No")</f>
        <v/>
      </c>
      <c r="AP74">
        <f>AND(OR(I74&lt;&gt;"",S74&lt;&gt;""),B74="No")</f>
        <v/>
      </c>
      <c r="AQ74">
        <f>AND(I74&lt;&gt;"",X74&lt;&gt;"",B74="No")</f>
        <v/>
      </c>
      <c r="AR74">
        <f>AND(OR(I74&lt;&gt;"",X74&lt;&gt;""),B74="No")</f>
        <v/>
      </c>
      <c r="AS74">
        <f>AND(N74&lt;&gt;"",S74&lt;&gt;"",B74="No")</f>
        <v/>
      </c>
      <c r="AT74">
        <f>AND(OR(N74&lt;&gt;"",S74&lt;&gt;""),B74="No")</f>
        <v/>
      </c>
      <c r="AU74">
        <f>AND(N74&lt;&gt;"",X74&lt;&gt;"",B74="No")</f>
        <v/>
      </c>
      <c r="AV74">
        <f>AND(OR(N74&lt;&gt;"",X74&lt;&gt;""),B74="No")</f>
        <v/>
      </c>
      <c r="AW74">
        <f>AND(S74&lt;&gt;"",X74&lt;&gt;"",B74="No")</f>
        <v/>
      </c>
      <c r="AX74">
        <f>AND(OR(S74&lt;&gt;"",X74&lt;&gt;""),B74="No")</f>
        <v/>
      </c>
    </row>
    <row r="75">
      <c r="A75" s="44" t="inlineStr">
        <is>
          <t>GS.5.2</t>
        </is>
      </c>
      <c r="B75" s="47" t="inlineStr">
        <is>
          <t>No</t>
        </is>
      </c>
      <c r="C75" s="47" t="n"/>
      <c r="D75" s="34" t="inlineStr">
        <is>
          <t>H.5.2</t>
        </is>
      </c>
      <c r="E75" s="27" t="inlineStr">
        <is>
          <t>P</t>
        </is>
      </c>
      <c r="F75" s="27" t="inlineStr">
        <is>
          <t>P</t>
        </is>
      </c>
      <c r="G75" s="27" t="inlineStr">
        <is>
          <t>P</t>
        </is>
      </c>
      <c r="H75" s="27" t="inlineStr">
        <is>
          <t>P</t>
        </is>
      </c>
      <c r="I75" s="37">
        <f>IF(COUNTA(E75:H75)&gt;0,"X","")</f>
        <v/>
      </c>
      <c r="J75" s="27" t="inlineStr">
        <is>
          <t>X</t>
        </is>
      </c>
      <c r="K75" s="27" t="inlineStr">
        <is>
          <t>X</t>
        </is>
      </c>
      <c r="L75" s="27" t="inlineStr">
        <is>
          <t>X</t>
        </is>
      </c>
      <c r="M75" s="27" t="inlineStr">
        <is>
          <t>X</t>
        </is>
      </c>
      <c r="N75" s="37">
        <f>IF(COUNTA(J75:M75)&gt;0,"X","")</f>
        <v/>
      </c>
      <c r="O75" s="35" t="n"/>
      <c r="P75" s="35" t="n"/>
      <c r="Q75" s="35" t="n"/>
      <c r="R75" s="35" t="n"/>
      <c r="S75" s="37">
        <f>IF(COUNTA(O75:R75)&gt;0,"X","")</f>
        <v/>
      </c>
      <c r="T75" s="27" t="inlineStr">
        <is>
          <t>X</t>
        </is>
      </c>
      <c r="U75" s="27" t="inlineStr">
        <is>
          <t>X</t>
        </is>
      </c>
      <c r="V75" s="27" t="inlineStr">
        <is>
          <t>X</t>
        </is>
      </c>
      <c r="W75" s="27" t="inlineStr">
        <is>
          <t>X</t>
        </is>
      </c>
      <c r="X75" s="37">
        <f>IF(COUNTA(T75:W75)&gt;0,"X","")</f>
        <v/>
      </c>
      <c r="Z75">
        <f>AND(I75&lt;&gt;"",N75&lt;&gt;"")</f>
        <v/>
      </c>
      <c r="AA75">
        <f>OR(I75&lt;&gt;"",N75&lt;&gt;"")</f>
        <v/>
      </c>
      <c r="AB75">
        <f>AND(I75&lt;&gt;"",S75&lt;&gt;"")</f>
        <v/>
      </c>
      <c r="AC75">
        <f>OR(I75&lt;&gt;"",S75&lt;&gt;"")</f>
        <v/>
      </c>
      <c r="AD75">
        <f>AND(I75&lt;&gt;"",X75&lt;&gt;"")</f>
        <v/>
      </c>
      <c r="AE75">
        <f>OR(I75&lt;&gt;"",X75&lt;&gt;"")</f>
        <v/>
      </c>
      <c r="AF75">
        <f>AND(N75&lt;&gt;"",S75&lt;&gt;"")</f>
        <v/>
      </c>
      <c r="AG75">
        <f>OR(N75&lt;&gt;"",S75&lt;&gt;"")</f>
        <v/>
      </c>
      <c r="AH75">
        <f>AND(N75&lt;&gt;"",X75&lt;&gt;"")</f>
        <v/>
      </c>
      <c r="AI75">
        <f>OR(N75&lt;&gt;"",X75&lt;&gt;"")</f>
        <v/>
      </c>
      <c r="AJ75">
        <f>AND(S75&lt;&gt;"",X75&lt;&gt;"")</f>
        <v/>
      </c>
      <c r="AK75">
        <f>OR(S75&lt;&gt;"",X75&lt;&gt;"")</f>
        <v/>
      </c>
      <c r="AM75">
        <f>AND(I75&lt;&gt;"",N75&lt;&gt;"",B75="No")</f>
        <v/>
      </c>
      <c r="AN75">
        <f>AND(OR(I75&lt;&gt;"",N75&lt;&gt;""),B75="No")</f>
        <v/>
      </c>
      <c r="AO75">
        <f>AND(I75&lt;&gt;"",S75&lt;&gt;"",B75="No")</f>
        <v/>
      </c>
      <c r="AP75">
        <f>AND(OR(I75&lt;&gt;"",S75&lt;&gt;""),B75="No")</f>
        <v/>
      </c>
      <c r="AQ75">
        <f>AND(I75&lt;&gt;"",X75&lt;&gt;"",B75="No")</f>
        <v/>
      </c>
      <c r="AR75">
        <f>AND(OR(I75&lt;&gt;"",X75&lt;&gt;""),B75="No")</f>
        <v/>
      </c>
      <c r="AS75">
        <f>AND(N75&lt;&gt;"",S75&lt;&gt;"",B75="No")</f>
        <v/>
      </c>
      <c r="AT75">
        <f>AND(OR(N75&lt;&gt;"",S75&lt;&gt;""),B75="No")</f>
        <v/>
      </c>
      <c r="AU75">
        <f>AND(N75&lt;&gt;"",X75&lt;&gt;"",B75="No")</f>
        <v/>
      </c>
      <c r="AV75">
        <f>AND(OR(N75&lt;&gt;"",X75&lt;&gt;""),B75="No")</f>
        <v/>
      </c>
      <c r="AW75">
        <f>AND(S75&lt;&gt;"",X75&lt;&gt;"",B75="No")</f>
        <v/>
      </c>
      <c r="AX75">
        <f>AND(OR(S75&lt;&gt;"",X75&lt;&gt;""),B75="No")</f>
        <v/>
      </c>
    </row>
    <row r="76">
      <c r="A76" s="44" t="inlineStr">
        <is>
          <t>GS.5.3</t>
        </is>
      </c>
      <c r="B76" s="47" t="inlineStr">
        <is>
          <t>No</t>
        </is>
      </c>
      <c r="C76" s="47" t="n"/>
      <c r="D76" s="34" t="n"/>
      <c r="E76" s="35" t="inlineStr">
        <is>
          <t>X</t>
        </is>
      </c>
      <c r="F76" s="35" t="inlineStr">
        <is>
          <t>X</t>
        </is>
      </c>
      <c r="G76" s="35" t="inlineStr">
        <is>
          <t>X</t>
        </is>
      </c>
      <c r="H76" s="35" t="inlineStr">
        <is>
          <t>X</t>
        </is>
      </c>
      <c r="I76" s="37">
        <f>IF(COUNTA(E76:H76)&gt;0,"X","")</f>
        <v/>
      </c>
      <c r="J76" s="35" t="n"/>
      <c r="K76" s="35" t="n"/>
      <c r="L76" s="35" t="n"/>
      <c r="M76" s="35" t="n"/>
      <c r="N76" s="37">
        <f>IF(COUNTA(J76:M76)&gt;0,"X","")</f>
        <v/>
      </c>
      <c r="O76" s="35" t="n"/>
      <c r="P76" s="35" t="n"/>
      <c r="Q76" s="35" t="n"/>
      <c r="R76" s="35" t="n"/>
      <c r="S76" s="37">
        <f>IF(COUNTA(O76:R76)&gt;0,"X","")</f>
        <v/>
      </c>
      <c r="T76" s="35" t="n"/>
      <c r="U76" s="35" t="n"/>
      <c r="V76" s="35" t="n"/>
      <c r="W76" s="35" t="n"/>
      <c r="X76" s="37">
        <f>IF(COUNTA(T76:W76)&gt;0,"X","")</f>
        <v/>
      </c>
      <c r="Z76">
        <f>AND(I76&lt;&gt;"",N76&lt;&gt;"")</f>
        <v/>
      </c>
      <c r="AA76">
        <f>OR(I76&lt;&gt;"",N76&lt;&gt;"")</f>
        <v/>
      </c>
      <c r="AB76">
        <f>AND(I76&lt;&gt;"",S76&lt;&gt;"")</f>
        <v/>
      </c>
      <c r="AC76">
        <f>OR(I76&lt;&gt;"",S76&lt;&gt;"")</f>
        <v/>
      </c>
      <c r="AD76">
        <f>AND(I76&lt;&gt;"",X76&lt;&gt;"")</f>
        <v/>
      </c>
      <c r="AE76">
        <f>OR(I76&lt;&gt;"",X76&lt;&gt;"")</f>
        <v/>
      </c>
      <c r="AF76">
        <f>AND(N76&lt;&gt;"",S76&lt;&gt;"")</f>
        <v/>
      </c>
      <c r="AG76">
        <f>OR(N76&lt;&gt;"",S76&lt;&gt;"")</f>
        <v/>
      </c>
      <c r="AH76">
        <f>AND(N76&lt;&gt;"",X76&lt;&gt;"")</f>
        <v/>
      </c>
      <c r="AI76">
        <f>OR(N76&lt;&gt;"",X76&lt;&gt;"")</f>
        <v/>
      </c>
      <c r="AJ76">
        <f>AND(S76&lt;&gt;"",X76&lt;&gt;"")</f>
        <v/>
      </c>
      <c r="AK76">
        <f>OR(S76&lt;&gt;"",X76&lt;&gt;"")</f>
        <v/>
      </c>
      <c r="AM76">
        <f>AND(I76&lt;&gt;"",N76&lt;&gt;"",B76="No")</f>
        <v/>
      </c>
      <c r="AN76">
        <f>AND(OR(I76&lt;&gt;"",N76&lt;&gt;""),B76="No")</f>
        <v/>
      </c>
      <c r="AO76">
        <f>AND(I76&lt;&gt;"",S76&lt;&gt;"",B76="No")</f>
        <v/>
      </c>
      <c r="AP76">
        <f>AND(OR(I76&lt;&gt;"",S76&lt;&gt;""),B76="No")</f>
        <v/>
      </c>
      <c r="AQ76">
        <f>AND(I76&lt;&gt;"",X76&lt;&gt;"",B76="No")</f>
        <v/>
      </c>
      <c r="AR76">
        <f>AND(OR(I76&lt;&gt;"",X76&lt;&gt;""),B76="No")</f>
        <v/>
      </c>
      <c r="AS76">
        <f>AND(N76&lt;&gt;"",S76&lt;&gt;"",B76="No")</f>
        <v/>
      </c>
      <c r="AT76">
        <f>AND(OR(N76&lt;&gt;"",S76&lt;&gt;""),B76="No")</f>
        <v/>
      </c>
      <c r="AU76">
        <f>AND(N76&lt;&gt;"",X76&lt;&gt;"",B76="No")</f>
        <v/>
      </c>
      <c r="AV76">
        <f>AND(OR(N76&lt;&gt;"",X76&lt;&gt;""),B76="No")</f>
        <v/>
      </c>
      <c r="AW76">
        <f>AND(S76&lt;&gt;"",X76&lt;&gt;"",B76="No")</f>
        <v/>
      </c>
      <c r="AX76">
        <f>AND(OR(S76&lt;&gt;"",X76&lt;&gt;""),B76="No")</f>
        <v/>
      </c>
    </row>
    <row r="77">
      <c r="A77" s="44" t="inlineStr">
        <is>
          <t>GS.5.4</t>
        </is>
      </c>
      <c r="B77" s="47" t="inlineStr">
        <is>
          <t>No</t>
        </is>
      </c>
      <c r="C77" s="47" t="n"/>
      <c r="D77" s="34" t="n"/>
      <c r="E77" s="35" t="n"/>
      <c r="F77" s="35" t="n"/>
      <c r="G77" s="35" t="n"/>
      <c r="H77" s="35" t="n"/>
      <c r="I77" s="37">
        <f>IF(COUNTA(E77:H77)&gt;0,"X","")</f>
        <v/>
      </c>
      <c r="J77" s="35" t="n"/>
      <c r="K77" s="35" t="n"/>
      <c r="L77" s="35" t="n"/>
      <c r="M77" s="35" t="n"/>
      <c r="N77" s="37">
        <f>IF(COUNTA(J77:M77)&gt;0,"X","")</f>
        <v/>
      </c>
      <c r="O77" s="35" t="n"/>
      <c r="P77" s="35" t="n"/>
      <c r="Q77" s="35" t="n"/>
      <c r="R77" s="35" t="n"/>
      <c r="S77" s="37">
        <f>IF(COUNTA(O77:R77)&gt;0,"X","")</f>
        <v/>
      </c>
      <c r="T77" s="35" t="n"/>
      <c r="U77" s="35" t="n"/>
      <c r="V77" s="35" t="n"/>
      <c r="W77" s="35" t="n"/>
      <c r="X77" s="37">
        <f>IF(COUNTA(T77:W77)&gt;0,"X","")</f>
        <v/>
      </c>
      <c r="Z77">
        <f>AND(I77&lt;&gt;"",N77&lt;&gt;"")</f>
        <v/>
      </c>
      <c r="AA77">
        <f>OR(I77&lt;&gt;"",N77&lt;&gt;"")</f>
        <v/>
      </c>
      <c r="AB77">
        <f>AND(I77&lt;&gt;"",S77&lt;&gt;"")</f>
        <v/>
      </c>
      <c r="AC77">
        <f>OR(I77&lt;&gt;"",S77&lt;&gt;"")</f>
        <v/>
      </c>
      <c r="AD77">
        <f>AND(I77&lt;&gt;"",X77&lt;&gt;"")</f>
        <v/>
      </c>
      <c r="AE77">
        <f>OR(I77&lt;&gt;"",X77&lt;&gt;"")</f>
        <v/>
      </c>
      <c r="AF77">
        <f>AND(N77&lt;&gt;"",S77&lt;&gt;"")</f>
        <v/>
      </c>
      <c r="AG77">
        <f>OR(N77&lt;&gt;"",S77&lt;&gt;"")</f>
        <v/>
      </c>
      <c r="AH77">
        <f>AND(N77&lt;&gt;"",X77&lt;&gt;"")</f>
        <v/>
      </c>
      <c r="AI77">
        <f>OR(N77&lt;&gt;"",X77&lt;&gt;"")</f>
        <v/>
      </c>
      <c r="AJ77">
        <f>AND(S77&lt;&gt;"",X77&lt;&gt;"")</f>
        <v/>
      </c>
      <c r="AK77">
        <f>OR(S77&lt;&gt;"",X77&lt;&gt;"")</f>
        <v/>
      </c>
      <c r="AM77">
        <f>AND(I77&lt;&gt;"",N77&lt;&gt;"",B77="No")</f>
        <v/>
      </c>
      <c r="AN77">
        <f>AND(OR(I77&lt;&gt;"",N77&lt;&gt;""),B77="No")</f>
        <v/>
      </c>
      <c r="AO77">
        <f>AND(I77&lt;&gt;"",S77&lt;&gt;"",B77="No")</f>
        <v/>
      </c>
      <c r="AP77">
        <f>AND(OR(I77&lt;&gt;"",S77&lt;&gt;""),B77="No")</f>
        <v/>
      </c>
      <c r="AQ77">
        <f>AND(I77&lt;&gt;"",X77&lt;&gt;"",B77="No")</f>
        <v/>
      </c>
      <c r="AR77">
        <f>AND(OR(I77&lt;&gt;"",X77&lt;&gt;""),B77="No")</f>
        <v/>
      </c>
      <c r="AS77">
        <f>AND(N77&lt;&gt;"",S77&lt;&gt;"",B77="No")</f>
        <v/>
      </c>
      <c r="AT77">
        <f>AND(OR(N77&lt;&gt;"",S77&lt;&gt;""),B77="No")</f>
        <v/>
      </c>
      <c r="AU77">
        <f>AND(N77&lt;&gt;"",X77&lt;&gt;"",B77="No")</f>
        <v/>
      </c>
      <c r="AV77">
        <f>AND(OR(N77&lt;&gt;"",X77&lt;&gt;""),B77="No")</f>
        <v/>
      </c>
      <c r="AW77">
        <f>AND(S77&lt;&gt;"",X77&lt;&gt;"",B77="No")</f>
        <v/>
      </c>
      <c r="AX77">
        <f>AND(OR(S77&lt;&gt;"",X77&lt;&gt;""),B77="No")</f>
        <v/>
      </c>
    </row>
    <row r="78">
      <c r="A78" s="44" t="inlineStr">
        <is>
          <t>GS.5.5</t>
        </is>
      </c>
      <c r="B78" s="47" t="inlineStr">
        <is>
          <t>No</t>
        </is>
      </c>
      <c r="C78" s="47" t="n"/>
      <c r="D78" s="34" t="n"/>
      <c r="E78" s="35" t="n"/>
      <c r="F78" s="35" t="n"/>
      <c r="G78" s="35" t="n"/>
      <c r="H78" s="35" t="n"/>
      <c r="I78" s="37">
        <f>IF(COUNTA(E78:H78)&gt;0,"X","")</f>
        <v/>
      </c>
      <c r="J78" s="35" t="n"/>
      <c r="K78" s="35" t="n"/>
      <c r="L78" s="35" t="n"/>
      <c r="M78" s="35" t="n"/>
      <c r="N78" s="37">
        <f>IF(COUNTA(J78:M78)&gt;0,"X","")</f>
        <v/>
      </c>
      <c r="O78" s="35" t="inlineStr">
        <is>
          <t>X</t>
        </is>
      </c>
      <c r="P78" s="35" t="n"/>
      <c r="Q78" s="35" t="n"/>
      <c r="R78" s="35" t="inlineStr">
        <is>
          <t>X</t>
        </is>
      </c>
      <c r="S78" s="37">
        <f>IF(COUNTA(O78:R78)&gt;0,"X","")</f>
        <v/>
      </c>
      <c r="T78" s="35" t="n"/>
      <c r="U78" s="35" t="n"/>
      <c r="V78" s="35" t="n"/>
      <c r="W78" s="35" t="n"/>
      <c r="X78" s="37">
        <f>IF(COUNTA(T78:W78)&gt;0,"X","")</f>
        <v/>
      </c>
      <c r="Z78">
        <f>AND(I78&lt;&gt;"",N78&lt;&gt;"")</f>
        <v/>
      </c>
      <c r="AA78">
        <f>OR(I78&lt;&gt;"",N78&lt;&gt;"")</f>
        <v/>
      </c>
      <c r="AB78">
        <f>AND(I78&lt;&gt;"",S78&lt;&gt;"")</f>
        <v/>
      </c>
      <c r="AC78">
        <f>OR(I78&lt;&gt;"",S78&lt;&gt;"")</f>
        <v/>
      </c>
      <c r="AD78">
        <f>AND(I78&lt;&gt;"",X78&lt;&gt;"")</f>
        <v/>
      </c>
      <c r="AE78">
        <f>OR(I78&lt;&gt;"",X78&lt;&gt;"")</f>
        <v/>
      </c>
      <c r="AF78">
        <f>AND(N78&lt;&gt;"",S78&lt;&gt;"")</f>
        <v/>
      </c>
      <c r="AG78">
        <f>OR(N78&lt;&gt;"",S78&lt;&gt;"")</f>
        <v/>
      </c>
      <c r="AH78">
        <f>AND(N78&lt;&gt;"",X78&lt;&gt;"")</f>
        <v/>
      </c>
      <c r="AI78">
        <f>OR(N78&lt;&gt;"",X78&lt;&gt;"")</f>
        <v/>
      </c>
      <c r="AJ78">
        <f>AND(S78&lt;&gt;"",X78&lt;&gt;"")</f>
        <v/>
      </c>
      <c r="AK78">
        <f>OR(S78&lt;&gt;"",X78&lt;&gt;"")</f>
        <v/>
      </c>
      <c r="AM78">
        <f>AND(I78&lt;&gt;"",N78&lt;&gt;"",B78="No")</f>
        <v/>
      </c>
      <c r="AN78">
        <f>AND(OR(I78&lt;&gt;"",N78&lt;&gt;""),B78="No")</f>
        <v/>
      </c>
      <c r="AO78">
        <f>AND(I78&lt;&gt;"",S78&lt;&gt;"",B78="No")</f>
        <v/>
      </c>
      <c r="AP78">
        <f>AND(OR(I78&lt;&gt;"",S78&lt;&gt;""),B78="No")</f>
        <v/>
      </c>
      <c r="AQ78">
        <f>AND(I78&lt;&gt;"",X78&lt;&gt;"",B78="No")</f>
        <v/>
      </c>
      <c r="AR78">
        <f>AND(OR(I78&lt;&gt;"",X78&lt;&gt;""),B78="No")</f>
        <v/>
      </c>
      <c r="AS78">
        <f>AND(N78&lt;&gt;"",S78&lt;&gt;"",B78="No")</f>
        <v/>
      </c>
      <c r="AT78">
        <f>AND(OR(N78&lt;&gt;"",S78&lt;&gt;""),B78="No")</f>
        <v/>
      </c>
      <c r="AU78">
        <f>AND(N78&lt;&gt;"",X78&lt;&gt;"",B78="No")</f>
        <v/>
      </c>
      <c r="AV78">
        <f>AND(OR(N78&lt;&gt;"",X78&lt;&gt;""),B78="No")</f>
        <v/>
      </c>
      <c r="AW78">
        <f>AND(S78&lt;&gt;"",X78&lt;&gt;"",B78="No")</f>
        <v/>
      </c>
      <c r="AX78">
        <f>AND(OR(S78&lt;&gt;"",X78&lt;&gt;""),B78="No")</f>
        <v/>
      </c>
    </row>
    <row r="79">
      <c r="A79" s="44" t="inlineStr">
        <is>
          <t>GS.5.6</t>
        </is>
      </c>
      <c r="B79" s="47" t="inlineStr">
        <is>
          <t>No</t>
        </is>
      </c>
      <c r="C79" s="47" t="n"/>
      <c r="D79" s="34" t="n"/>
      <c r="E79" s="35" t="n"/>
      <c r="F79" s="35" t="n"/>
      <c r="G79" s="35" t="n"/>
      <c r="H79" s="35" t="n"/>
      <c r="I79" s="37">
        <f>IF(COUNTA(E79:H79)&gt;0,"X","")</f>
        <v/>
      </c>
      <c r="J79" s="35" t="n"/>
      <c r="K79" s="35" t="inlineStr">
        <is>
          <t>X</t>
        </is>
      </c>
      <c r="L79" s="35" t="inlineStr">
        <is>
          <t>X</t>
        </is>
      </c>
      <c r="M79" s="35" t="n"/>
      <c r="N79" s="37">
        <f>IF(COUNTA(J79:M79)&gt;0,"X","")</f>
        <v/>
      </c>
      <c r="O79" s="35" t="n"/>
      <c r="P79" s="35" t="n"/>
      <c r="Q79" s="35" t="n"/>
      <c r="R79" s="35" t="n"/>
      <c r="S79" s="37">
        <f>IF(COUNTA(O79:R79)&gt;0,"X","")</f>
        <v/>
      </c>
      <c r="T79" s="35" t="n"/>
      <c r="U79" s="35" t="n"/>
      <c r="V79" s="35" t="inlineStr">
        <is>
          <t>X</t>
        </is>
      </c>
      <c r="W79" s="35" t="n"/>
      <c r="X79" s="37">
        <f>IF(COUNTA(T79:W79)&gt;0,"X","")</f>
        <v/>
      </c>
      <c r="Z79">
        <f>AND(I79&lt;&gt;"",N79&lt;&gt;"")</f>
        <v/>
      </c>
      <c r="AA79">
        <f>OR(I79&lt;&gt;"",N79&lt;&gt;"")</f>
        <v/>
      </c>
      <c r="AB79">
        <f>AND(I79&lt;&gt;"",S79&lt;&gt;"")</f>
        <v/>
      </c>
      <c r="AC79">
        <f>OR(I79&lt;&gt;"",S79&lt;&gt;"")</f>
        <v/>
      </c>
      <c r="AD79">
        <f>AND(I79&lt;&gt;"",X79&lt;&gt;"")</f>
        <v/>
      </c>
      <c r="AE79">
        <f>OR(I79&lt;&gt;"",X79&lt;&gt;"")</f>
        <v/>
      </c>
      <c r="AF79">
        <f>AND(N79&lt;&gt;"",S79&lt;&gt;"")</f>
        <v/>
      </c>
      <c r="AG79">
        <f>OR(N79&lt;&gt;"",S79&lt;&gt;"")</f>
        <v/>
      </c>
      <c r="AH79">
        <f>AND(N79&lt;&gt;"",X79&lt;&gt;"")</f>
        <v/>
      </c>
      <c r="AI79">
        <f>OR(N79&lt;&gt;"",X79&lt;&gt;"")</f>
        <v/>
      </c>
      <c r="AJ79">
        <f>AND(S79&lt;&gt;"",X79&lt;&gt;"")</f>
        <v/>
      </c>
      <c r="AK79">
        <f>OR(S79&lt;&gt;"",X79&lt;&gt;"")</f>
        <v/>
      </c>
      <c r="AM79">
        <f>AND(I79&lt;&gt;"",N79&lt;&gt;"",B79="No")</f>
        <v/>
      </c>
      <c r="AN79">
        <f>AND(OR(I79&lt;&gt;"",N79&lt;&gt;""),B79="No")</f>
        <v/>
      </c>
      <c r="AO79">
        <f>AND(I79&lt;&gt;"",S79&lt;&gt;"",B79="No")</f>
        <v/>
      </c>
      <c r="AP79">
        <f>AND(OR(I79&lt;&gt;"",S79&lt;&gt;""),B79="No")</f>
        <v/>
      </c>
      <c r="AQ79">
        <f>AND(I79&lt;&gt;"",X79&lt;&gt;"",B79="No")</f>
        <v/>
      </c>
      <c r="AR79">
        <f>AND(OR(I79&lt;&gt;"",X79&lt;&gt;""),B79="No")</f>
        <v/>
      </c>
      <c r="AS79">
        <f>AND(N79&lt;&gt;"",S79&lt;&gt;"",B79="No")</f>
        <v/>
      </c>
      <c r="AT79">
        <f>AND(OR(N79&lt;&gt;"",S79&lt;&gt;""),B79="No")</f>
        <v/>
      </c>
      <c r="AU79">
        <f>AND(N79&lt;&gt;"",X79&lt;&gt;"",B79="No")</f>
        <v/>
      </c>
      <c r="AV79">
        <f>AND(OR(N79&lt;&gt;"",X79&lt;&gt;""),B79="No")</f>
        <v/>
      </c>
      <c r="AW79">
        <f>AND(S79&lt;&gt;"",X79&lt;&gt;"",B79="No")</f>
        <v/>
      </c>
      <c r="AX79">
        <f>AND(OR(S79&lt;&gt;"",X79&lt;&gt;""),B79="No")</f>
        <v/>
      </c>
    </row>
    <row r="80">
      <c r="A80" s="44" t="inlineStr">
        <is>
          <t>GS.5.7</t>
        </is>
      </c>
      <c r="B80" s="47" t="inlineStr">
        <is>
          <t>No</t>
        </is>
      </c>
      <c r="C80" s="47" t="n"/>
      <c r="D80" s="34" t="n"/>
      <c r="E80" s="35" t="n"/>
      <c r="F80" s="35" t="n"/>
      <c r="G80" s="35" t="n"/>
      <c r="H80" s="35" t="n"/>
      <c r="I80" s="37">
        <f>IF(COUNTA(E80:H80)&gt;0,"X","")</f>
        <v/>
      </c>
      <c r="J80" s="35" t="n"/>
      <c r="K80" s="35" t="n"/>
      <c r="L80" s="35" t="n"/>
      <c r="M80" s="35" t="n"/>
      <c r="N80" s="37">
        <f>IF(COUNTA(J80:M80)&gt;0,"X","")</f>
        <v/>
      </c>
      <c r="O80" s="35" t="n"/>
      <c r="P80" s="35" t="n"/>
      <c r="Q80" s="35" t="n"/>
      <c r="R80" s="35" t="n"/>
      <c r="S80" s="37">
        <f>IF(COUNTA(O80:R80)&gt;0,"X","")</f>
        <v/>
      </c>
      <c r="T80" s="35" t="n"/>
      <c r="U80" s="35" t="n"/>
      <c r="V80" s="35" t="inlineStr">
        <is>
          <t>X</t>
        </is>
      </c>
      <c r="W80" s="35" t="n"/>
      <c r="X80" s="37">
        <f>IF(COUNTA(T80:W80)&gt;0,"X","")</f>
        <v/>
      </c>
      <c r="Z80">
        <f>AND(I80&lt;&gt;"",N80&lt;&gt;"")</f>
        <v/>
      </c>
      <c r="AA80">
        <f>OR(I80&lt;&gt;"",N80&lt;&gt;"")</f>
        <v/>
      </c>
      <c r="AB80">
        <f>AND(I80&lt;&gt;"",S80&lt;&gt;"")</f>
        <v/>
      </c>
      <c r="AC80">
        <f>OR(I80&lt;&gt;"",S80&lt;&gt;"")</f>
        <v/>
      </c>
      <c r="AD80">
        <f>AND(I80&lt;&gt;"",X80&lt;&gt;"")</f>
        <v/>
      </c>
      <c r="AE80">
        <f>OR(I80&lt;&gt;"",X80&lt;&gt;"")</f>
        <v/>
      </c>
      <c r="AF80">
        <f>AND(N80&lt;&gt;"",S80&lt;&gt;"")</f>
        <v/>
      </c>
      <c r="AG80">
        <f>OR(N80&lt;&gt;"",S80&lt;&gt;"")</f>
        <v/>
      </c>
      <c r="AH80">
        <f>AND(N80&lt;&gt;"",X80&lt;&gt;"")</f>
        <v/>
      </c>
      <c r="AI80">
        <f>OR(N80&lt;&gt;"",X80&lt;&gt;"")</f>
        <v/>
      </c>
      <c r="AJ80">
        <f>AND(S80&lt;&gt;"",X80&lt;&gt;"")</f>
        <v/>
      </c>
      <c r="AK80">
        <f>OR(S80&lt;&gt;"",X80&lt;&gt;"")</f>
        <v/>
      </c>
      <c r="AM80">
        <f>AND(I80&lt;&gt;"",N80&lt;&gt;"",B80="No")</f>
        <v/>
      </c>
      <c r="AN80">
        <f>AND(OR(I80&lt;&gt;"",N80&lt;&gt;""),B80="No")</f>
        <v/>
      </c>
      <c r="AO80">
        <f>AND(I80&lt;&gt;"",S80&lt;&gt;"",B80="No")</f>
        <v/>
      </c>
      <c r="AP80">
        <f>AND(OR(I80&lt;&gt;"",S80&lt;&gt;""),B80="No")</f>
        <v/>
      </c>
      <c r="AQ80">
        <f>AND(I80&lt;&gt;"",X80&lt;&gt;"",B80="No")</f>
        <v/>
      </c>
      <c r="AR80">
        <f>AND(OR(I80&lt;&gt;"",X80&lt;&gt;""),B80="No")</f>
        <v/>
      </c>
      <c r="AS80">
        <f>AND(N80&lt;&gt;"",S80&lt;&gt;"",B80="No")</f>
        <v/>
      </c>
      <c r="AT80">
        <f>AND(OR(N80&lt;&gt;"",S80&lt;&gt;""),B80="No")</f>
        <v/>
      </c>
      <c r="AU80">
        <f>AND(N80&lt;&gt;"",X80&lt;&gt;"",B80="No")</f>
        <v/>
      </c>
      <c r="AV80">
        <f>AND(OR(N80&lt;&gt;"",X80&lt;&gt;""),B80="No")</f>
        <v/>
      </c>
      <c r="AW80">
        <f>AND(S80&lt;&gt;"",X80&lt;&gt;"",B80="No")</f>
        <v/>
      </c>
      <c r="AX80">
        <f>AND(OR(S80&lt;&gt;"",X80&lt;&gt;""),B80="No")</f>
        <v/>
      </c>
    </row>
    <row r="81">
      <c r="A81" s="44" t="inlineStr">
        <is>
          <t>L0.5.4; L0_iv.5.3</t>
        </is>
      </c>
      <c r="B81" s="47" t="inlineStr">
        <is>
          <t>Yes</t>
        </is>
      </c>
      <c r="C81" t="inlineStr">
        <is>
          <t>Responsibility leakage</t>
        </is>
      </c>
      <c r="D81" s="34" t="n"/>
      <c r="E81" s="35" t="inlineStr">
        <is>
          <t>X</t>
        </is>
      </c>
      <c r="F81" s="35" t="n"/>
      <c r="G81" s="35" t="n"/>
      <c r="H81" s="35" t="inlineStr">
        <is>
          <t>X</t>
        </is>
      </c>
      <c r="I81" s="37">
        <f>IF(COUNTA(E81:H81)&gt;0,"X","")</f>
        <v/>
      </c>
      <c r="J81" s="35" t="n"/>
      <c r="K81" s="35" t="n"/>
      <c r="L81" s="35" t="n"/>
      <c r="M81" s="35" t="n"/>
      <c r="N81" s="37">
        <f>IF(COUNTA(J81:M81)&gt;0,"X","")</f>
        <v/>
      </c>
      <c r="O81" s="35" t="n"/>
      <c r="P81" s="35" t="n"/>
      <c r="Q81" s="35" t="n"/>
      <c r="R81" s="35" t="n"/>
      <c r="S81" s="37">
        <f>IF(COUNTA(O81:R81)&gt;0,"X","")</f>
        <v/>
      </c>
      <c r="T81" s="35" t="n"/>
      <c r="U81" s="35" t="n"/>
      <c r="V81" s="35" t="n"/>
      <c r="W81" s="35" t="n"/>
      <c r="X81" s="37">
        <f>IF(COUNTA(T81:W81)&gt;0,"X","")</f>
        <v/>
      </c>
      <c r="Z81">
        <f>AND(I81&lt;&gt;"",N81&lt;&gt;"")</f>
        <v/>
      </c>
      <c r="AA81">
        <f>OR(I81&lt;&gt;"",N81&lt;&gt;"")</f>
        <v/>
      </c>
      <c r="AB81">
        <f>AND(I81&lt;&gt;"",S81&lt;&gt;"")</f>
        <v/>
      </c>
      <c r="AC81">
        <f>OR(I81&lt;&gt;"",S81&lt;&gt;"")</f>
        <v/>
      </c>
      <c r="AD81">
        <f>AND(I81&lt;&gt;"",X81&lt;&gt;"")</f>
        <v/>
      </c>
      <c r="AE81">
        <f>OR(I81&lt;&gt;"",X81&lt;&gt;"")</f>
        <v/>
      </c>
      <c r="AF81">
        <f>AND(N81&lt;&gt;"",S81&lt;&gt;"")</f>
        <v/>
      </c>
      <c r="AG81">
        <f>OR(N81&lt;&gt;"",S81&lt;&gt;"")</f>
        <v/>
      </c>
      <c r="AH81">
        <f>AND(N81&lt;&gt;"",X81&lt;&gt;"")</f>
        <v/>
      </c>
      <c r="AI81">
        <f>OR(N81&lt;&gt;"",X81&lt;&gt;"")</f>
        <v/>
      </c>
      <c r="AJ81">
        <f>AND(S81&lt;&gt;"",X81&lt;&gt;"")</f>
        <v/>
      </c>
      <c r="AK81">
        <f>OR(S81&lt;&gt;"",X81&lt;&gt;"")</f>
        <v/>
      </c>
      <c r="AM81">
        <f>AND(I81&lt;&gt;"",N81&lt;&gt;"",B81="No")</f>
        <v/>
      </c>
      <c r="AN81">
        <f>AND(OR(I81&lt;&gt;"",N81&lt;&gt;""),B81="No")</f>
        <v/>
      </c>
      <c r="AO81">
        <f>AND(I81&lt;&gt;"",S81&lt;&gt;"",B81="No")</f>
        <v/>
      </c>
      <c r="AP81">
        <f>AND(OR(I81&lt;&gt;"",S81&lt;&gt;""),B81="No")</f>
        <v/>
      </c>
      <c r="AQ81">
        <f>AND(I81&lt;&gt;"",X81&lt;&gt;"",B81="No")</f>
        <v/>
      </c>
      <c r="AR81">
        <f>AND(OR(I81&lt;&gt;"",X81&lt;&gt;""),B81="No")</f>
        <v/>
      </c>
      <c r="AS81">
        <f>AND(N81&lt;&gt;"",S81&lt;&gt;"",B81="No")</f>
        <v/>
      </c>
      <c r="AT81">
        <f>AND(OR(N81&lt;&gt;"",S81&lt;&gt;""),B81="No")</f>
        <v/>
      </c>
      <c r="AU81">
        <f>AND(N81&lt;&gt;"",X81&lt;&gt;"",B81="No")</f>
        <v/>
      </c>
      <c r="AV81">
        <f>AND(OR(N81&lt;&gt;"",X81&lt;&gt;""),B81="No")</f>
        <v/>
      </c>
      <c r="AW81">
        <f>AND(S81&lt;&gt;"",X81&lt;&gt;"",B81="No")</f>
        <v/>
      </c>
      <c r="AX81">
        <f>AND(OR(S81&lt;&gt;"",X81&lt;&gt;""),B81="No")</f>
        <v/>
      </c>
    </row>
    <row r="82">
      <c r="A82" s="44" t="inlineStr">
        <is>
          <t>M0.5.3; M0_iii.5.3</t>
        </is>
      </c>
      <c r="B82" s="47" t="inlineStr">
        <is>
          <t>Yes</t>
        </is>
      </c>
      <c r="C82" t="inlineStr">
        <is>
          <t>Architectural infeasibility</t>
        </is>
      </c>
      <c r="D82" s="34" t="n"/>
      <c r="E82" s="35" t="n"/>
      <c r="F82" s="35" t="n"/>
      <c r="G82" s="35" t="n"/>
      <c r="H82" s="35" t="n"/>
      <c r="I82" s="37">
        <f>IF(COUNTA(E82:H82)&gt;0,"X","")</f>
        <v/>
      </c>
      <c r="J82" s="35" t="n"/>
      <c r="K82" s="35" t="n"/>
      <c r="L82" s="35" t="n"/>
      <c r="M82" s="35" t="n"/>
      <c r="N82" s="37">
        <f>IF(COUNTA(J82:M82)&gt;0,"X","")</f>
        <v/>
      </c>
      <c r="O82" s="35" t="inlineStr">
        <is>
          <t>X</t>
        </is>
      </c>
      <c r="P82" s="35" t="n"/>
      <c r="Q82" s="35" t="inlineStr">
        <is>
          <t>X</t>
        </is>
      </c>
      <c r="R82" s="35" t="n"/>
      <c r="S82" s="37">
        <f>IF(COUNTA(O82:R82)&gt;0,"X","")</f>
        <v/>
      </c>
      <c r="T82" s="35" t="n"/>
      <c r="U82" s="35" t="n"/>
      <c r="V82" s="35" t="n"/>
      <c r="W82" s="35" t="n"/>
      <c r="X82" s="37">
        <f>IF(COUNTA(T82:W82)&gt;0,"X","")</f>
        <v/>
      </c>
      <c r="Z82">
        <f>AND(I82&lt;&gt;"",N82&lt;&gt;"")</f>
        <v/>
      </c>
      <c r="AA82">
        <f>OR(I82&lt;&gt;"",N82&lt;&gt;"")</f>
        <v/>
      </c>
      <c r="AB82">
        <f>AND(I82&lt;&gt;"",S82&lt;&gt;"")</f>
        <v/>
      </c>
      <c r="AC82">
        <f>OR(I82&lt;&gt;"",S82&lt;&gt;"")</f>
        <v/>
      </c>
      <c r="AD82">
        <f>AND(I82&lt;&gt;"",X82&lt;&gt;"")</f>
        <v/>
      </c>
      <c r="AE82">
        <f>OR(I82&lt;&gt;"",X82&lt;&gt;"")</f>
        <v/>
      </c>
      <c r="AF82">
        <f>AND(N82&lt;&gt;"",S82&lt;&gt;"")</f>
        <v/>
      </c>
      <c r="AG82">
        <f>OR(N82&lt;&gt;"",S82&lt;&gt;"")</f>
        <v/>
      </c>
      <c r="AH82">
        <f>AND(N82&lt;&gt;"",X82&lt;&gt;"")</f>
        <v/>
      </c>
      <c r="AI82">
        <f>OR(N82&lt;&gt;"",X82&lt;&gt;"")</f>
        <v/>
      </c>
      <c r="AJ82">
        <f>AND(S82&lt;&gt;"",X82&lt;&gt;"")</f>
        <v/>
      </c>
      <c r="AK82">
        <f>OR(S82&lt;&gt;"",X82&lt;&gt;"")</f>
        <v/>
      </c>
      <c r="AM82">
        <f>AND(I82&lt;&gt;"",N82&lt;&gt;"",B82="No")</f>
        <v/>
      </c>
      <c r="AN82">
        <f>AND(OR(I82&lt;&gt;"",N82&lt;&gt;""),B82="No")</f>
        <v/>
      </c>
      <c r="AO82">
        <f>AND(I82&lt;&gt;"",S82&lt;&gt;"",B82="No")</f>
        <v/>
      </c>
      <c r="AP82">
        <f>AND(OR(I82&lt;&gt;"",S82&lt;&gt;""),B82="No")</f>
        <v/>
      </c>
      <c r="AQ82">
        <f>AND(I82&lt;&gt;"",X82&lt;&gt;"",B82="No")</f>
        <v/>
      </c>
      <c r="AR82">
        <f>AND(OR(I82&lt;&gt;"",X82&lt;&gt;""),B82="No")</f>
        <v/>
      </c>
      <c r="AS82">
        <f>AND(N82&lt;&gt;"",S82&lt;&gt;"",B82="No")</f>
        <v/>
      </c>
      <c r="AT82">
        <f>AND(OR(N82&lt;&gt;"",S82&lt;&gt;""),B82="No")</f>
        <v/>
      </c>
      <c r="AU82">
        <f>AND(N82&lt;&gt;"",X82&lt;&gt;"",B82="No")</f>
        <v/>
      </c>
      <c r="AV82">
        <f>AND(OR(N82&lt;&gt;"",X82&lt;&gt;""),B82="No")</f>
        <v/>
      </c>
      <c r="AW82">
        <f>AND(S82&lt;&gt;"",X82&lt;&gt;"",B82="No")</f>
        <v/>
      </c>
      <c r="AX82">
        <f>AND(OR(S82&lt;&gt;"",X82&lt;&gt;""),B82="No")</f>
        <v/>
      </c>
    </row>
    <row r="83">
      <c r="A83" t="inlineStr">
        <is>
          <t>G0_iv.5.3</t>
        </is>
      </c>
      <c r="B83" s="47" t="inlineStr">
        <is>
          <t>Yes</t>
        </is>
      </c>
      <c r="C83" t="inlineStr">
        <is>
          <t>Template drift</t>
        </is>
      </c>
      <c r="D83" s="34" t="n"/>
      <c r="E83" s="35" t="n"/>
      <c r="F83" s="35" t="n"/>
      <c r="G83" s="35" t="n"/>
      <c r="H83" s="35" t="n"/>
      <c r="I83" s="37">
        <f>IF(COUNTA(E83:H83)&gt;0,"X","")</f>
        <v/>
      </c>
      <c r="J83" s="35" t="n"/>
      <c r="K83" s="35" t="n"/>
      <c r="L83" s="35" t="n"/>
      <c r="M83" s="35" t="n"/>
      <c r="N83" s="37">
        <f>IF(COUNTA(J83:M83)&gt;0,"X","")</f>
        <v/>
      </c>
      <c r="O83" s="35" t="n"/>
      <c r="P83" s="35" t="n"/>
      <c r="Q83" s="35" t="n"/>
      <c r="R83" s="35" t="n"/>
      <c r="S83" s="37">
        <f>IF(COUNTA(O83:R83)&gt;0,"X","")</f>
        <v/>
      </c>
      <c r="T83" s="35" t="n"/>
      <c r="U83" s="35" t="n"/>
      <c r="V83" s="35" t="n"/>
      <c r="W83" s="35" t="inlineStr">
        <is>
          <t>X</t>
        </is>
      </c>
      <c r="X83" s="37">
        <f>IF(COUNTA(T83:W83)&gt;0,"X","")</f>
        <v/>
      </c>
      <c r="Z83">
        <f>AND(I83&lt;&gt;"",N83&lt;&gt;"")</f>
        <v/>
      </c>
      <c r="AA83">
        <f>OR(I83&lt;&gt;"",N83&lt;&gt;"")</f>
        <v/>
      </c>
      <c r="AB83">
        <f>AND(I83&lt;&gt;"",S83&lt;&gt;"")</f>
        <v/>
      </c>
      <c r="AC83">
        <f>OR(I83&lt;&gt;"",S83&lt;&gt;"")</f>
        <v/>
      </c>
      <c r="AD83">
        <f>AND(I83&lt;&gt;"",X83&lt;&gt;"")</f>
        <v/>
      </c>
      <c r="AE83">
        <f>OR(I83&lt;&gt;"",X83&lt;&gt;"")</f>
        <v/>
      </c>
      <c r="AF83">
        <f>AND(N83&lt;&gt;"",S83&lt;&gt;"")</f>
        <v/>
      </c>
      <c r="AG83">
        <f>OR(N83&lt;&gt;"",S83&lt;&gt;"")</f>
        <v/>
      </c>
      <c r="AH83">
        <f>AND(N83&lt;&gt;"",X83&lt;&gt;"")</f>
        <v/>
      </c>
      <c r="AI83">
        <f>OR(N83&lt;&gt;"",X83&lt;&gt;"")</f>
        <v/>
      </c>
      <c r="AJ83">
        <f>AND(S83&lt;&gt;"",X83&lt;&gt;"")</f>
        <v/>
      </c>
      <c r="AK83">
        <f>OR(S83&lt;&gt;"",X83&lt;&gt;"")</f>
        <v/>
      </c>
      <c r="AM83">
        <f>AND(I83&lt;&gt;"",N83&lt;&gt;"",B83="No")</f>
        <v/>
      </c>
      <c r="AN83">
        <f>AND(OR(I83&lt;&gt;"",N83&lt;&gt;""),B83="No")</f>
        <v/>
      </c>
      <c r="AO83">
        <f>AND(I83&lt;&gt;"",S83&lt;&gt;"",B83="No")</f>
        <v/>
      </c>
      <c r="AP83">
        <f>AND(OR(I83&lt;&gt;"",S83&lt;&gt;""),B83="No")</f>
        <v/>
      </c>
      <c r="AQ83">
        <f>AND(I83&lt;&gt;"",X83&lt;&gt;"",B83="No")</f>
        <v/>
      </c>
      <c r="AR83">
        <f>AND(OR(I83&lt;&gt;"",X83&lt;&gt;""),B83="No")</f>
        <v/>
      </c>
      <c r="AS83">
        <f>AND(N83&lt;&gt;"",S83&lt;&gt;"",B83="No")</f>
        <v/>
      </c>
      <c r="AT83">
        <f>AND(OR(N83&lt;&gt;"",S83&lt;&gt;""),B83="No")</f>
        <v/>
      </c>
      <c r="AU83">
        <f>AND(N83&lt;&gt;"",X83&lt;&gt;"",B83="No")</f>
        <v/>
      </c>
      <c r="AV83">
        <f>AND(OR(N83&lt;&gt;"",X83&lt;&gt;""),B83="No")</f>
        <v/>
      </c>
      <c r="AW83">
        <f>AND(S83&lt;&gt;"",X83&lt;&gt;"",B83="No")</f>
        <v/>
      </c>
      <c r="AX83">
        <f>AND(OR(S83&lt;&gt;"",X83&lt;&gt;""),B83="No")</f>
        <v/>
      </c>
    </row>
    <row r="84">
      <c r="A84" t="inlineStr">
        <is>
          <t>G0_iv.5.2</t>
        </is>
      </c>
      <c r="B84" s="47" t="inlineStr">
        <is>
          <t>Yes</t>
        </is>
      </c>
      <c r="C84" t="inlineStr">
        <is>
          <t>Template drift</t>
        </is>
      </c>
      <c r="D84" s="34" t="n"/>
      <c r="E84" s="35" t="n"/>
      <c r="F84" s="35" t="n"/>
      <c r="G84" s="35" t="n"/>
      <c r="H84" s="35" t="n"/>
      <c r="I84" s="37">
        <f>IF(COUNTA(E84:H84)&gt;0,"X","")</f>
        <v/>
      </c>
      <c r="J84" s="35" t="n"/>
      <c r="K84" s="35" t="n"/>
      <c r="L84" s="35" t="n"/>
      <c r="M84" s="35" t="n"/>
      <c r="N84" s="37">
        <f>IF(COUNTA(J84:M84)&gt;0,"X","")</f>
        <v/>
      </c>
      <c r="O84" s="35" t="n"/>
      <c r="P84" s="35" t="n"/>
      <c r="Q84" s="35" t="n"/>
      <c r="R84" s="35" t="n"/>
      <c r="S84" s="37">
        <f>IF(COUNTA(O84:R84)&gt;0,"X","")</f>
        <v/>
      </c>
      <c r="T84" s="35" t="n"/>
      <c r="U84" s="35" t="n"/>
      <c r="V84" s="35" t="n"/>
      <c r="W84" s="35" t="inlineStr">
        <is>
          <t>X</t>
        </is>
      </c>
      <c r="X84" s="37">
        <f>IF(COUNTA(T84:W84)&gt;0,"X","")</f>
        <v/>
      </c>
      <c r="Z84">
        <f>AND(I84&lt;&gt;"",N84&lt;&gt;"")</f>
        <v/>
      </c>
      <c r="AA84">
        <f>OR(I84&lt;&gt;"",N84&lt;&gt;"")</f>
        <v/>
      </c>
      <c r="AB84">
        <f>AND(I84&lt;&gt;"",S84&lt;&gt;"")</f>
        <v/>
      </c>
      <c r="AC84">
        <f>OR(I84&lt;&gt;"",S84&lt;&gt;"")</f>
        <v/>
      </c>
      <c r="AD84">
        <f>AND(I84&lt;&gt;"",X84&lt;&gt;"")</f>
        <v/>
      </c>
      <c r="AE84">
        <f>OR(I84&lt;&gt;"",X84&lt;&gt;"")</f>
        <v/>
      </c>
      <c r="AF84">
        <f>AND(N84&lt;&gt;"",S84&lt;&gt;"")</f>
        <v/>
      </c>
      <c r="AG84">
        <f>OR(N84&lt;&gt;"",S84&lt;&gt;"")</f>
        <v/>
      </c>
      <c r="AH84">
        <f>AND(N84&lt;&gt;"",X84&lt;&gt;"")</f>
        <v/>
      </c>
      <c r="AI84">
        <f>OR(N84&lt;&gt;"",X84&lt;&gt;"")</f>
        <v/>
      </c>
      <c r="AJ84">
        <f>AND(S84&lt;&gt;"",X84&lt;&gt;"")</f>
        <v/>
      </c>
      <c r="AK84">
        <f>OR(S84&lt;&gt;"",X84&lt;&gt;"")</f>
        <v/>
      </c>
      <c r="AM84">
        <f>AND(I84&lt;&gt;"",N84&lt;&gt;"",B84="No")</f>
        <v/>
      </c>
      <c r="AN84">
        <f>AND(OR(I84&lt;&gt;"",N84&lt;&gt;""),B84="No")</f>
        <v/>
      </c>
      <c r="AO84">
        <f>AND(I84&lt;&gt;"",S84&lt;&gt;"",B84="No")</f>
        <v/>
      </c>
      <c r="AP84">
        <f>AND(OR(I84&lt;&gt;"",S84&lt;&gt;""),B84="No")</f>
        <v/>
      </c>
      <c r="AQ84">
        <f>AND(I84&lt;&gt;"",X84&lt;&gt;"",B84="No")</f>
        <v/>
      </c>
      <c r="AR84">
        <f>AND(OR(I84&lt;&gt;"",X84&lt;&gt;""),B84="No")</f>
        <v/>
      </c>
      <c r="AS84">
        <f>AND(N84&lt;&gt;"",S84&lt;&gt;"",B84="No")</f>
        <v/>
      </c>
      <c r="AT84">
        <f>AND(OR(N84&lt;&gt;"",S84&lt;&gt;""),B84="No")</f>
        <v/>
      </c>
      <c r="AU84">
        <f>AND(N84&lt;&gt;"",X84&lt;&gt;"",B84="No")</f>
        <v/>
      </c>
      <c r="AV84">
        <f>AND(OR(N84&lt;&gt;"",X84&lt;&gt;""),B84="No")</f>
        <v/>
      </c>
      <c r="AW84">
        <f>AND(S84&lt;&gt;"",X84&lt;&gt;"",B84="No")</f>
        <v/>
      </c>
      <c r="AX84">
        <f>AND(OR(S84&lt;&gt;"",X84&lt;&gt;""),B84="No")</f>
        <v/>
      </c>
    </row>
    <row r="85">
      <c r="A85" s="44" t="inlineStr">
        <is>
          <t>GS.6.1</t>
        </is>
      </c>
      <c r="B85" s="47" t="inlineStr">
        <is>
          <t>No</t>
        </is>
      </c>
      <c r="C85" s="47" t="n"/>
      <c r="D85" s="34" t="inlineStr">
        <is>
          <t>H.6.1</t>
        </is>
      </c>
      <c r="E85" s="27" t="inlineStr">
        <is>
          <t>X</t>
        </is>
      </c>
      <c r="F85" s="27" t="inlineStr">
        <is>
          <t>X</t>
        </is>
      </c>
      <c r="G85" s="27" t="inlineStr">
        <is>
          <t>P</t>
        </is>
      </c>
      <c r="H85" s="27" t="inlineStr">
        <is>
          <t>P</t>
        </is>
      </c>
      <c r="I85" s="37">
        <f>IF(COUNTA(E85:H85)&gt;0,"X","")</f>
        <v/>
      </c>
      <c r="J85" s="27" t="inlineStr">
        <is>
          <t>X</t>
        </is>
      </c>
      <c r="K85" s="27" t="inlineStr">
        <is>
          <t>X</t>
        </is>
      </c>
      <c r="L85" s="27" t="inlineStr">
        <is>
          <t>X</t>
        </is>
      </c>
      <c r="M85" s="27" t="inlineStr">
        <is>
          <t>X</t>
        </is>
      </c>
      <c r="N85" s="37">
        <f>IF(COUNTA(J85:M85)&gt;0,"X","")</f>
        <v/>
      </c>
      <c r="O85" s="27" t="inlineStr">
        <is>
          <t>X</t>
        </is>
      </c>
      <c r="P85" s="27" t="inlineStr">
        <is>
          <t>X</t>
        </is>
      </c>
      <c r="Q85" s="27" t="inlineStr">
        <is>
          <t>X</t>
        </is>
      </c>
      <c r="R85" s="27" t="inlineStr">
        <is>
          <t>X</t>
        </is>
      </c>
      <c r="S85" s="37">
        <f>IF(COUNTA(O85:R85)&gt;0,"X","")</f>
        <v/>
      </c>
      <c r="T85" s="27" t="inlineStr">
        <is>
          <t>X</t>
        </is>
      </c>
      <c r="U85" s="27" t="inlineStr">
        <is>
          <t>X</t>
        </is>
      </c>
      <c r="V85" s="27" t="inlineStr">
        <is>
          <t>X</t>
        </is>
      </c>
      <c r="W85" s="27" t="inlineStr">
        <is>
          <t>X</t>
        </is>
      </c>
      <c r="X85" s="37">
        <f>IF(COUNTA(T85:W85)&gt;0,"X","")</f>
        <v/>
      </c>
      <c r="Z85">
        <f>AND(I85&lt;&gt;"",N85&lt;&gt;"")</f>
        <v/>
      </c>
      <c r="AA85">
        <f>OR(I85&lt;&gt;"",N85&lt;&gt;"")</f>
        <v/>
      </c>
      <c r="AB85">
        <f>AND(I85&lt;&gt;"",S85&lt;&gt;"")</f>
        <v/>
      </c>
      <c r="AC85">
        <f>OR(I85&lt;&gt;"",S85&lt;&gt;"")</f>
        <v/>
      </c>
      <c r="AD85">
        <f>AND(I85&lt;&gt;"",X85&lt;&gt;"")</f>
        <v/>
      </c>
      <c r="AE85">
        <f>OR(I85&lt;&gt;"",X85&lt;&gt;"")</f>
        <v/>
      </c>
      <c r="AF85">
        <f>AND(N85&lt;&gt;"",S85&lt;&gt;"")</f>
        <v/>
      </c>
      <c r="AG85">
        <f>OR(N85&lt;&gt;"",S85&lt;&gt;"")</f>
        <v/>
      </c>
      <c r="AH85">
        <f>AND(N85&lt;&gt;"",X85&lt;&gt;"")</f>
        <v/>
      </c>
      <c r="AI85">
        <f>OR(N85&lt;&gt;"",X85&lt;&gt;"")</f>
        <v/>
      </c>
      <c r="AJ85">
        <f>AND(S85&lt;&gt;"",X85&lt;&gt;"")</f>
        <v/>
      </c>
      <c r="AK85">
        <f>OR(S85&lt;&gt;"",X85&lt;&gt;"")</f>
        <v/>
      </c>
      <c r="AM85">
        <f>AND(I85&lt;&gt;"",N85&lt;&gt;"",B85="No")</f>
        <v/>
      </c>
      <c r="AN85">
        <f>AND(OR(I85&lt;&gt;"",N85&lt;&gt;""),B85="No")</f>
        <v/>
      </c>
      <c r="AO85">
        <f>AND(I85&lt;&gt;"",S85&lt;&gt;"",B85="No")</f>
        <v/>
      </c>
      <c r="AP85">
        <f>AND(OR(I85&lt;&gt;"",S85&lt;&gt;""),B85="No")</f>
        <v/>
      </c>
      <c r="AQ85">
        <f>AND(I85&lt;&gt;"",X85&lt;&gt;"",B85="No")</f>
        <v/>
      </c>
      <c r="AR85">
        <f>AND(OR(I85&lt;&gt;"",X85&lt;&gt;""),B85="No")</f>
        <v/>
      </c>
      <c r="AS85">
        <f>AND(N85&lt;&gt;"",S85&lt;&gt;"",B85="No")</f>
        <v/>
      </c>
      <c r="AT85">
        <f>AND(OR(N85&lt;&gt;"",S85&lt;&gt;""),B85="No")</f>
        <v/>
      </c>
      <c r="AU85">
        <f>AND(N85&lt;&gt;"",X85&lt;&gt;"",B85="No")</f>
        <v/>
      </c>
      <c r="AV85">
        <f>AND(OR(N85&lt;&gt;"",X85&lt;&gt;""),B85="No")</f>
        <v/>
      </c>
      <c r="AW85">
        <f>AND(S85&lt;&gt;"",X85&lt;&gt;"",B85="No")</f>
        <v/>
      </c>
      <c r="AX85">
        <f>AND(OR(S85&lt;&gt;"",X85&lt;&gt;""),B85="No")</f>
        <v/>
      </c>
    </row>
    <row r="86">
      <c r="A86" s="44" t="inlineStr">
        <is>
          <t>GS.6.2</t>
        </is>
      </c>
      <c r="B86" s="47" t="inlineStr">
        <is>
          <t>No</t>
        </is>
      </c>
      <c r="C86" s="47" t="n"/>
      <c r="D86" s="34" t="n"/>
      <c r="E86" s="35" t="inlineStr">
        <is>
          <t>X</t>
        </is>
      </c>
      <c r="F86" s="35" t="inlineStr">
        <is>
          <t>X</t>
        </is>
      </c>
      <c r="G86" s="35" t="inlineStr">
        <is>
          <t>X</t>
        </is>
      </c>
      <c r="H86" s="35" t="inlineStr">
        <is>
          <t>X</t>
        </is>
      </c>
      <c r="I86" s="37">
        <f>IF(COUNTA(E86:H86)&gt;0,"X","")</f>
        <v/>
      </c>
      <c r="J86" s="35" t="n"/>
      <c r="K86" s="35" t="n"/>
      <c r="L86" s="35" t="n"/>
      <c r="M86" s="35" t="n"/>
      <c r="N86" s="37">
        <f>IF(COUNTA(J86:M86)&gt;0,"X","")</f>
        <v/>
      </c>
      <c r="O86" s="35" t="n"/>
      <c r="P86" s="35" t="n"/>
      <c r="Q86" s="35" t="n"/>
      <c r="R86" s="35" t="n"/>
      <c r="S86" s="37">
        <f>IF(COUNTA(O86:R86)&gt;0,"X","")</f>
        <v/>
      </c>
      <c r="T86" s="35" t="n"/>
      <c r="U86" s="35" t="n"/>
      <c r="V86" s="35" t="n"/>
      <c r="W86" s="35" t="n"/>
      <c r="X86" s="37">
        <f>IF(COUNTA(T86:W86)&gt;0,"X","")</f>
        <v/>
      </c>
      <c r="Z86">
        <f>AND(I86&lt;&gt;"",N86&lt;&gt;"")</f>
        <v/>
      </c>
      <c r="AA86">
        <f>OR(I86&lt;&gt;"",N86&lt;&gt;"")</f>
        <v/>
      </c>
      <c r="AB86">
        <f>AND(I86&lt;&gt;"",S86&lt;&gt;"")</f>
        <v/>
      </c>
      <c r="AC86">
        <f>OR(I86&lt;&gt;"",S86&lt;&gt;"")</f>
        <v/>
      </c>
      <c r="AD86">
        <f>AND(I86&lt;&gt;"",X86&lt;&gt;"")</f>
        <v/>
      </c>
      <c r="AE86">
        <f>OR(I86&lt;&gt;"",X86&lt;&gt;"")</f>
        <v/>
      </c>
      <c r="AF86">
        <f>AND(N86&lt;&gt;"",S86&lt;&gt;"")</f>
        <v/>
      </c>
      <c r="AG86">
        <f>OR(N86&lt;&gt;"",S86&lt;&gt;"")</f>
        <v/>
      </c>
      <c r="AH86">
        <f>AND(N86&lt;&gt;"",X86&lt;&gt;"")</f>
        <v/>
      </c>
      <c r="AI86">
        <f>OR(N86&lt;&gt;"",X86&lt;&gt;"")</f>
        <v/>
      </c>
      <c r="AJ86">
        <f>AND(S86&lt;&gt;"",X86&lt;&gt;"")</f>
        <v/>
      </c>
      <c r="AK86">
        <f>OR(S86&lt;&gt;"",X86&lt;&gt;"")</f>
        <v/>
      </c>
      <c r="AM86">
        <f>AND(I86&lt;&gt;"",N86&lt;&gt;"",B86="No")</f>
        <v/>
      </c>
      <c r="AN86">
        <f>AND(OR(I86&lt;&gt;"",N86&lt;&gt;""),B86="No")</f>
        <v/>
      </c>
      <c r="AO86">
        <f>AND(I86&lt;&gt;"",S86&lt;&gt;"",B86="No")</f>
        <v/>
      </c>
      <c r="AP86">
        <f>AND(OR(I86&lt;&gt;"",S86&lt;&gt;""),B86="No")</f>
        <v/>
      </c>
      <c r="AQ86">
        <f>AND(I86&lt;&gt;"",X86&lt;&gt;"",B86="No")</f>
        <v/>
      </c>
      <c r="AR86">
        <f>AND(OR(I86&lt;&gt;"",X86&lt;&gt;""),B86="No")</f>
        <v/>
      </c>
      <c r="AS86">
        <f>AND(N86&lt;&gt;"",S86&lt;&gt;"",B86="No")</f>
        <v/>
      </c>
      <c r="AT86">
        <f>AND(OR(N86&lt;&gt;"",S86&lt;&gt;""),B86="No")</f>
        <v/>
      </c>
      <c r="AU86">
        <f>AND(N86&lt;&gt;"",X86&lt;&gt;"",B86="No")</f>
        <v/>
      </c>
      <c r="AV86">
        <f>AND(OR(N86&lt;&gt;"",X86&lt;&gt;""),B86="No")</f>
        <v/>
      </c>
      <c r="AW86">
        <f>AND(S86&lt;&gt;"",X86&lt;&gt;"",B86="No")</f>
        <v/>
      </c>
      <c r="AX86">
        <f>AND(OR(S86&lt;&gt;"",X86&lt;&gt;""),B86="No")</f>
        <v/>
      </c>
    </row>
    <row r="87">
      <c r="A87" s="44" t="inlineStr">
        <is>
          <t>GS.6.3</t>
        </is>
      </c>
      <c r="B87" s="47" t="inlineStr">
        <is>
          <t>No</t>
        </is>
      </c>
      <c r="C87" s="47" t="n"/>
      <c r="D87" s="34" t="n"/>
      <c r="E87" s="35" t="n"/>
      <c r="F87" s="35" t="n"/>
      <c r="G87" s="35" t="n"/>
      <c r="H87" s="35" t="n"/>
      <c r="I87" s="37">
        <f>IF(COUNTA(E87:H87)&gt;0,"X","")</f>
        <v/>
      </c>
      <c r="J87" s="35" t="n"/>
      <c r="K87" s="35" t="n"/>
      <c r="L87" s="35" t="n"/>
      <c r="M87" s="35" t="n"/>
      <c r="N87" s="37">
        <f>IF(COUNTA(J87:M87)&gt;0,"X","")</f>
        <v/>
      </c>
      <c r="O87" s="35" t="inlineStr">
        <is>
          <t>X</t>
        </is>
      </c>
      <c r="P87" s="35" t="n"/>
      <c r="Q87" s="35" t="n"/>
      <c r="R87" s="35" t="n"/>
      <c r="S87" s="37">
        <f>IF(COUNTA(O87:R87)&gt;0,"X","")</f>
        <v/>
      </c>
      <c r="T87" s="35" t="n"/>
      <c r="U87" s="35" t="n"/>
      <c r="V87" s="35" t="n"/>
      <c r="W87" s="35" t="n"/>
      <c r="X87" s="37">
        <f>IF(COUNTA(T87:W87)&gt;0,"X","")</f>
        <v/>
      </c>
      <c r="Z87">
        <f>AND(I87&lt;&gt;"",N87&lt;&gt;"")</f>
        <v/>
      </c>
      <c r="AA87">
        <f>OR(I87&lt;&gt;"",N87&lt;&gt;"")</f>
        <v/>
      </c>
      <c r="AB87">
        <f>AND(I87&lt;&gt;"",S87&lt;&gt;"")</f>
        <v/>
      </c>
      <c r="AC87">
        <f>OR(I87&lt;&gt;"",S87&lt;&gt;"")</f>
        <v/>
      </c>
      <c r="AD87">
        <f>AND(I87&lt;&gt;"",X87&lt;&gt;"")</f>
        <v/>
      </c>
      <c r="AE87">
        <f>OR(I87&lt;&gt;"",X87&lt;&gt;"")</f>
        <v/>
      </c>
      <c r="AF87">
        <f>AND(N87&lt;&gt;"",S87&lt;&gt;"")</f>
        <v/>
      </c>
      <c r="AG87">
        <f>OR(N87&lt;&gt;"",S87&lt;&gt;"")</f>
        <v/>
      </c>
      <c r="AH87">
        <f>AND(N87&lt;&gt;"",X87&lt;&gt;"")</f>
        <v/>
      </c>
      <c r="AI87">
        <f>OR(N87&lt;&gt;"",X87&lt;&gt;"")</f>
        <v/>
      </c>
      <c r="AJ87">
        <f>AND(S87&lt;&gt;"",X87&lt;&gt;"")</f>
        <v/>
      </c>
      <c r="AK87">
        <f>OR(S87&lt;&gt;"",X87&lt;&gt;"")</f>
        <v/>
      </c>
      <c r="AM87">
        <f>AND(I87&lt;&gt;"",N87&lt;&gt;"",B87="No")</f>
        <v/>
      </c>
      <c r="AN87">
        <f>AND(OR(I87&lt;&gt;"",N87&lt;&gt;""),B87="No")</f>
        <v/>
      </c>
      <c r="AO87">
        <f>AND(I87&lt;&gt;"",S87&lt;&gt;"",B87="No")</f>
        <v/>
      </c>
      <c r="AP87">
        <f>AND(OR(I87&lt;&gt;"",S87&lt;&gt;""),B87="No")</f>
        <v/>
      </c>
      <c r="AQ87">
        <f>AND(I87&lt;&gt;"",X87&lt;&gt;"",B87="No")</f>
        <v/>
      </c>
      <c r="AR87">
        <f>AND(OR(I87&lt;&gt;"",X87&lt;&gt;""),B87="No")</f>
        <v/>
      </c>
      <c r="AS87">
        <f>AND(N87&lt;&gt;"",S87&lt;&gt;"",B87="No")</f>
        <v/>
      </c>
      <c r="AT87">
        <f>AND(OR(N87&lt;&gt;"",S87&lt;&gt;""),B87="No")</f>
        <v/>
      </c>
      <c r="AU87">
        <f>AND(N87&lt;&gt;"",X87&lt;&gt;"",B87="No")</f>
        <v/>
      </c>
      <c r="AV87">
        <f>AND(OR(N87&lt;&gt;"",X87&lt;&gt;""),B87="No")</f>
        <v/>
      </c>
      <c r="AW87">
        <f>AND(S87&lt;&gt;"",X87&lt;&gt;"",B87="No")</f>
        <v/>
      </c>
      <c r="AX87">
        <f>AND(OR(S87&lt;&gt;"",X87&lt;&gt;""),B87="No")</f>
        <v/>
      </c>
    </row>
    <row r="88">
      <c r="A88" s="44" t="inlineStr">
        <is>
          <t>GS.6.4</t>
        </is>
      </c>
      <c r="B88" s="47" t="inlineStr">
        <is>
          <t>No</t>
        </is>
      </c>
      <c r="C88" s="47" t="n"/>
      <c r="D88" s="34" t="n"/>
      <c r="E88" s="35" t="n"/>
      <c r="F88" s="35" t="n"/>
      <c r="G88" s="35" t="n"/>
      <c r="H88" s="35" t="n"/>
      <c r="I88" s="37">
        <f>IF(COUNTA(E88:H88)&gt;0,"X","")</f>
        <v/>
      </c>
      <c r="J88" s="35" t="n"/>
      <c r="K88" s="35" t="n"/>
      <c r="L88" s="35" t="n"/>
      <c r="M88" s="35" t="n"/>
      <c r="N88" s="37">
        <f>IF(COUNTA(J88:M88)&gt;0,"X","")</f>
        <v/>
      </c>
      <c r="O88" s="35" t="n"/>
      <c r="P88" s="35" t="n"/>
      <c r="Q88" s="35" t="n"/>
      <c r="R88" s="35" t="n"/>
      <c r="S88" s="37">
        <f>IF(COUNTA(O88:R88)&gt;0,"X","")</f>
        <v/>
      </c>
      <c r="T88" s="35" t="inlineStr">
        <is>
          <t>X</t>
        </is>
      </c>
      <c r="U88" s="35" t="n"/>
      <c r="V88" s="35" t="inlineStr">
        <is>
          <t>X</t>
        </is>
      </c>
      <c r="W88" s="35" t="n"/>
      <c r="X88" s="37">
        <f>IF(COUNTA(T88:W88)&gt;0,"X","")</f>
        <v/>
      </c>
      <c r="Z88">
        <f>AND(I88&lt;&gt;"",N88&lt;&gt;"")</f>
        <v/>
      </c>
      <c r="AA88">
        <f>OR(I88&lt;&gt;"",N88&lt;&gt;"")</f>
        <v/>
      </c>
      <c r="AB88">
        <f>AND(I88&lt;&gt;"",S88&lt;&gt;"")</f>
        <v/>
      </c>
      <c r="AC88">
        <f>OR(I88&lt;&gt;"",S88&lt;&gt;"")</f>
        <v/>
      </c>
      <c r="AD88">
        <f>AND(I88&lt;&gt;"",X88&lt;&gt;"")</f>
        <v/>
      </c>
      <c r="AE88">
        <f>OR(I88&lt;&gt;"",X88&lt;&gt;"")</f>
        <v/>
      </c>
      <c r="AF88">
        <f>AND(N88&lt;&gt;"",S88&lt;&gt;"")</f>
        <v/>
      </c>
      <c r="AG88">
        <f>OR(N88&lt;&gt;"",S88&lt;&gt;"")</f>
        <v/>
      </c>
      <c r="AH88">
        <f>AND(N88&lt;&gt;"",X88&lt;&gt;"")</f>
        <v/>
      </c>
      <c r="AI88">
        <f>OR(N88&lt;&gt;"",X88&lt;&gt;"")</f>
        <v/>
      </c>
      <c r="AJ88">
        <f>AND(S88&lt;&gt;"",X88&lt;&gt;"")</f>
        <v/>
      </c>
      <c r="AK88">
        <f>OR(S88&lt;&gt;"",X88&lt;&gt;"")</f>
        <v/>
      </c>
      <c r="AM88">
        <f>AND(I88&lt;&gt;"",N88&lt;&gt;"",B88="No")</f>
        <v/>
      </c>
      <c r="AN88">
        <f>AND(OR(I88&lt;&gt;"",N88&lt;&gt;""),B88="No")</f>
        <v/>
      </c>
      <c r="AO88">
        <f>AND(I88&lt;&gt;"",S88&lt;&gt;"",B88="No")</f>
        <v/>
      </c>
      <c r="AP88">
        <f>AND(OR(I88&lt;&gt;"",S88&lt;&gt;""),B88="No")</f>
        <v/>
      </c>
      <c r="AQ88">
        <f>AND(I88&lt;&gt;"",X88&lt;&gt;"",B88="No")</f>
        <v/>
      </c>
      <c r="AR88">
        <f>AND(OR(I88&lt;&gt;"",X88&lt;&gt;""),B88="No")</f>
        <v/>
      </c>
      <c r="AS88">
        <f>AND(N88&lt;&gt;"",S88&lt;&gt;"",B88="No")</f>
        <v/>
      </c>
      <c r="AT88">
        <f>AND(OR(N88&lt;&gt;"",S88&lt;&gt;""),B88="No")</f>
        <v/>
      </c>
      <c r="AU88">
        <f>AND(N88&lt;&gt;"",X88&lt;&gt;"",B88="No")</f>
        <v/>
      </c>
      <c r="AV88">
        <f>AND(OR(N88&lt;&gt;"",X88&lt;&gt;""),B88="No")</f>
        <v/>
      </c>
      <c r="AW88">
        <f>AND(S88&lt;&gt;"",X88&lt;&gt;"",B88="No")</f>
        <v/>
      </c>
      <c r="AX88">
        <f>AND(OR(S88&lt;&gt;"",X88&lt;&gt;""),B88="No")</f>
        <v/>
      </c>
    </row>
    <row r="89">
      <c r="A89" s="44" t="inlineStr">
        <is>
          <t>L0_ii.6.2</t>
        </is>
      </c>
      <c r="B89" s="47" t="inlineStr">
        <is>
          <t>Yes</t>
        </is>
      </c>
      <c r="C89" t="inlineStr">
        <is>
          <t>Template drift</t>
        </is>
      </c>
      <c r="D89" s="34" t="n"/>
      <c r="E89" s="35" t="n"/>
      <c r="F89" s="35" t="inlineStr">
        <is>
          <t>X</t>
        </is>
      </c>
      <c r="G89" s="35" t="n"/>
      <c r="H89" s="35" t="n"/>
      <c r="I89" s="37">
        <f>IF(COUNTA(E89:H89)&gt;0,"X","")</f>
        <v/>
      </c>
      <c r="J89" s="35" t="n"/>
      <c r="K89" s="35" t="n"/>
      <c r="L89" s="35" t="n"/>
      <c r="M89" s="35" t="n"/>
      <c r="N89" s="37">
        <f>IF(COUNTA(J89:M89)&gt;0,"X","")</f>
        <v/>
      </c>
      <c r="O89" s="35" t="n"/>
      <c r="P89" s="35" t="n"/>
      <c r="Q89" s="35" t="n"/>
      <c r="R89" s="35" t="n"/>
      <c r="S89" s="37">
        <f>IF(COUNTA(O89:R89)&gt;0,"X","")</f>
        <v/>
      </c>
      <c r="T89" s="35" t="n"/>
      <c r="U89" s="35" t="n"/>
      <c r="V89" s="35" t="n"/>
      <c r="W89" s="35" t="n"/>
      <c r="X89" s="37">
        <f>IF(COUNTA(T89:W89)&gt;0,"X","")</f>
        <v/>
      </c>
      <c r="Z89">
        <f>AND(I89&lt;&gt;"",N89&lt;&gt;"")</f>
        <v/>
      </c>
      <c r="AA89">
        <f>OR(I89&lt;&gt;"",N89&lt;&gt;"")</f>
        <v/>
      </c>
      <c r="AB89">
        <f>AND(I89&lt;&gt;"",S89&lt;&gt;"")</f>
        <v/>
      </c>
      <c r="AC89">
        <f>OR(I89&lt;&gt;"",S89&lt;&gt;"")</f>
        <v/>
      </c>
      <c r="AD89">
        <f>AND(I89&lt;&gt;"",X89&lt;&gt;"")</f>
        <v/>
      </c>
      <c r="AE89">
        <f>OR(I89&lt;&gt;"",X89&lt;&gt;"")</f>
        <v/>
      </c>
      <c r="AF89">
        <f>AND(N89&lt;&gt;"",S89&lt;&gt;"")</f>
        <v/>
      </c>
      <c r="AG89">
        <f>OR(N89&lt;&gt;"",S89&lt;&gt;"")</f>
        <v/>
      </c>
      <c r="AH89">
        <f>AND(N89&lt;&gt;"",X89&lt;&gt;"")</f>
        <v/>
      </c>
      <c r="AI89">
        <f>OR(N89&lt;&gt;"",X89&lt;&gt;"")</f>
        <v/>
      </c>
      <c r="AJ89">
        <f>AND(S89&lt;&gt;"",X89&lt;&gt;"")</f>
        <v/>
      </c>
      <c r="AK89">
        <f>OR(S89&lt;&gt;"",X89&lt;&gt;"")</f>
        <v/>
      </c>
      <c r="AM89">
        <f>AND(I89&lt;&gt;"",N89&lt;&gt;"",B89="No")</f>
        <v/>
      </c>
      <c r="AN89">
        <f>AND(OR(I89&lt;&gt;"",N89&lt;&gt;""),B89="No")</f>
        <v/>
      </c>
      <c r="AO89">
        <f>AND(I89&lt;&gt;"",S89&lt;&gt;"",B89="No")</f>
        <v/>
      </c>
      <c r="AP89">
        <f>AND(OR(I89&lt;&gt;"",S89&lt;&gt;""),B89="No")</f>
        <v/>
      </c>
      <c r="AQ89">
        <f>AND(I89&lt;&gt;"",X89&lt;&gt;"",B89="No")</f>
        <v/>
      </c>
      <c r="AR89">
        <f>AND(OR(I89&lt;&gt;"",X89&lt;&gt;""),B89="No")</f>
        <v/>
      </c>
      <c r="AS89">
        <f>AND(N89&lt;&gt;"",S89&lt;&gt;"",B89="No")</f>
        <v/>
      </c>
      <c r="AT89">
        <f>AND(OR(N89&lt;&gt;"",S89&lt;&gt;""),B89="No")</f>
        <v/>
      </c>
      <c r="AU89">
        <f>AND(N89&lt;&gt;"",X89&lt;&gt;"",B89="No")</f>
        <v/>
      </c>
      <c r="AV89">
        <f>AND(OR(N89&lt;&gt;"",X89&lt;&gt;""),B89="No")</f>
        <v/>
      </c>
      <c r="AW89">
        <f>AND(S89&lt;&gt;"",X89&lt;&gt;"",B89="No")</f>
        <v/>
      </c>
      <c r="AX89">
        <f>AND(OR(S89&lt;&gt;"",X89&lt;&gt;""),B89="No")</f>
        <v/>
      </c>
    </row>
    <row r="90">
      <c r="A90" s="44" t="inlineStr">
        <is>
          <t>G0.6.3</t>
        </is>
      </c>
      <c r="B90" s="47" t="inlineStr">
        <is>
          <t>Yes</t>
        </is>
      </c>
      <c r="C90" t="inlineStr">
        <is>
          <t>Template drift</t>
        </is>
      </c>
      <c r="D90" s="34" t="n"/>
      <c r="E90" s="35" t="n"/>
      <c r="F90" s="35" t="n"/>
      <c r="G90" s="35" t="n"/>
      <c r="H90" s="35" t="n"/>
      <c r="I90" s="37">
        <f>IF(COUNTA(E90:H90)&gt;0,"X","")</f>
        <v/>
      </c>
      <c r="J90" s="35" t="n"/>
      <c r="K90" s="35" t="n"/>
      <c r="L90" s="35" t="n"/>
      <c r="M90" s="35" t="n"/>
      <c r="N90" s="37">
        <f>IF(COUNTA(J90:M90)&gt;0,"X","")</f>
        <v/>
      </c>
      <c r="O90" s="35" t="n"/>
      <c r="P90" s="35" t="n"/>
      <c r="Q90" s="35" t="n"/>
      <c r="R90" s="35" t="n"/>
      <c r="S90" s="37">
        <f>IF(COUNTA(O90:R90)&gt;0,"X","")</f>
        <v/>
      </c>
      <c r="T90" s="35" t="inlineStr">
        <is>
          <t>X</t>
        </is>
      </c>
      <c r="U90" s="35" t="n"/>
      <c r="V90" s="35" t="n"/>
      <c r="W90" s="35" t="n"/>
      <c r="X90" s="37">
        <f>IF(COUNTA(T90:W90)&gt;0,"X","")</f>
        <v/>
      </c>
      <c r="Z90">
        <f>AND(I90&lt;&gt;"",N90&lt;&gt;"")</f>
        <v/>
      </c>
      <c r="AA90">
        <f>OR(I90&lt;&gt;"",N90&lt;&gt;"")</f>
        <v/>
      </c>
      <c r="AB90">
        <f>AND(I90&lt;&gt;"",S90&lt;&gt;"")</f>
        <v/>
      </c>
      <c r="AC90">
        <f>OR(I90&lt;&gt;"",S90&lt;&gt;"")</f>
        <v/>
      </c>
      <c r="AD90">
        <f>AND(I90&lt;&gt;"",X90&lt;&gt;"")</f>
        <v/>
      </c>
      <c r="AE90">
        <f>OR(I90&lt;&gt;"",X90&lt;&gt;"")</f>
        <v/>
      </c>
      <c r="AF90">
        <f>AND(N90&lt;&gt;"",S90&lt;&gt;"")</f>
        <v/>
      </c>
      <c r="AG90">
        <f>OR(N90&lt;&gt;"",S90&lt;&gt;"")</f>
        <v/>
      </c>
      <c r="AH90">
        <f>AND(N90&lt;&gt;"",X90&lt;&gt;"")</f>
        <v/>
      </c>
      <c r="AI90">
        <f>OR(N90&lt;&gt;"",X90&lt;&gt;"")</f>
        <v/>
      </c>
      <c r="AJ90">
        <f>AND(S90&lt;&gt;"",X90&lt;&gt;"")</f>
        <v/>
      </c>
      <c r="AK90">
        <f>OR(S90&lt;&gt;"",X90&lt;&gt;"")</f>
        <v/>
      </c>
      <c r="AM90">
        <f>AND(I90&lt;&gt;"",N90&lt;&gt;"",B90="No")</f>
        <v/>
      </c>
      <c r="AN90">
        <f>AND(OR(I90&lt;&gt;"",N90&lt;&gt;""),B90="No")</f>
        <v/>
      </c>
      <c r="AO90">
        <f>AND(I90&lt;&gt;"",S90&lt;&gt;"",B90="No")</f>
        <v/>
      </c>
      <c r="AP90">
        <f>AND(OR(I90&lt;&gt;"",S90&lt;&gt;""),B90="No")</f>
        <v/>
      </c>
      <c r="AQ90">
        <f>AND(I90&lt;&gt;"",X90&lt;&gt;"",B90="No")</f>
        <v/>
      </c>
      <c r="AR90">
        <f>AND(OR(I90&lt;&gt;"",X90&lt;&gt;""),B90="No")</f>
        <v/>
      </c>
      <c r="AS90">
        <f>AND(N90&lt;&gt;"",S90&lt;&gt;"",B90="No")</f>
        <v/>
      </c>
      <c r="AT90">
        <f>AND(OR(N90&lt;&gt;"",S90&lt;&gt;""),B90="No")</f>
        <v/>
      </c>
      <c r="AU90">
        <f>AND(N90&lt;&gt;"",X90&lt;&gt;"",B90="No")</f>
        <v/>
      </c>
      <c r="AV90">
        <f>AND(OR(N90&lt;&gt;"",X90&lt;&gt;""),B90="No")</f>
        <v/>
      </c>
      <c r="AW90">
        <f>AND(S90&lt;&gt;"",X90&lt;&gt;"",B90="No")</f>
        <v/>
      </c>
      <c r="AX90">
        <f>AND(OR(S90&lt;&gt;"",X90&lt;&gt;""),B90="No")</f>
        <v/>
      </c>
    </row>
    <row r="91">
      <c r="A91" s="44" t="inlineStr">
        <is>
          <t>GS.7.1</t>
        </is>
      </c>
      <c r="B91" s="47" t="inlineStr">
        <is>
          <t>No</t>
        </is>
      </c>
      <c r="C91" s="47" t="n"/>
      <c r="D91" s="34" t="inlineStr">
        <is>
          <t>H.7.1</t>
        </is>
      </c>
      <c r="E91" s="27" t="inlineStr">
        <is>
          <t>X</t>
        </is>
      </c>
      <c r="F91" s="27" t="inlineStr">
        <is>
          <t>X</t>
        </is>
      </c>
      <c r="G91" s="27" t="inlineStr">
        <is>
          <t>X</t>
        </is>
      </c>
      <c r="H91" s="27" t="inlineStr">
        <is>
          <t>X</t>
        </is>
      </c>
      <c r="I91" s="37">
        <f>IF(COUNTA(E91:H91)&gt;0,"X","")</f>
        <v/>
      </c>
      <c r="J91" s="27" t="inlineStr">
        <is>
          <t>P</t>
        </is>
      </c>
      <c r="K91" s="27" t="inlineStr">
        <is>
          <t>P</t>
        </is>
      </c>
      <c r="L91" s="27" t="inlineStr">
        <is>
          <t>P</t>
        </is>
      </c>
      <c r="M91" s="27" t="inlineStr">
        <is>
          <t>P</t>
        </is>
      </c>
      <c r="N91" s="37">
        <f>IF(COUNTA(J91:M91)&gt;0,"X","")</f>
        <v/>
      </c>
      <c r="O91" s="27" t="inlineStr">
        <is>
          <t>P</t>
        </is>
      </c>
      <c r="P91" s="27" t="inlineStr">
        <is>
          <t>P</t>
        </is>
      </c>
      <c r="Q91" s="27" t="inlineStr">
        <is>
          <t>P</t>
        </is>
      </c>
      <c r="R91" s="27" t="inlineStr">
        <is>
          <t>P</t>
        </is>
      </c>
      <c r="S91" s="37">
        <f>IF(COUNTA(O91:R91)&gt;0,"X","")</f>
        <v/>
      </c>
      <c r="T91" s="27" t="inlineStr">
        <is>
          <t>X</t>
        </is>
      </c>
      <c r="U91" s="27" t="inlineStr">
        <is>
          <t>X</t>
        </is>
      </c>
      <c r="V91" s="27" t="inlineStr">
        <is>
          <t>X</t>
        </is>
      </c>
      <c r="W91" s="27" t="inlineStr">
        <is>
          <t>X</t>
        </is>
      </c>
      <c r="X91" s="37">
        <f>IF(COUNTA(T91:W91)&gt;0,"X","")</f>
        <v/>
      </c>
      <c r="Z91">
        <f>AND(I91&lt;&gt;"",N91&lt;&gt;"")</f>
        <v/>
      </c>
      <c r="AA91">
        <f>OR(I91&lt;&gt;"",N91&lt;&gt;"")</f>
        <v/>
      </c>
      <c r="AB91">
        <f>AND(I91&lt;&gt;"",S91&lt;&gt;"")</f>
        <v/>
      </c>
      <c r="AC91">
        <f>OR(I91&lt;&gt;"",S91&lt;&gt;"")</f>
        <v/>
      </c>
      <c r="AD91">
        <f>AND(I91&lt;&gt;"",X91&lt;&gt;"")</f>
        <v/>
      </c>
      <c r="AE91">
        <f>OR(I91&lt;&gt;"",X91&lt;&gt;"")</f>
        <v/>
      </c>
      <c r="AF91">
        <f>AND(N91&lt;&gt;"",S91&lt;&gt;"")</f>
        <v/>
      </c>
      <c r="AG91">
        <f>OR(N91&lt;&gt;"",S91&lt;&gt;"")</f>
        <v/>
      </c>
      <c r="AH91">
        <f>AND(N91&lt;&gt;"",X91&lt;&gt;"")</f>
        <v/>
      </c>
      <c r="AI91">
        <f>OR(N91&lt;&gt;"",X91&lt;&gt;"")</f>
        <v/>
      </c>
      <c r="AJ91">
        <f>AND(S91&lt;&gt;"",X91&lt;&gt;"")</f>
        <v/>
      </c>
      <c r="AK91">
        <f>OR(S91&lt;&gt;"",X91&lt;&gt;"")</f>
        <v/>
      </c>
      <c r="AM91">
        <f>AND(I91&lt;&gt;"",N91&lt;&gt;"",B91="No")</f>
        <v/>
      </c>
      <c r="AN91">
        <f>AND(OR(I91&lt;&gt;"",N91&lt;&gt;""),B91="No")</f>
        <v/>
      </c>
      <c r="AO91">
        <f>AND(I91&lt;&gt;"",S91&lt;&gt;"",B91="No")</f>
        <v/>
      </c>
      <c r="AP91">
        <f>AND(OR(I91&lt;&gt;"",S91&lt;&gt;""),B91="No")</f>
        <v/>
      </c>
      <c r="AQ91">
        <f>AND(I91&lt;&gt;"",X91&lt;&gt;"",B91="No")</f>
        <v/>
      </c>
      <c r="AR91">
        <f>AND(OR(I91&lt;&gt;"",X91&lt;&gt;""),B91="No")</f>
        <v/>
      </c>
      <c r="AS91">
        <f>AND(N91&lt;&gt;"",S91&lt;&gt;"",B91="No")</f>
        <v/>
      </c>
      <c r="AT91">
        <f>AND(OR(N91&lt;&gt;"",S91&lt;&gt;""),B91="No")</f>
        <v/>
      </c>
      <c r="AU91">
        <f>AND(N91&lt;&gt;"",X91&lt;&gt;"",B91="No")</f>
        <v/>
      </c>
      <c r="AV91">
        <f>AND(OR(N91&lt;&gt;"",X91&lt;&gt;""),B91="No")</f>
        <v/>
      </c>
      <c r="AW91">
        <f>AND(S91&lt;&gt;"",X91&lt;&gt;"",B91="No")</f>
        <v/>
      </c>
      <c r="AX91">
        <f>AND(OR(S91&lt;&gt;"",X91&lt;&gt;""),B91="No")</f>
        <v/>
      </c>
    </row>
    <row r="92">
      <c r="A92" s="44" t="inlineStr">
        <is>
          <t>GS.7.2</t>
        </is>
      </c>
      <c r="B92" s="47" t="inlineStr">
        <is>
          <t>No</t>
        </is>
      </c>
      <c r="C92" s="47" t="n"/>
      <c r="D92" s="34" t="inlineStr">
        <is>
          <t>H.7.2</t>
        </is>
      </c>
      <c r="F92" s="27" t="inlineStr">
        <is>
          <t>X</t>
        </is>
      </c>
      <c r="G92" s="27" t="inlineStr">
        <is>
          <t>X</t>
        </is>
      </c>
      <c r="H92" s="27" t="inlineStr">
        <is>
          <t>X</t>
        </is>
      </c>
      <c r="I92" s="37">
        <f>IF(COUNTA(E92:H92)&gt;0,"X","")</f>
        <v/>
      </c>
      <c r="N92" s="37">
        <f>IF(COUNTA(J92:M92)&gt;0,"X","")</f>
        <v/>
      </c>
      <c r="O92" s="27" t="inlineStr">
        <is>
          <t>P</t>
        </is>
      </c>
      <c r="R92" s="27" t="inlineStr">
        <is>
          <t>P</t>
        </is>
      </c>
      <c r="S92" s="37">
        <f>IF(COUNTA(O92:R92)&gt;0,"X","")</f>
        <v/>
      </c>
      <c r="T92" s="27" t="inlineStr">
        <is>
          <t>X</t>
        </is>
      </c>
      <c r="U92" s="27" t="inlineStr">
        <is>
          <t>X</t>
        </is>
      </c>
      <c r="V92" s="27" t="inlineStr">
        <is>
          <t>X</t>
        </is>
      </c>
      <c r="W92" s="27" t="inlineStr">
        <is>
          <t>X</t>
        </is>
      </c>
      <c r="X92" s="37">
        <f>IF(COUNTA(T92:W92)&gt;0,"X","")</f>
        <v/>
      </c>
      <c r="Z92">
        <f>AND(I92&lt;&gt;"",N92&lt;&gt;"")</f>
        <v/>
      </c>
      <c r="AA92">
        <f>OR(I92&lt;&gt;"",N92&lt;&gt;"")</f>
        <v/>
      </c>
      <c r="AB92">
        <f>AND(I92&lt;&gt;"",S92&lt;&gt;"")</f>
        <v/>
      </c>
      <c r="AC92">
        <f>OR(I92&lt;&gt;"",S92&lt;&gt;"")</f>
        <v/>
      </c>
      <c r="AD92">
        <f>AND(I92&lt;&gt;"",X92&lt;&gt;"")</f>
        <v/>
      </c>
      <c r="AE92">
        <f>OR(I92&lt;&gt;"",X92&lt;&gt;"")</f>
        <v/>
      </c>
      <c r="AF92">
        <f>AND(N92&lt;&gt;"",S92&lt;&gt;"")</f>
        <v/>
      </c>
      <c r="AG92">
        <f>OR(N92&lt;&gt;"",S92&lt;&gt;"")</f>
        <v/>
      </c>
      <c r="AH92">
        <f>AND(N92&lt;&gt;"",X92&lt;&gt;"")</f>
        <v/>
      </c>
      <c r="AI92">
        <f>OR(N92&lt;&gt;"",X92&lt;&gt;"")</f>
        <v/>
      </c>
      <c r="AJ92">
        <f>AND(S92&lt;&gt;"",X92&lt;&gt;"")</f>
        <v/>
      </c>
      <c r="AK92">
        <f>OR(S92&lt;&gt;"",X92&lt;&gt;"")</f>
        <v/>
      </c>
      <c r="AM92">
        <f>AND(I92&lt;&gt;"",N92&lt;&gt;"",B92="No")</f>
        <v/>
      </c>
      <c r="AN92">
        <f>AND(OR(I92&lt;&gt;"",N92&lt;&gt;""),B92="No")</f>
        <v/>
      </c>
      <c r="AO92">
        <f>AND(I92&lt;&gt;"",S92&lt;&gt;"",B92="No")</f>
        <v/>
      </c>
      <c r="AP92">
        <f>AND(OR(I92&lt;&gt;"",S92&lt;&gt;""),B92="No")</f>
        <v/>
      </c>
      <c r="AQ92">
        <f>AND(I92&lt;&gt;"",X92&lt;&gt;"",B92="No")</f>
        <v/>
      </c>
      <c r="AR92">
        <f>AND(OR(I92&lt;&gt;"",X92&lt;&gt;""),B92="No")</f>
        <v/>
      </c>
      <c r="AS92">
        <f>AND(N92&lt;&gt;"",S92&lt;&gt;"",B92="No")</f>
        <v/>
      </c>
      <c r="AT92">
        <f>AND(OR(N92&lt;&gt;"",S92&lt;&gt;""),B92="No")</f>
        <v/>
      </c>
      <c r="AU92">
        <f>AND(N92&lt;&gt;"",X92&lt;&gt;"",B92="No")</f>
        <v/>
      </c>
      <c r="AV92">
        <f>AND(OR(N92&lt;&gt;"",X92&lt;&gt;""),B92="No")</f>
        <v/>
      </c>
      <c r="AW92">
        <f>AND(S92&lt;&gt;"",X92&lt;&gt;"",B92="No")</f>
        <v/>
      </c>
      <c r="AX92">
        <f>AND(OR(S92&lt;&gt;"",X92&lt;&gt;""),B92="No")</f>
        <v/>
      </c>
    </row>
    <row r="93">
      <c r="A93" s="44" t="inlineStr">
        <is>
          <t>GS.7.3</t>
        </is>
      </c>
      <c r="B93" s="47" t="inlineStr">
        <is>
          <t>No</t>
        </is>
      </c>
      <c r="C93" s="47" t="n"/>
      <c r="D93" s="34" t="inlineStr">
        <is>
          <t>H.7.3</t>
        </is>
      </c>
      <c r="G93" s="27" t="inlineStr">
        <is>
          <t>X</t>
        </is>
      </c>
      <c r="H93" s="27" t="inlineStr">
        <is>
          <t>X</t>
        </is>
      </c>
      <c r="I93" s="37">
        <f>IF(COUNTA(E93:H93)&gt;0,"X","")</f>
        <v/>
      </c>
      <c r="J93" s="27" t="inlineStr">
        <is>
          <t>X</t>
        </is>
      </c>
      <c r="K93" s="27" t="inlineStr">
        <is>
          <t>X</t>
        </is>
      </c>
      <c r="L93" s="27" t="inlineStr">
        <is>
          <t>X</t>
        </is>
      </c>
      <c r="M93" s="27" t="inlineStr">
        <is>
          <t>X</t>
        </is>
      </c>
      <c r="N93" s="37">
        <f>IF(COUNTA(J93:M93)&gt;0,"X","")</f>
        <v/>
      </c>
      <c r="O93" s="35" t="n"/>
      <c r="P93" s="35" t="n"/>
      <c r="Q93" s="35" t="n"/>
      <c r="R93" s="35" t="n"/>
      <c r="S93" s="37">
        <f>IF(COUNTA(O93:R93)&gt;0,"X","")</f>
        <v/>
      </c>
      <c r="T93" s="27" t="inlineStr">
        <is>
          <t>X</t>
        </is>
      </c>
      <c r="V93" s="27" t="inlineStr">
        <is>
          <t>X</t>
        </is>
      </c>
      <c r="W93" s="27" t="inlineStr">
        <is>
          <t>X</t>
        </is>
      </c>
      <c r="X93" s="37">
        <f>IF(COUNTA(T93:W93)&gt;0,"X","")</f>
        <v/>
      </c>
      <c r="Z93">
        <f>AND(I93&lt;&gt;"",N93&lt;&gt;"")</f>
        <v/>
      </c>
      <c r="AA93">
        <f>OR(I93&lt;&gt;"",N93&lt;&gt;"")</f>
        <v/>
      </c>
      <c r="AB93">
        <f>AND(I93&lt;&gt;"",S93&lt;&gt;"")</f>
        <v/>
      </c>
      <c r="AC93">
        <f>OR(I93&lt;&gt;"",S93&lt;&gt;"")</f>
        <v/>
      </c>
      <c r="AD93">
        <f>AND(I93&lt;&gt;"",X93&lt;&gt;"")</f>
        <v/>
      </c>
      <c r="AE93">
        <f>OR(I93&lt;&gt;"",X93&lt;&gt;"")</f>
        <v/>
      </c>
      <c r="AF93">
        <f>AND(N93&lt;&gt;"",S93&lt;&gt;"")</f>
        <v/>
      </c>
      <c r="AG93">
        <f>OR(N93&lt;&gt;"",S93&lt;&gt;"")</f>
        <v/>
      </c>
      <c r="AH93">
        <f>AND(N93&lt;&gt;"",X93&lt;&gt;"")</f>
        <v/>
      </c>
      <c r="AI93">
        <f>OR(N93&lt;&gt;"",X93&lt;&gt;"")</f>
        <v/>
      </c>
      <c r="AJ93">
        <f>AND(S93&lt;&gt;"",X93&lt;&gt;"")</f>
        <v/>
      </c>
      <c r="AK93">
        <f>OR(S93&lt;&gt;"",X93&lt;&gt;"")</f>
        <v/>
      </c>
      <c r="AM93">
        <f>AND(I93&lt;&gt;"",N93&lt;&gt;"",B93="No")</f>
        <v/>
      </c>
      <c r="AN93">
        <f>AND(OR(I93&lt;&gt;"",N93&lt;&gt;""),B93="No")</f>
        <v/>
      </c>
      <c r="AO93">
        <f>AND(I93&lt;&gt;"",S93&lt;&gt;"",B93="No")</f>
        <v/>
      </c>
      <c r="AP93">
        <f>AND(OR(I93&lt;&gt;"",S93&lt;&gt;""),B93="No")</f>
        <v/>
      </c>
      <c r="AQ93">
        <f>AND(I93&lt;&gt;"",X93&lt;&gt;"",B93="No")</f>
        <v/>
      </c>
      <c r="AR93">
        <f>AND(OR(I93&lt;&gt;"",X93&lt;&gt;""),B93="No")</f>
        <v/>
      </c>
      <c r="AS93">
        <f>AND(N93&lt;&gt;"",S93&lt;&gt;"",B93="No")</f>
        <v/>
      </c>
      <c r="AT93">
        <f>AND(OR(N93&lt;&gt;"",S93&lt;&gt;""),B93="No")</f>
        <v/>
      </c>
      <c r="AU93">
        <f>AND(N93&lt;&gt;"",X93&lt;&gt;"",B93="No")</f>
        <v/>
      </c>
      <c r="AV93">
        <f>AND(OR(N93&lt;&gt;"",X93&lt;&gt;""),B93="No")</f>
        <v/>
      </c>
      <c r="AW93">
        <f>AND(S93&lt;&gt;"",X93&lt;&gt;"",B93="No")</f>
        <v/>
      </c>
      <c r="AX93">
        <f>AND(OR(S93&lt;&gt;"",X93&lt;&gt;""),B93="No")</f>
        <v/>
      </c>
    </row>
    <row r="94">
      <c r="A94" s="44" t="inlineStr">
        <is>
          <t>GS.7.4</t>
        </is>
      </c>
      <c r="B94" s="47" t="inlineStr">
        <is>
          <t>No</t>
        </is>
      </c>
      <c r="C94" s="47" t="n"/>
      <c r="D94" s="34" t="n"/>
      <c r="E94" s="35" t="inlineStr">
        <is>
          <t>X</t>
        </is>
      </c>
      <c r="F94" s="35" t="n"/>
      <c r="G94" s="35" t="n"/>
      <c r="H94" s="35" t="inlineStr">
        <is>
          <t>X</t>
        </is>
      </c>
      <c r="I94" s="37">
        <f>IF(COUNTA(E94:H94)&gt;0,"X","")</f>
        <v/>
      </c>
      <c r="J94" s="35" t="n"/>
      <c r="K94" s="35" t="n"/>
      <c r="L94" s="35" t="n"/>
      <c r="M94" s="35" t="n"/>
      <c r="N94" s="37">
        <f>IF(COUNTA(J94:M94)&gt;0,"X","")</f>
        <v/>
      </c>
      <c r="O94" s="35" t="n"/>
      <c r="P94" s="35" t="n"/>
      <c r="Q94" s="35" t="n"/>
      <c r="R94" s="35" t="n"/>
      <c r="S94" s="37">
        <f>IF(COUNTA(O94:R94)&gt;0,"X","")</f>
        <v/>
      </c>
      <c r="T94" s="35" t="n"/>
      <c r="U94" s="35" t="n"/>
      <c r="V94" s="35" t="n"/>
      <c r="W94" s="35" t="n"/>
      <c r="X94" s="37">
        <f>IF(COUNTA(T94:W94)&gt;0,"X","")</f>
        <v/>
      </c>
      <c r="Z94">
        <f>AND(I94&lt;&gt;"",N94&lt;&gt;"")</f>
        <v/>
      </c>
      <c r="AA94">
        <f>OR(I94&lt;&gt;"",N94&lt;&gt;"")</f>
        <v/>
      </c>
      <c r="AB94">
        <f>AND(I94&lt;&gt;"",S94&lt;&gt;"")</f>
        <v/>
      </c>
      <c r="AC94">
        <f>OR(I94&lt;&gt;"",S94&lt;&gt;"")</f>
        <v/>
      </c>
      <c r="AD94">
        <f>AND(I94&lt;&gt;"",X94&lt;&gt;"")</f>
        <v/>
      </c>
      <c r="AE94">
        <f>OR(I94&lt;&gt;"",X94&lt;&gt;"")</f>
        <v/>
      </c>
      <c r="AF94">
        <f>AND(N94&lt;&gt;"",S94&lt;&gt;"")</f>
        <v/>
      </c>
      <c r="AG94">
        <f>OR(N94&lt;&gt;"",S94&lt;&gt;"")</f>
        <v/>
      </c>
      <c r="AH94">
        <f>AND(N94&lt;&gt;"",X94&lt;&gt;"")</f>
        <v/>
      </c>
      <c r="AI94">
        <f>OR(N94&lt;&gt;"",X94&lt;&gt;"")</f>
        <v/>
      </c>
      <c r="AJ94">
        <f>AND(S94&lt;&gt;"",X94&lt;&gt;"")</f>
        <v/>
      </c>
      <c r="AK94">
        <f>OR(S94&lt;&gt;"",X94&lt;&gt;"")</f>
        <v/>
      </c>
      <c r="AM94">
        <f>AND(I94&lt;&gt;"",N94&lt;&gt;"",B94="No")</f>
        <v/>
      </c>
      <c r="AN94">
        <f>AND(OR(I94&lt;&gt;"",N94&lt;&gt;""),B94="No")</f>
        <v/>
      </c>
      <c r="AO94">
        <f>AND(I94&lt;&gt;"",S94&lt;&gt;"",B94="No")</f>
        <v/>
      </c>
      <c r="AP94">
        <f>AND(OR(I94&lt;&gt;"",S94&lt;&gt;""),B94="No")</f>
        <v/>
      </c>
      <c r="AQ94">
        <f>AND(I94&lt;&gt;"",X94&lt;&gt;"",B94="No")</f>
        <v/>
      </c>
      <c r="AR94">
        <f>AND(OR(I94&lt;&gt;"",X94&lt;&gt;""),B94="No")</f>
        <v/>
      </c>
      <c r="AS94">
        <f>AND(N94&lt;&gt;"",S94&lt;&gt;"",B94="No")</f>
        <v/>
      </c>
      <c r="AT94">
        <f>AND(OR(N94&lt;&gt;"",S94&lt;&gt;""),B94="No")</f>
        <v/>
      </c>
      <c r="AU94">
        <f>AND(N94&lt;&gt;"",X94&lt;&gt;"",B94="No")</f>
        <v/>
      </c>
      <c r="AV94">
        <f>AND(OR(N94&lt;&gt;"",X94&lt;&gt;""),B94="No")</f>
        <v/>
      </c>
      <c r="AW94">
        <f>AND(S94&lt;&gt;"",X94&lt;&gt;"",B94="No")</f>
        <v/>
      </c>
      <c r="AX94">
        <f>AND(OR(S94&lt;&gt;"",X94&lt;&gt;""),B94="No")</f>
        <v/>
      </c>
    </row>
    <row r="95">
      <c r="A95" s="44" t="inlineStr">
        <is>
          <t>GS.7.5</t>
        </is>
      </c>
      <c r="B95" s="47" t="inlineStr">
        <is>
          <t>No</t>
        </is>
      </c>
      <c r="C95" s="47" t="n"/>
      <c r="D95" s="34" t="n"/>
      <c r="E95" s="35" t="inlineStr">
        <is>
          <t>X</t>
        </is>
      </c>
      <c r="F95" s="35" t="n"/>
      <c r="G95" s="35" t="n"/>
      <c r="H95" s="35" t="n"/>
      <c r="I95" s="37">
        <f>IF(COUNTA(E95:H95)&gt;0,"X","")</f>
        <v/>
      </c>
      <c r="J95" s="35" t="n"/>
      <c r="K95" s="35" t="n"/>
      <c r="L95" s="35" t="n"/>
      <c r="M95" s="35" t="n"/>
      <c r="N95" s="37">
        <f>IF(COUNTA(J95:M95)&gt;0,"X","")</f>
        <v/>
      </c>
      <c r="O95" s="35" t="inlineStr">
        <is>
          <t>X</t>
        </is>
      </c>
      <c r="P95" s="35" t="inlineStr">
        <is>
          <t>X</t>
        </is>
      </c>
      <c r="Q95" s="35" t="n"/>
      <c r="R95" s="35" t="n"/>
      <c r="S95" s="37">
        <f>IF(COUNTA(O95:R95)&gt;0,"X","")</f>
        <v/>
      </c>
      <c r="T95" s="35" t="n"/>
      <c r="U95" s="35" t="n"/>
      <c r="V95" s="35" t="n"/>
      <c r="W95" s="35" t="n"/>
      <c r="X95" s="37">
        <f>IF(COUNTA(T95:W95)&gt;0,"X","")</f>
        <v/>
      </c>
      <c r="Z95">
        <f>AND(I95&lt;&gt;"",N95&lt;&gt;"")</f>
        <v/>
      </c>
      <c r="AA95">
        <f>OR(I95&lt;&gt;"",N95&lt;&gt;"")</f>
        <v/>
      </c>
      <c r="AB95">
        <f>AND(I95&lt;&gt;"",S95&lt;&gt;"")</f>
        <v/>
      </c>
      <c r="AC95">
        <f>OR(I95&lt;&gt;"",S95&lt;&gt;"")</f>
        <v/>
      </c>
      <c r="AD95">
        <f>AND(I95&lt;&gt;"",X95&lt;&gt;"")</f>
        <v/>
      </c>
      <c r="AE95">
        <f>OR(I95&lt;&gt;"",X95&lt;&gt;"")</f>
        <v/>
      </c>
      <c r="AF95">
        <f>AND(N95&lt;&gt;"",S95&lt;&gt;"")</f>
        <v/>
      </c>
      <c r="AG95">
        <f>OR(N95&lt;&gt;"",S95&lt;&gt;"")</f>
        <v/>
      </c>
      <c r="AH95">
        <f>AND(N95&lt;&gt;"",X95&lt;&gt;"")</f>
        <v/>
      </c>
      <c r="AI95">
        <f>OR(N95&lt;&gt;"",X95&lt;&gt;"")</f>
        <v/>
      </c>
      <c r="AJ95">
        <f>AND(S95&lt;&gt;"",X95&lt;&gt;"")</f>
        <v/>
      </c>
      <c r="AK95">
        <f>OR(S95&lt;&gt;"",X95&lt;&gt;"")</f>
        <v/>
      </c>
      <c r="AM95">
        <f>AND(I95&lt;&gt;"",N95&lt;&gt;"",B95="No")</f>
        <v/>
      </c>
      <c r="AN95">
        <f>AND(OR(I95&lt;&gt;"",N95&lt;&gt;""),B95="No")</f>
        <v/>
      </c>
      <c r="AO95">
        <f>AND(I95&lt;&gt;"",S95&lt;&gt;"",B95="No")</f>
        <v/>
      </c>
      <c r="AP95">
        <f>AND(OR(I95&lt;&gt;"",S95&lt;&gt;""),B95="No")</f>
        <v/>
      </c>
      <c r="AQ95">
        <f>AND(I95&lt;&gt;"",X95&lt;&gt;"",B95="No")</f>
        <v/>
      </c>
      <c r="AR95">
        <f>AND(OR(I95&lt;&gt;"",X95&lt;&gt;""),B95="No")</f>
        <v/>
      </c>
      <c r="AS95">
        <f>AND(N95&lt;&gt;"",S95&lt;&gt;"",B95="No")</f>
        <v/>
      </c>
      <c r="AT95">
        <f>AND(OR(N95&lt;&gt;"",S95&lt;&gt;""),B95="No")</f>
        <v/>
      </c>
      <c r="AU95">
        <f>AND(N95&lt;&gt;"",X95&lt;&gt;"",B95="No")</f>
        <v/>
      </c>
      <c r="AV95">
        <f>AND(OR(N95&lt;&gt;"",X95&lt;&gt;""),B95="No")</f>
        <v/>
      </c>
      <c r="AW95">
        <f>AND(S95&lt;&gt;"",X95&lt;&gt;"",B95="No")</f>
        <v/>
      </c>
      <c r="AX95">
        <f>AND(OR(S95&lt;&gt;"",X95&lt;&gt;""),B95="No")</f>
        <v/>
      </c>
    </row>
    <row r="96">
      <c r="A96" s="44" t="inlineStr">
        <is>
          <t>GS.7.6</t>
        </is>
      </c>
      <c r="B96" s="47" t="inlineStr">
        <is>
          <t>No</t>
        </is>
      </c>
      <c r="C96" s="47" t="n"/>
      <c r="D96" s="34" t="n"/>
      <c r="E96" s="35" t="inlineStr">
        <is>
          <t>X</t>
        </is>
      </c>
      <c r="F96" s="35" t="n"/>
      <c r="G96" s="35" t="inlineStr">
        <is>
          <t>X</t>
        </is>
      </c>
      <c r="H96" s="35" t="inlineStr">
        <is>
          <t>X</t>
        </is>
      </c>
      <c r="I96" s="37">
        <f>IF(COUNTA(E96:H96)&gt;0,"X","")</f>
        <v/>
      </c>
      <c r="J96" s="35" t="n"/>
      <c r="K96" s="35" t="n"/>
      <c r="L96" s="35" t="n"/>
      <c r="M96" s="35" t="n"/>
      <c r="N96" s="37">
        <f>IF(COUNTA(J96:M96)&gt;0,"X","")</f>
        <v/>
      </c>
      <c r="O96" s="35" t="n"/>
      <c r="P96" s="35" t="n"/>
      <c r="Q96" s="35" t="n"/>
      <c r="R96" s="35" t="n"/>
      <c r="S96" s="37">
        <f>IF(COUNTA(O96:R96)&gt;0,"X","")</f>
        <v/>
      </c>
      <c r="T96" s="35" t="n"/>
      <c r="U96" s="35" t="n"/>
      <c r="V96" s="35" t="n"/>
      <c r="W96" s="35" t="n"/>
      <c r="X96" s="37">
        <f>IF(COUNTA(T96:W96)&gt;0,"X","")</f>
        <v/>
      </c>
      <c r="Z96">
        <f>AND(I96&lt;&gt;"",N96&lt;&gt;"")</f>
        <v/>
      </c>
      <c r="AA96">
        <f>OR(I96&lt;&gt;"",N96&lt;&gt;"")</f>
        <v/>
      </c>
      <c r="AB96">
        <f>AND(I96&lt;&gt;"",S96&lt;&gt;"")</f>
        <v/>
      </c>
      <c r="AC96">
        <f>OR(I96&lt;&gt;"",S96&lt;&gt;"")</f>
        <v/>
      </c>
      <c r="AD96">
        <f>AND(I96&lt;&gt;"",X96&lt;&gt;"")</f>
        <v/>
      </c>
      <c r="AE96">
        <f>OR(I96&lt;&gt;"",X96&lt;&gt;"")</f>
        <v/>
      </c>
      <c r="AF96">
        <f>AND(N96&lt;&gt;"",S96&lt;&gt;"")</f>
        <v/>
      </c>
      <c r="AG96">
        <f>OR(N96&lt;&gt;"",S96&lt;&gt;"")</f>
        <v/>
      </c>
      <c r="AH96">
        <f>AND(N96&lt;&gt;"",X96&lt;&gt;"")</f>
        <v/>
      </c>
      <c r="AI96">
        <f>OR(N96&lt;&gt;"",X96&lt;&gt;"")</f>
        <v/>
      </c>
      <c r="AJ96">
        <f>AND(S96&lt;&gt;"",X96&lt;&gt;"")</f>
        <v/>
      </c>
      <c r="AK96">
        <f>OR(S96&lt;&gt;"",X96&lt;&gt;"")</f>
        <v/>
      </c>
      <c r="AM96">
        <f>AND(I96&lt;&gt;"",N96&lt;&gt;"",B96="No")</f>
        <v/>
      </c>
      <c r="AN96">
        <f>AND(OR(I96&lt;&gt;"",N96&lt;&gt;""),B96="No")</f>
        <v/>
      </c>
      <c r="AO96">
        <f>AND(I96&lt;&gt;"",S96&lt;&gt;"",B96="No")</f>
        <v/>
      </c>
      <c r="AP96">
        <f>AND(OR(I96&lt;&gt;"",S96&lt;&gt;""),B96="No")</f>
        <v/>
      </c>
      <c r="AQ96">
        <f>AND(I96&lt;&gt;"",X96&lt;&gt;"",B96="No")</f>
        <v/>
      </c>
      <c r="AR96">
        <f>AND(OR(I96&lt;&gt;"",X96&lt;&gt;""),B96="No")</f>
        <v/>
      </c>
      <c r="AS96">
        <f>AND(N96&lt;&gt;"",S96&lt;&gt;"",B96="No")</f>
        <v/>
      </c>
      <c r="AT96">
        <f>AND(OR(N96&lt;&gt;"",S96&lt;&gt;""),B96="No")</f>
        <v/>
      </c>
      <c r="AU96">
        <f>AND(N96&lt;&gt;"",X96&lt;&gt;"",B96="No")</f>
        <v/>
      </c>
      <c r="AV96">
        <f>AND(OR(N96&lt;&gt;"",X96&lt;&gt;""),B96="No")</f>
        <v/>
      </c>
      <c r="AW96">
        <f>AND(S96&lt;&gt;"",X96&lt;&gt;"",B96="No")</f>
        <v/>
      </c>
      <c r="AX96">
        <f>AND(OR(S96&lt;&gt;"",X96&lt;&gt;""),B96="No")</f>
        <v/>
      </c>
    </row>
    <row r="97">
      <c r="A97" s="44" t="inlineStr">
        <is>
          <t>GS.7.7</t>
        </is>
      </c>
      <c r="B97" s="47" t="inlineStr">
        <is>
          <t>No</t>
        </is>
      </c>
      <c r="C97" s="47" t="n"/>
      <c r="D97" s="34" t="n"/>
      <c r="E97" s="35" t="n"/>
      <c r="F97" s="35" t="n"/>
      <c r="G97" s="35" t="n"/>
      <c r="H97" s="35" t="n"/>
      <c r="I97" s="37">
        <f>IF(COUNTA(E97:H97)&gt;0,"X","")</f>
        <v/>
      </c>
      <c r="J97" s="35" t="n"/>
      <c r="K97" s="35" t="n"/>
      <c r="L97" s="35" t="n"/>
      <c r="M97" s="35" t="n"/>
      <c r="N97" s="37">
        <f>IF(COUNTA(J97:M97)&gt;0,"X","")</f>
        <v/>
      </c>
      <c r="O97" s="35" t="n"/>
      <c r="P97" s="35" t="n"/>
      <c r="Q97" s="35" t="n"/>
      <c r="R97" s="35" t="n"/>
      <c r="S97" s="37">
        <f>IF(COUNTA(O97:R97)&gt;0,"X","")</f>
        <v/>
      </c>
      <c r="T97" s="35" t="n"/>
      <c r="U97" s="35" t="n"/>
      <c r="V97" s="35" t="n"/>
      <c r="W97" s="35" t="n"/>
      <c r="X97" s="37">
        <f>IF(COUNTA(T97:W97)&gt;0,"X","")</f>
        <v/>
      </c>
      <c r="Z97">
        <f>AND(I97&lt;&gt;"",N97&lt;&gt;"")</f>
        <v/>
      </c>
      <c r="AA97">
        <f>OR(I97&lt;&gt;"",N97&lt;&gt;"")</f>
        <v/>
      </c>
      <c r="AB97">
        <f>AND(I97&lt;&gt;"",S97&lt;&gt;"")</f>
        <v/>
      </c>
      <c r="AC97">
        <f>OR(I97&lt;&gt;"",S97&lt;&gt;"")</f>
        <v/>
      </c>
      <c r="AD97">
        <f>AND(I97&lt;&gt;"",X97&lt;&gt;"")</f>
        <v/>
      </c>
      <c r="AE97">
        <f>OR(I97&lt;&gt;"",X97&lt;&gt;"")</f>
        <v/>
      </c>
      <c r="AF97">
        <f>AND(N97&lt;&gt;"",S97&lt;&gt;"")</f>
        <v/>
      </c>
      <c r="AG97">
        <f>OR(N97&lt;&gt;"",S97&lt;&gt;"")</f>
        <v/>
      </c>
      <c r="AH97">
        <f>AND(N97&lt;&gt;"",X97&lt;&gt;"")</f>
        <v/>
      </c>
      <c r="AI97">
        <f>OR(N97&lt;&gt;"",X97&lt;&gt;"")</f>
        <v/>
      </c>
      <c r="AJ97">
        <f>AND(S97&lt;&gt;"",X97&lt;&gt;"")</f>
        <v/>
      </c>
      <c r="AK97">
        <f>OR(S97&lt;&gt;"",X97&lt;&gt;"")</f>
        <v/>
      </c>
      <c r="AM97">
        <f>AND(I97&lt;&gt;"",N97&lt;&gt;"",B97="No")</f>
        <v/>
      </c>
      <c r="AN97">
        <f>AND(OR(I97&lt;&gt;"",N97&lt;&gt;""),B97="No")</f>
        <v/>
      </c>
      <c r="AO97">
        <f>AND(I97&lt;&gt;"",S97&lt;&gt;"",B97="No")</f>
        <v/>
      </c>
      <c r="AP97">
        <f>AND(OR(I97&lt;&gt;"",S97&lt;&gt;""),B97="No")</f>
        <v/>
      </c>
      <c r="AQ97">
        <f>AND(I97&lt;&gt;"",X97&lt;&gt;"",B97="No")</f>
        <v/>
      </c>
      <c r="AR97">
        <f>AND(OR(I97&lt;&gt;"",X97&lt;&gt;""),B97="No")</f>
        <v/>
      </c>
      <c r="AS97">
        <f>AND(N97&lt;&gt;"",S97&lt;&gt;"",B97="No")</f>
        <v/>
      </c>
      <c r="AT97">
        <f>AND(OR(N97&lt;&gt;"",S97&lt;&gt;""),B97="No")</f>
        <v/>
      </c>
      <c r="AU97">
        <f>AND(N97&lt;&gt;"",X97&lt;&gt;"",B97="No")</f>
        <v/>
      </c>
      <c r="AV97">
        <f>AND(OR(N97&lt;&gt;"",X97&lt;&gt;""),B97="No")</f>
        <v/>
      </c>
      <c r="AW97">
        <f>AND(S97&lt;&gt;"",X97&lt;&gt;"",B97="No")</f>
        <v/>
      </c>
      <c r="AX97">
        <f>AND(OR(S97&lt;&gt;"",X97&lt;&gt;""),B97="No")</f>
        <v/>
      </c>
    </row>
    <row r="98">
      <c r="A98" s="44" t="inlineStr">
        <is>
          <t>GS.7.8</t>
        </is>
      </c>
      <c r="B98" s="47" t="inlineStr">
        <is>
          <t>No</t>
        </is>
      </c>
      <c r="C98" s="47" t="n"/>
      <c r="D98" s="34" t="n"/>
      <c r="E98" s="35" t="n"/>
      <c r="F98" s="35" t="n"/>
      <c r="G98" s="35" t="n"/>
      <c r="H98" s="35" t="n"/>
      <c r="I98" s="37">
        <f>IF(COUNTA(E98:H98)&gt;0,"X","")</f>
        <v/>
      </c>
      <c r="J98" s="35" t="n"/>
      <c r="K98" s="35" t="n"/>
      <c r="L98" s="35" t="n"/>
      <c r="M98" s="35" t="n"/>
      <c r="N98" s="37">
        <f>IF(COUNTA(J98:M98)&gt;0,"X","")</f>
        <v/>
      </c>
      <c r="O98" s="35" t="n"/>
      <c r="P98" s="35" t="n"/>
      <c r="Q98" s="35" t="n"/>
      <c r="R98" s="35" t="n"/>
      <c r="S98" s="37">
        <f>IF(COUNTA(O98:R98)&gt;0,"X","")</f>
        <v/>
      </c>
      <c r="T98" s="35" t="n"/>
      <c r="U98" s="35" t="n"/>
      <c r="V98" s="35" t="n"/>
      <c r="W98" s="35" t="n"/>
      <c r="X98" s="37">
        <f>IF(COUNTA(T98:W98)&gt;0,"X","")</f>
        <v/>
      </c>
      <c r="Z98">
        <f>AND(I98&lt;&gt;"",N98&lt;&gt;"")</f>
        <v/>
      </c>
      <c r="AA98">
        <f>OR(I98&lt;&gt;"",N98&lt;&gt;"")</f>
        <v/>
      </c>
      <c r="AB98">
        <f>AND(I98&lt;&gt;"",S98&lt;&gt;"")</f>
        <v/>
      </c>
      <c r="AC98">
        <f>OR(I98&lt;&gt;"",S98&lt;&gt;"")</f>
        <v/>
      </c>
      <c r="AD98">
        <f>AND(I98&lt;&gt;"",X98&lt;&gt;"")</f>
        <v/>
      </c>
      <c r="AE98">
        <f>OR(I98&lt;&gt;"",X98&lt;&gt;"")</f>
        <v/>
      </c>
      <c r="AF98">
        <f>AND(N98&lt;&gt;"",S98&lt;&gt;"")</f>
        <v/>
      </c>
      <c r="AG98">
        <f>OR(N98&lt;&gt;"",S98&lt;&gt;"")</f>
        <v/>
      </c>
      <c r="AH98">
        <f>AND(N98&lt;&gt;"",X98&lt;&gt;"")</f>
        <v/>
      </c>
      <c r="AI98">
        <f>OR(N98&lt;&gt;"",X98&lt;&gt;"")</f>
        <v/>
      </c>
      <c r="AJ98">
        <f>AND(S98&lt;&gt;"",X98&lt;&gt;"")</f>
        <v/>
      </c>
      <c r="AK98">
        <f>OR(S98&lt;&gt;"",X98&lt;&gt;"")</f>
        <v/>
      </c>
      <c r="AM98">
        <f>AND(I98&lt;&gt;"",N98&lt;&gt;"",B98="No")</f>
        <v/>
      </c>
      <c r="AN98">
        <f>AND(OR(I98&lt;&gt;"",N98&lt;&gt;""),B98="No")</f>
        <v/>
      </c>
      <c r="AO98">
        <f>AND(I98&lt;&gt;"",S98&lt;&gt;"",B98="No")</f>
        <v/>
      </c>
      <c r="AP98">
        <f>AND(OR(I98&lt;&gt;"",S98&lt;&gt;""),B98="No")</f>
        <v/>
      </c>
      <c r="AQ98">
        <f>AND(I98&lt;&gt;"",X98&lt;&gt;"",B98="No")</f>
        <v/>
      </c>
      <c r="AR98">
        <f>AND(OR(I98&lt;&gt;"",X98&lt;&gt;""),B98="No")</f>
        <v/>
      </c>
      <c r="AS98">
        <f>AND(N98&lt;&gt;"",S98&lt;&gt;"",B98="No")</f>
        <v/>
      </c>
      <c r="AT98">
        <f>AND(OR(N98&lt;&gt;"",S98&lt;&gt;""),B98="No")</f>
        <v/>
      </c>
      <c r="AU98">
        <f>AND(N98&lt;&gt;"",X98&lt;&gt;"",B98="No")</f>
        <v/>
      </c>
      <c r="AV98">
        <f>AND(OR(N98&lt;&gt;"",X98&lt;&gt;""),B98="No")</f>
        <v/>
      </c>
      <c r="AW98">
        <f>AND(S98&lt;&gt;"",X98&lt;&gt;"",B98="No")</f>
        <v/>
      </c>
      <c r="AX98">
        <f>AND(OR(S98&lt;&gt;"",X98&lt;&gt;""),B98="No")</f>
        <v/>
      </c>
    </row>
    <row r="99">
      <c r="A99" s="44" t="inlineStr">
        <is>
          <t>GS.7.9</t>
        </is>
      </c>
      <c r="B99" s="47" t="inlineStr">
        <is>
          <t>No</t>
        </is>
      </c>
      <c r="C99" s="47" t="n"/>
      <c r="D99" s="34" t="n"/>
      <c r="E99" s="35" t="n"/>
      <c r="F99" s="35" t="n"/>
      <c r="G99" s="35" t="inlineStr">
        <is>
          <t>X</t>
        </is>
      </c>
      <c r="H99" s="35" t="n"/>
      <c r="I99" s="37">
        <f>IF(COUNTA(E99:H99)&gt;0,"X","")</f>
        <v/>
      </c>
      <c r="J99" s="35" t="n"/>
      <c r="K99" s="35" t="n"/>
      <c r="L99" s="35" t="n"/>
      <c r="M99" s="35" t="n"/>
      <c r="N99" s="37">
        <f>IF(COUNTA(J99:M99)&gt;0,"X","")</f>
        <v/>
      </c>
      <c r="O99" s="35" t="n"/>
      <c r="P99" s="35" t="n"/>
      <c r="Q99" s="35" t="n"/>
      <c r="R99" s="35" t="n"/>
      <c r="S99" s="37">
        <f>IF(COUNTA(O99:R99)&gt;0,"X","")</f>
        <v/>
      </c>
      <c r="T99" s="35" t="n"/>
      <c r="U99" s="35" t="n"/>
      <c r="V99" s="35" t="n"/>
      <c r="W99" s="35" t="n"/>
      <c r="X99" s="37">
        <f>IF(COUNTA(T99:W99)&gt;0,"X","")</f>
        <v/>
      </c>
      <c r="Z99">
        <f>AND(I99&lt;&gt;"",N99&lt;&gt;"")</f>
        <v/>
      </c>
      <c r="AA99">
        <f>OR(I99&lt;&gt;"",N99&lt;&gt;"")</f>
        <v/>
      </c>
      <c r="AB99">
        <f>AND(I99&lt;&gt;"",S99&lt;&gt;"")</f>
        <v/>
      </c>
      <c r="AC99">
        <f>OR(I99&lt;&gt;"",S99&lt;&gt;"")</f>
        <v/>
      </c>
      <c r="AD99">
        <f>AND(I99&lt;&gt;"",X99&lt;&gt;"")</f>
        <v/>
      </c>
      <c r="AE99">
        <f>OR(I99&lt;&gt;"",X99&lt;&gt;"")</f>
        <v/>
      </c>
      <c r="AF99">
        <f>AND(N99&lt;&gt;"",S99&lt;&gt;"")</f>
        <v/>
      </c>
      <c r="AG99">
        <f>OR(N99&lt;&gt;"",S99&lt;&gt;"")</f>
        <v/>
      </c>
      <c r="AH99">
        <f>AND(N99&lt;&gt;"",X99&lt;&gt;"")</f>
        <v/>
      </c>
      <c r="AI99">
        <f>OR(N99&lt;&gt;"",X99&lt;&gt;"")</f>
        <v/>
      </c>
      <c r="AJ99">
        <f>AND(S99&lt;&gt;"",X99&lt;&gt;"")</f>
        <v/>
      </c>
      <c r="AK99">
        <f>OR(S99&lt;&gt;"",X99&lt;&gt;"")</f>
        <v/>
      </c>
      <c r="AM99">
        <f>AND(I99&lt;&gt;"",N99&lt;&gt;"",B99="No")</f>
        <v/>
      </c>
      <c r="AN99">
        <f>AND(OR(I99&lt;&gt;"",N99&lt;&gt;""),B99="No")</f>
        <v/>
      </c>
      <c r="AO99">
        <f>AND(I99&lt;&gt;"",S99&lt;&gt;"",B99="No")</f>
        <v/>
      </c>
      <c r="AP99">
        <f>AND(OR(I99&lt;&gt;"",S99&lt;&gt;""),B99="No")</f>
        <v/>
      </c>
      <c r="AQ99">
        <f>AND(I99&lt;&gt;"",X99&lt;&gt;"",B99="No")</f>
        <v/>
      </c>
      <c r="AR99">
        <f>AND(OR(I99&lt;&gt;"",X99&lt;&gt;""),B99="No")</f>
        <v/>
      </c>
      <c r="AS99">
        <f>AND(N99&lt;&gt;"",S99&lt;&gt;"",B99="No")</f>
        <v/>
      </c>
      <c r="AT99">
        <f>AND(OR(N99&lt;&gt;"",S99&lt;&gt;""),B99="No")</f>
        <v/>
      </c>
      <c r="AU99">
        <f>AND(N99&lt;&gt;"",X99&lt;&gt;"",B99="No")</f>
        <v/>
      </c>
      <c r="AV99">
        <f>AND(OR(N99&lt;&gt;"",X99&lt;&gt;""),B99="No")</f>
        <v/>
      </c>
      <c r="AW99">
        <f>AND(S99&lt;&gt;"",X99&lt;&gt;"",B99="No")</f>
        <v/>
      </c>
      <c r="AX99">
        <f>AND(OR(S99&lt;&gt;"",X99&lt;&gt;""),B99="No")</f>
        <v/>
      </c>
    </row>
    <row r="100">
      <c r="A100" s="44" t="inlineStr">
        <is>
          <t>GS.7.10</t>
        </is>
      </c>
      <c r="B100" s="47" t="inlineStr">
        <is>
          <t>No</t>
        </is>
      </c>
      <c r="C100" s="47" t="n"/>
      <c r="D100" s="34" t="n"/>
      <c r="E100" s="35" t="n"/>
      <c r="F100" s="35" t="n"/>
      <c r="G100" s="35" t="n"/>
      <c r="H100" s="35" t="n"/>
      <c r="I100" s="37">
        <f>IF(COUNTA(E100:H100)&gt;0,"X","")</f>
        <v/>
      </c>
      <c r="J100" s="35" t="n"/>
      <c r="K100" s="35" t="n"/>
      <c r="L100" s="35" t="n"/>
      <c r="M100" s="35" t="n"/>
      <c r="N100" s="37">
        <f>IF(COUNTA(J100:M100)&gt;0,"X","")</f>
        <v/>
      </c>
      <c r="O100" s="35" t="n"/>
      <c r="P100" s="35" t="n"/>
      <c r="Q100" s="35" t="n"/>
      <c r="R100" s="35" t="n"/>
      <c r="S100" s="37">
        <f>IF(COUNTA(O100:R100)&gt;0,"X","")</f>
        <v/>
      </c>
      <c r="T100" s="35" t="n"/>
      <c r="U100" s="35" t="n"/>
      <c r="V100" s="35" t="n"/>
      <c r="W100" s="35" t="n"/>
      <c r="X100" s="37">
        <f>IF(COUNTA(T100:W100)&gt;0,"X","")</f>
        <v/>
      </c>
      <c r="Z100">
        <f>AND(I100&lt;&gt;"",N100&lt;&gt;"")</f>
        <v/>
      </c>
      <c r="AA100">
        <f>OR(I100&lt;&gt;"",N100&lt;&gt;"")</f>
        <v/>
      </c>
      <c r="AB100">
        <f>AND(I100&lt;&gt;"",S100&lt;&gt;"")</f>
        <v/>
      </c>
      <c r="AC100">
        <f>OR(I100&lt;&gt;"",S100&lt;&gt;"")</f>
        <v/>
      </c>
      <c r="AD100">
        <f>AND(I100&lt;&gt;"",X100&lt;&gt;"")</f>
        <v/>
      </c>
      <c r="AE100">
        <f>OR(I100&lt;&gt;"",X100&lt;&gt;"")</f>
        <v/>
      </c>
      <c r="AF100">
        <f>AND(N100&lt;&gt;"",S100&lt;&gt;"")</f>
        <v/>
      </c>
      <c r="AG100">
        <f>OR(N100&lt;&gt;"",S100&lt;&gt;"")</f>
        <v/>
      </c>
      <c r="AH100">
        <f>AND(N100&lt;&gt;"",X100&lt;&gt;"")</f>
        <v/>
      </c>
      <c r="AI100">
        <f>OR(N100&lt;&gt;"",X100&lt;&gt;"")</f>
        <v/>
      </c>
      <c r="AJ100">
        <f>AND(S100&lt;&gt;"",X100&lt;&gt;"")</f>
        <v/>
      </c>
      <c r="AK100">
        <f>OR(S100&lt;&gt;"",X100&lt;&gt;"")</f>
        <v/>
      </c>
      <c r="AM100">
        <f>AND(I100&lt;&gt;"",N100&lt;&gt;"",B100="No")</f>
        <v/>
      </c>
      <c r="AN100">
        <f>AND(OR(I100&lt;&gt;"",N100&lt;&gt;""),B100="No")</f>
        <v/>
      </c>
      <c r="AO100">
        <f>AND(I100&lt;&gt;"",S100&lt;&gt;"",B100="No")</f>
        <v/>
      </c>
      <c r="AP100">
        <f>AND(OR(I100&lt;&gt;"",S100&lt;&gt;""),B100="No")</f>
        <v/>
      </c>
      <c r="AQ100">
        <f>AND(I100&lt;&gt;"",X100&lt;&gt;"",B100="No")</f>
        <v/>
      </c>
      <c r="AR100">
        <f>AND(OR(I100&lt;&gt;"",X100&lt;&gt;""),B100="No")</f>
        <v/>
      </c>
      <c r="AS100">
        <f>AND(N100&lt;&gt;"",S100&lt;&gt;"",B100="No")</f>
        <v/>
      </c>
      <c r="AT100">
        <f>AND(OR(N100&lt;&gt;"",S100&lt;&gt;""),B100="No")</f>
        <v/>
      </c>
      <c r="AU100">
        <f>AND(N100&lt;&gt;"",X100&lt;&gt;"",B100="No")</f>
        <v/>
      </c>
      <c r="AV100">
        <f>AND(OR(N100&lt;&gt;"",X100&lt;&gt;""),B100="No")</f>
        <v/>
      </c>
      <c r="AW100">
        <f>AND(S100&lt;&gt;"",X100&lt;&gt;"",B100="No")</f>
        <v/>
      </c>
      <c r="AX100">
        <f>AND(OR(S100&lt;&gt;"",X100&lt;&gt;""),B100="No")</f>
        <v/>
      </c>
    </row>
    <row r="101">
      <c r="A101" s="44" t="inlineStr">
        <is>
          <t>GS.7.11</t>
        </is>
      </c>
      <c r="B101" s="47" t="inlineStr">
        <is>
          <t>No</t>
        </is>
      </c>
      <c r="C101" s="47" t="n"/>
      <c r="D101" s="34" t="n"/>
      <c r="E101" s="35" t="n"/>
      <c r="F101" s="35" t="n"/>
      <c r="G101" s="35" t="n"/>
      <c r="H101" s="35" t="n"/>
      <c r="I101" s="37">
        <f>IF(COUNTA(E101:H101)&gt;0,"X","")</f>
        <v/>
      </c>
      <c r="J101" s="35" t="n"/>
      <c r="K101" s="35" t="n"/>
      <c r="L101" s="35" t="n"/>
      <c r="M101" s="35" t="n"/>
      <c r="N101" s="37">
        <f>IF(COUNTA(J101:M101)&gt;0,"X","")</f>
        <v/>
      </c>
      <c r="O101" s="35" t="n"/>
      <c r="P101" s="35" t="n"/>
      <c r="Q101" s="35" t="n"/>
      <c r="R101" s="35" t="n"/>
      <c r="S101" s="37">
        <f>IF(COUNTA(O101:R101)&gt;0,"X","")</f>
        <v/>
      </c>
      <c r="T101" s="35" t="n"/>
      <c r="U101" s="35" t="n"/>
      <c r="V101" s="35" t="n"/>
      <c r="W101" s="35" t="n"/>
      <c r="X101" s="37">
        <f>IF(COUNTA(T101:W101)&gt;0,"X","")</f>
        <v/>
      </c>
      <c r="Z101">
        <f>AND(I101&lt;&gt;"",N101&lt;&gt;"")</f>
        <v/>
      </c>
      <c r="AA101">
        <f>OR(I101&lt;&gt;"",N101&lt;&gt;"")</f>
        <v/>
      </c>
      <c r="AB101">
        <f>AND(I101&lt;&gt;"",S101&lt;&gt;"")</f>
        <v/>
      </c>
      <c r="AC101">
        <f>OR(I101&lt;&gt;"",S101&lt;&gt;"")</f>
        <v/>
      </c>
      <c r="AD101">
        <f>AND(I101&lt;&gt;"",X101&lt;&gt;"")</f>
        <v/>
      </c>
      <c r="AE101">
        <f>OR(I101&lt;&gt;"",X101&lt;&gt;"")</f>
        <v/>
      </c>
      <c r="AF101">
        <f>AND(N101&lt;&gt;"",S101&lt;&gt;"")</f>
        <v/>
      </c>
      <c r="AG101">
        <f>OR(N101&lt;&gt;"",S101&lt;&gt;"")</f>
        <v/>
      </c>
      <c r="AH101">
        <f>AND(N101&lt;&gt;"",X101&lt;&gt;"")</f>
        <v/>
      </c>
      <c r="AI101">
        <f>OR(N101&lt;&gt;"",X101&lt;&gt;"")</f>
        <v/>
      </c>
      <c r="AJ101">
        <f>AND(S101&lt;&gt;"",X101&lt;&gt;"")</f>
        <v/>
      </c>
      <c r="AK101">
        <f>OR(S101&lt;&gt;"",X101&lt;&gt;"")</f>
        <v/>
      </c>
      <c r="AM101">
        <f>AND(I101&lt;&gt;"",N101&lt;&gt;"",B101="No")</f>
        <v/>
      </c>
      <c r="AN101">
        <f>AND(OR(I101&lt;&gt;"",N101&lt;&gt;""),B101="No")</f>
        <v/>
      </c>
      <c r="AO101">
        <f>AND(I101&lt;&gt;"",S101&lt;&gt;"",B101="No")</f>
        <v/>
      </c>
      <c r="AP101">
        <f>AND(OR(I101&lt;&gt;"",S101&lt;&gt;""),B101="No")</f>
        <v/>
      </c>
      <c r="AQ101">
        <f>AND(I101&lt;&gt;"",X101&lt;&gt;"",B101="No")</f>
        <v/>
      </c>
      <c r="AR101">
        <f>AND(OR(I101&lt;&gt;"",X101&lt;&gt;""),B101="No")</f>
        <v/>
      </c>
      <c r="AS101">
        <f>AND(N101&lt;&gt;"",S101&lt;&gt;"",B101="No")</f>
        <v/>
      </c>
      <c r="AT101">
        <f>AND(OR(N101&lt;&gt;"",S101&lt;&gt;""),B101="No")</f>
        <v/>
      </c>
      <c r="AU101">
        <f>AND(N101&lt;&gt;"",X101&lt;&gt;"",B101="No")</f>
        <v/>
      </c>
      <c r="AV101">
        <f>AND(OR(N101&lt;&gt;"",X101&lt;&gt;""),B101="No")</f>
        <v/>
      </c>
      <c r="AW101">
        <f>AND(S101&lt;&gt;"",X101&lt;&gt;"",B101="No")</f>
        <v/>
      </c>
      <c r="AX101">
        <f>AND(OR(S101&lt;&gt;"",X101&lt;&gt;""),B101="No")</f>
        <v/>
      </c>
    </row>
    <row r="102">
      <c r="A102" s="44" t="inlineStr">
        <is>
          <t>L0_ii.7.2</t>
        </is>
      </c>
      <c r="B102" s="47" t="inlineStr">
        <is>
          <t>Yes</t>
        </is>
      </c>
      <c r="C102" t="inlineStr">
        <is>
          <t>Template drift</t>
        </is>
      </c>
      <c r="D102" s="34" t="n"/>
      <c r="E102" s="35" t="n"/>
      <c r="F102" s="35" t="inlineStr">
        <is>
          <t>X</t>
        </is>
      </c>
      <c r="G102" s="35" t="n"/>
      <c r="H102" s="35" t="n"/>
      <c r="I102" s="37">
        <f>IF(COUNTA(E102:H102)&gt;0,"X","")</f>
        <v/>
      </c>
      <c r="J102" s="35" t="n"/>
      <c r="K102" s="35" t="n"/>
      <c r="L102" s="35" t="n"/>
      <c r="M102" s="35" t="n"/>
      <c r="N102" s="37">
        <f>IF(COUNTA(J102:M102)&gt;0,"X","")</f>
        <v/>
      </c>
      <c r="O102" s="35" t="n"/>
      <c r="P102" s="35" t="n"/>
      <c r="Q102" s="35" t="n"/>
      <c r="R102" s="35" t="n"/>
      <c r="S102" s="37">
        <f>IF(COUNTA(O102:R102)&gt;0,"X","")</f>
        <v/>
      </c>
      <c r="T102" s="35" t="n"/>
      <c r="U102" s="35" t="n"/>
      <c r="V102" s="35" t="n"/>
      <c r="W102" s="35" t="n"/>
      <c r="X102" s="37">
        <f>IF(COUNTA(T102:W102)&gt;0,"X","")</f>
        <v/>
      </c>
      <c r="Z102">
        <f>AND(I102&lt;&gt;"",N102&lt;&gt;"")</f>
        <v/>
      </c>
      <c r="AA102">
        <f>OR(I102&lt;&gt;"",N102&lt;&gt;"")</f>
        <v/>
      </c>
      <c r="AB102">
        <f>AND(I102&lt;&gt;"",S102&lt;&gt;"")</f>
        <v/>
      </c>
      <c r="AC102">
        <f>OR(I102&lt;&gt;"",S102&lt;&gt;"")</f>
        <v/>
      </c>
      <c r="AD102">
        <f>AND(I102&lt;&gt;"",X102&lt;&gt;"")</f>
        <v/>
      </c>
      <c r="AE102">
        <f>OR(I102&lt;&gt;"",X102&lt;&gt;"")</f>
        <v/>
      </c>
      <c r="AF102">
        <f>AND(N102&lt;&gt;"",S102&lt;&gt;"")</f>
        <v/>
      </c>
      <c r="AG102">
        <f>OR(N102&lt;&gt;"",S102&lt;&gt;"")</f>
        <v/>
      </c>
      <c r="AH102">
        <f>AND(N102&lt;&gt;"",X102&lt;&gt;"")</f>
        <v/>
      </c>
      <c r="AI102">
        <f>OR(N102&lt;&gt;"",X102&lt;&gt;"")</f>
        <v/>
      </c>
      <c r="AJ102">
        <f>AND(S102&lt;&gt;"",X102&lt;&gt;"")</f>
        <v/>
      </c>
      <c r="AK102">
        <f>OR(S102&lt;&gt;"",X102&lt;&gt;"")</f>
        <v/>
      </c>
      <c r="AM102">
        <f>AND(I102&lt;&gt;"",N102&lt;&gt;"",B102="No")</f>
        <v/>
      </c>
      <c r="AN102">
        <f>AND(OR(I102&lt;&gt;"",N102&lt;&gt;""),B102="No")</f>
        <v/>
      </c>
      <c r="AO102">
        <f>AND(I102&lt;&gt;"",S102&lt;&gt;"",B102="No")</f>
        <v/>
      </c>
      <c r="AP102">
        <f>AND(OR(I102&lt;&gt;"",S102&lt;&gt;""),B102="No")</f>
        <v/>
      </c>
      <c r="AQ102">
        <f>AND(I102&lt;&gt;"",X102&lt;&gt;"",B102="No")</f>
        <v/>
      </c>
      <c r="AR102">
        <f>AND(OR(I102&lt;&gt;"",X102&lt;&gt;""),B102="No")</f>
        <v/>
      </c>
      <c r="AS102">
        <f>AND(N102&lt;&gt;"",S102&lt;&gt;"",B102="No")</f>
        <v/>
      </c>
      <c r="AT102">
        <f>AND(OR(N102&lt;&gt;"",S102&lt;&gt;""),B102="No")</f>
        <v/>
      </c>
      <c r="AU102">
        <f>AND(N102&lt;&gt;"",X102&lt;&gt;"",B102="No")</f>
        <v/>
      </c>
      <c r="AV102">
        <f>AND(OR(N102&lt;&gt;"",X102&lt;&gt;""),B102="No")</f>
        <v/>
      </c>
      <c r="AW102">
        <f>AND(S102&lt;&gt;"",X102&lt;&gt;"",B102="No")</f>
        <v/>
      </c>
      <c r="AX102">
        <f>AND(OR(S102&lt;&gt;"",X102&lt;&gt;""),B102="No")</f>
        <v/>
      </c>
    </row>
    <row r="103">
      <c r="A103" s="44" t="inlineStr">
        <is>
          <t>L0_iii.7.2</t>
        </is>
      </c>
      <c r="B103" s="47" t="inlineStr">
        <is>
          <t>Yes</t>
        </is>
      </c>
      <c r="C103" t="inlineStr">
        <is>
          <t>Contextual misfit</t>
        </is>
      </c>
      <c r="D103" s="34" t="n"/>
      <c r="E103" s="35" t="n"/>
      <c r="F103" s="35" t="n"/>
      <c r="G103" s="35" t="inlineStr">
        <is>
          <t>X</t>
        </is>
      </c>
      <c r="H103" s="35" t="n"/>
      <c r="I103" s="37">
        <f>IF(COUNTA(E103:H103)&gt;0,"X","")</f>
        <v/>
      </c>
      <c r="J103" s="35" t="n"/>
      <c r="K103" s="35" t="n"/>
      <c r="L103" s="35" t="n"/>
      <c r="M103" s="35" t="n"/>
      <c r="N103" s="37">
        <f>IF(COUNTA(J103:M103)&gt;0,"X","")</f>
        <v/>
      </c>
      <c r="O103" s="35" t="n"/>
      <c r="P103" s="35" t="n"/>
      <c r="Q103" s="35" t="n"/>
      <c r="R103" s="35" t="n"/>
      <c r="S103" s="37">
        <f>IF(COUNTA(O103:R103)&gt;0,"X","")</f>
        <v/>
      </c>
      <c r="T103" s="35" t="n"/>
      <c r="U103" s="35" t="n"/>
      <c r="V103" s="35" t="n"/>
      <c r="W103" s="35" t="n"/>
      <c r="X103" s="37">
        <f>IF(COUNTA(T103:W103)&gt;0,"X","")</f>
        <v/>
      </c>
      <c r="Z103">
        <f>AND(I103&lt;&gt;"",N103&lt;&gt;"")</f>
        <v/>
      </c>
      <c r="AA103">
        <f>OR(I103&lt;&gt;"",N103&lt;&gt;"")</f>
        <v/>
      </c>
      <c r="AB103">
        <f>AND(I103&lt;&gt;"",S103&lt;&gt;"")</f>
        <v/>
      </c>
      <c r="AC103">
        <f>OR(I103&lt;&gt;"",S103&lt;&gt;"")</f>
        <v/>
      </c>
      <c r="AD103">
        <f>AND(I103&lt;&gt;"",X103&lt;&gt;"")</f>
        <v/>
      </c>
      <c r="AE103">
        <f>OR(I103&lt;&gt;"",X103&lt;&gt;"")</f>
        <v/>
      </c>
      <c r="AF103">
        <f>AND(N103&lt;&gt;"",S103&lt;&gt;"")</f>
        <v/>
      </c>
      <c r="AG103">
        <f>OR(N103&lt;&gt;"",S103&lt;&gt;"")</f>
        <v/>
      </c>
      <c r="AH103">
        <f>AND(N103&lt;&gt;"",X103&lt;&gt;"")</f>
        <v/>
      </c>
      <c r="AI103">
        <f>OR(N103&lt;&gt;"",X103&lt;&gt;"")</f>
        <v/>
      </c>
      <c r="AJ103">
        <f>AND(S103&lt;&gt;"",X103&lt;&gt;"")</f>
        <v/>
      </c>
      <c r="AK103">
        <f>OR(S103&lt;&gt;"",X103&lt;&gt;"")</f>
        <v/>
      </c>
      <c r="AM103">
        <f>AND(I103&lt;&gt;"",N103&lt;&gt;"",B103="No")</f>
        <v/>
      </c>
      <c r="AN103">
        <f>AND(OR(I103&lt;&gt;"",N103&lt;&gt;""),B103="No")</f>
        <v/>
      </c>
      <c r="AO103">
        <f>AND(I103&lt;&gt;"",S103&lt;&gt;"",B103="No")</f>
        <v/>
      </c>
      <c r="AP103">
        <f>AND(OR(I103&lt;&gt;"",S103&lt;&gt;""),B103="No")</f>
        <v/>
      </c>
      <c r="AQ103">
        <f>AND(I103&lt;&gt;"",X103&lt;&gt;"",B103="No")</f>
        <v/>
      </c>
      <c r="AR103">
        <f>AND(OR(I103&lt;&gt;"",X103&lt;&gt;""),B103="No")</f>
        <v/>
      </c>
      <c r="AS103">
        <f>AND(N103&lt;&gt;"",S103&lt;&gt;"",B103="No")</f>
        <v/>
      </c>
      <c r="AT103">
        <f>AND(OR(N103&lt;&gt;"",S103&lt;&gt;""),B103="No")</f>
        <v/>
      </c>
      <c r="AU103">
        <f>AND(N103&lt;&gt;"",X103&lt;&gt;"",B103="No")</f>
        <v/>
      </c>
      <c r="AV103">
        <f>AND(OR(N103&lt;&gt;"",X103&lt;&gt;""),B103="No")</f>
        <v/>
      </c>
      <c r="AW103">
        <f>AND(S103&lt;&gt;"",X103&lt;&gt;"",B103="No")</f>
        <v/>
      </c>
      <c r="AX103">
        <f>AND(OR(S103&lt;&gt;"",X103&lt;&gt;""),B103="No")</f>
        <v/>
      </c>
    </row>
    <row r="104">
      <c r="A104" s="44" t="inlineStr">
        <is>
          <t>L0_iii.7.5; M0_ii.7.4</t>
        </is>
      </c>
      <c r="B104" s="47" t="inlineStr">
        <is>
          <t>Yes</t>
        </is>
      </c>
      <c r="C104" t="inlineStr">
        <is>
          <t>Contextual misfit</t>
        </is>
      </c>
      <c r="D104" s="34" t="n"/>
      <c r="E104" s="35" t="n"/>
      <c r="F104" s="35" t="n"/>
      <c r="G104" s="35" t="inlineStr">
        <is>
          <t>X</t>
        </is>
      </c>
      <c r="H104" s="35" t="n"/>
      <c r="I104" s="37">
        <f>IF(COUNTA(E104:H104)&gt;0,"X","")</f>
        <v/>
      </c>
      <c r="J104" s="35" t="n"/>
      <c r="K104" s="35" t="n"/>
      <c r="L104" s="35" t="n"/>
      <c r="M104" s="35" t="n"/>
      <c r="N104" s="37">
        <f>IF(COUNTA(J104:M104)&gt;0,"X","")</f>
        <v/>
      </c>
      <c r="O104" s="35" t="n"/>
      <c r="P104" s="35" t="inlineStr">
        <is>
          <t>X</t>
        </is>
      </c>
      <c r="Q104" s="35" t="n"/>
      <c r="R104" s="35" t="n"/>
      <c r="S104" s="37">
        <f>IF(COUNTA(O104:R104)&gt;0,"X","")</f>
        <v/>
      </c>
      <c r="T104" s="35" t="n"/>
      <c r="U104" s="35" t="n"/>
      <c r="V104" s="35" t="n"/>
      <c r="W104" s="35" t="n"/>
      <c r="X104" s="37">
        <f>IF(COUNTA(T104:W104)&gt;0,"X","")</f>
        <v/>
      </c>
      <c r="Z104">
        <f>AND(I104&lt;&gt;"",N104&lt;&gt;"")</f>
        <v/>
      </c>
      <c r="AA104">
        <f>OR(I104&lt;&gt;"",N104&lt;&gt;"")</f>
        <v/>
      </c>
      <c r="AB104">
        <f>AND(I104&lt;&gt;"",S104&lt;&gt;"")</f>
        <v/>
      </c>
      <c r="AC104">
        <f>OR(I104&lt;&gt;"",S104&lt;&gt;"")</f>
        <v/>
      </c>
      <c r="AD104">
        <f>AND(I104&lt;&gt;"",X104&lt;&gt;"")</f>
        <v/>
      </c>
      <c r="AE104">
        <f>OR(I104&lt;&gt;"",X104&lt;&gt;"")</f>
        <v/>
      </c>
      <c r="AF104">
        <f>AND(N104&lt;&gt;"",S104&lt;&gt;"")</f>
        <v/>
      </c>
      <c r="AG104">
        <f>OR(N104&lt;&gt;"",S104&lt;&gt;"")</f>
        <v/>
      </c>
      <c r="AH104">
        <f>AND(N104&lt;&gt;"",X104&lt;&gt;"")</f>
        <v/>
      </c>
      <c r="AI104">
        <f>OR(N104&lt;&gt;"",X104&lt;&gt;"")</f>
        <v/>
      </c>
      <c r="AJ104">
        <f>AND(S104&lt;&gt;"",X104&lt;&gt;"")</f>
        <v/>
      </c>
      <c r="AK104">
        <f>OR(S104&lt;&gt;"",X104&lt;&gt;"")</f>
        <v/>
      </c>
      <c r="AM104">
        <f>AND(I104&lt;&gt;"",N104&lt;&gt;"",B104="No")</f>
        <v/>
      </c>
      <c r="AN104">
        <f>AND(OR(I104&lt;&gt;"",N104&lt;&gt;""),B104="No")</f>
        <v/>
      </c>
      <c r="AO104">
        <f>AND(I104&lt;&gt;"",S104&lt;&gt;"",B104="No")</f>
        <v/>
      </c>
      <c r="AP104">
        <f>AND(OR(I104&lt;&gt;"",S104&lt;&gt;""),B104="No")</f>
        <v/>
      </c>
      <c r="AQ104">
        <f>AND(I104&lt;&gt;"",X104&lt;&gt;"",B104="No")</f>
        <v/>
      </c>
      <c r="AR104">
        <f>AND(OR(I104&lt;&gt;"",X104&lt;&gt;""),B104="No")</f>
        <v/>
      </c>
      <c r="AS104">
        <f>AND(N104&lt;&gt;"",S104&lt;&gt;"",B104="No")</f>
        <v/>
      </c>
      <c r="AT104">
        <f>AND(OR(N104&lt;&gt;"",S104&lt;&gt;""),B104="No")</f>
        <v/>
      </c>
      <c r="AU104">
        <f>AND(N104&lt;&gt;"",X104&lt;&gt;"",B104="No")</f>
        <v/>
      </c>
      <c r="AV104">
        <f>AND(OR(N104&lt;&gt;"",X104&lt;&gt;""),B104="No")</f>
        <v/>
      </c>
      <c r="AW104">
        <f>AND(S104&lt;&gt;"",X104&lt;&gt;"",B104="No")</f>
        <v/>
      </c>
      <c r="AX104">
        <f>AND(OR(S104&lt;&gt;"",X104&lt;&gt;""),B104="No")</f>
        <v/>
      </c>
    </row>
    <row r="105">
      <c r="A105" s="44" t="inlineStr">
        <is>
          <t>L0_iii.7.8; Q0_iii.7.4</t>
        </is>
      </c>
      <c r="B105" s="47" t="inlineStr">
        <is>
          <t>Yes</t>
        </is>
      </c>
      <c r="C105" t="inlineStr">
        <is>
          <t>Template drift</t>
        </is>
      </c>
      <c r="D105" s="34" t="n"/>
      <c r="E105" s="35" t="n"/>
      <c r="F105" s="35" t="n"/>
      <c r="G105" s="35" t="inlineStr">
        <is>
          <t>X</t>
        </is>
      </c>
      <c r="H105" s="35" t="n"/>
      <c r="I105" s="37">
        <f>IF(COUNTA(E105:H105)&gt;0,"X","")</f>
        <v/>
      </c>
      <c r="J105" s="35" t="n"/>
      <c r="K105" s="35" t="n"/>
      <c r="L105" s="35" t="inlineStr">
        <is>
          <t>X</t>
        </is>
      </c>
      <c r="M105" s="35" t="n"/>
      <c r="N105" s="37">
        <f>IF(COUNTA(J105:M105)&gt;0,"X","")</f>
        <v/>
      </c>
      <c r="O105" s="35" t="n"/>
      <c r="P105" s="35" t="n"/>
      <c r="Q105" s="35" t="n"/>
      <c r="R105" s="35" t="n"/>
      <c r="S105" s="37">
        <f>IF(COUNTA(O105:R105)&gt;0,"X","")</f>
        <v/>
      </c>
      <c r="T105" s="35" t="n"/>
      <c r="U105" s="35" t="n"/>
      <c r="V105" s="35" t="n"/>
      <c r="W105" s="35" t="n"/>
      <c r="X105" s="37">
        <f>IF(COUNTA(T105:W105)&gt;0,"X","")</f>
        <v/>
      </c>
      <c r="Z105">
        <f>AND(I105&lt;&gt;"",N105&lt;&gt;"")</f>
        <v/>
      </c>
      <c r="AA105">
        <f>OR(I105&lt;&gt;"",N105&lt;&gt;"")</f>
        <v/>
      </c>
      <c r="AB105">
        <f>AND(I105&lt;&gt;"",S105&lt;&gt;"")</f>
        <v/>
      </c>
      <c r="AC105">
        <f>OR(I105&lt;&gt;"",S105&lt;&gt;"")</f>
        <v/>
      </c>
      <c r="AD105">
        <f>AND(I105&lt;&gt;"",X105&lt;&gt;"")</f>
        <v/>
      </c>
      <c r="AE105">
        <f>OR(I105&lt;&gt;"",X105&lt;&gt;"")</f>
        <v/>
      </c>
      <c r="AF105">
        <f>AND(N105&lt;&gt;"",S105&lt;&gt;"")</f>
        <v/>
      </c>
      <c r="AG105">
        <f>OR(N105&lt;&gt;"",S105&lt;&gt;"")</f>
        <v/>
      </c>
      <c r="AH105">
        <f>AND(N105&lt;&gt;"",X105&lt;&gt;"")</f>
        <v/>
      </c>
      <c r="AI105">
        <f>OR(N105&lt;&gt;"",X105&lt;&gt;"")</f>
        <v/>
      </c>
      <c r="AJ105">
        <f>AND(S105&lt;&gt;"",X105&lt;&gt;"")</f>
        <v/>
      </c>
      <c r="AK105">
        <f>OR(S105&lt;&gt;"",X105&lt;&gt;"")</f>
        <v/>
      </c>
      <c r="AM105">
        <f>AND(I105&lt;&gt;"",N105&lt;&gt;"",B105="No")</f>
        <v/>
      </c>
      <c r="AN105">
        <f>AND(OR(I105&lt;&gt;"",N105&lt;&gt;""),B105="No")</f>
        <v/>
      </c>
      <c r="AO105">
        <f>AND(I105&lt;&gt;"",S105&lt;&gt;"",B105="No")</f>
        <v/>
      </c>
      <c r="AP105">
        <f>AND(OR(I105&lt;&gt;"",S105&lt;&gt;""),B105="No")</f>
        <v/>
      </c>
      <c r="AQ105">
        <f>AND(I105&lt;&gt;"",X105&lt;&gt;"",B105="No")</f>
        <v/>
      </c>
      <c r="AR105">
        <f>AND(OR(I105&lt;&gt;"",X105&lt;&gt;""),B105="No")</f>
        <v/>
      </c>
      <c r="AS105">
        <f>AND(N105&lt;&gt;"",S105&lt;&gt;"",B105="No")</f>
        <v/>
      </c>
      <c r="AT105">
        <f>AND(OR(N105&lt;&gt;"",S105&lt;&gt;""),B105="No")</f>
        <v/>
      </c>
      <c r="AU105">
        <f>AND(N105&lt;&gt;"",X105&lt;&gt;"",B105="No")</f>
        <v/>
      </c>
      <c r="AV105">
        <f>AND(OR(N105&lt;&gt;"",X105&lt;&gt;""),B105="No")</f>
        <v/>
      </c>
      <c r="AW105">
        <f>AND(S105&lt;&gt;"",X105&lt;&gt;"",B105="No")</f>
        <v/>
      </c>
      <c r="AX105">
        <f>AND(OR(S105&lt;&gt;"",X105&lt;&gt;""),B105="No")</f>
        <v/>
      </c>
    </row>
    <row r="106">
      <c r="A106" s="44" t="inlineStr">
        <is>
          <t>M0_ii.7.1</t>
        </is>
      </c>
      <c r="B106" s="47" t="inlineStr">
        <is>
          <t>Yes</t>
        </is>
      </c>
      <c r="C106" t="inlineStr">
        <is>
          <t>Architectural infeasibility</t>
        </is>
      </c>
      <c r="D106" s="34" t="n"/>
      <c r="E106" s="35" t="n"/>
      <c r="F106" s="35" t="n"/>
      <c r="G106" s="35" t="n"/>
      <c r="H106" s="35" t="n"/>
      <c r="I106" s="37">
        <f>IF(COUNTA(E106:H106)&gt;0,"X","")</f>
        <v/>
      </c>
      <c r="J106" s="35" t="n"/>
      <c r="K106" s="35" t="n"/>
      <c r="L106" s="35" t="n"/>
      <c r="M106" s="35" t="n"/>
      <c r="N106" s="37">
        <f>IF(COUNTA(J106:M106)&gt;0,"X","")</f>
        <v/>
      </c>
      <c r="O106" s="35" t="n"/>
      <c r="P106" s="35" t="inlineStr">
        <is>
          <t>X</t>
        </is>
      </c>
      <c r="Q106" s="35" t="n"/>
      <c r="R106" s="35" t="n"/>
      <c r="S106" s="37">
        <f>IF(COUNTA(O106:R106)&gt;0,"X","")</f>
        <v/>
      </c>
      <c r="T106" s="35" t="n"/>
      <c r="U106" s="35" t="n"/>
      <c r="V106" s="35" t="n"/>
      <c r="W106" s="35" t="n"/>
      <c r="X106" s="37">
        <f>IF(COUNTA(T106:W106)&gt;0,"X","")</f>
        <v/>
      </c>
      <c r="Z106">
        <f>AND(I106&lt;&gt;"",N106&lt;&gt;"")</f>
        <v/>
      </c>
      <c r="AA106">
        <f>OR(I106&lt;&gt;"",N106&lt;&gt;"")</f>
        <v/>
      </c>
      <c r="AB106">
        <f>AND(I106&lt;&gt;"",S106&lt;&gt;"")</f>
        <v/>
      </c>
      <c r="AC106">
        <f>OR(I106&lt;&gt;"",S106&lt;&gt;"")</f>
        <v/>
      </c>
      <c r="AD106">
        <f>AND(I106&lt;&gt;"",X106&lt;&gt;"")</f>
        <v/>
      </c>
      <c r="AE106">
        <f>OR(I106&lt;&gt;"",X106&lt;&gt;"")</f>
        <v/>
      </c>
      <c r="AF106">
        <f>AND(N106&lt;&gt;"",S106&lt;&gt;"")</f>
        <v/>
      </c>
      <c r="AG106">
        <f>OR(N106&lt;&gt;"",S106&lt;&gt;"")</f>
        <v/>
      </c>
      <c r="AH106">
        <f>AND(N106&lt;&gt;"",X106&lt;&gt;"")</f>
        <v/>
      </c>
      <c r="AI106">
        <f>OR(N106&lt;&gt;"",X106&lt;&gt;"")</f>
        <v/>
      </c>
      <c r="AJ106">
        <f>AND(S106&lt;&gt;"",X106&lt;&gt;"")</f>
        <v/>
      </c>
      <c r="AK106">
        <f>OR(S106&lt;&gt;"",X106&lt;&gt;"")</f>
        <v/>
      </c>
      <c r="AM106">
        <f>AND(I106&lt;&gt;"",N106&lt;&gt;"",B106="No")</f>
        <v/>
      </c>
      <c r="AN106">
        <f>AND(OR(I106&lt;&gt;"",N106&lt;&gt;""),B106="No")</f>
        <v/>
      </c>
      <c r="AO106">
        <f>AND(I106&lt;&gt;"",S106&lt;&gt;"",B106="No")</f>
        <v/>
      </c>
      <c r="AP106">
        <f>AND(OR(I106&lt;&gt;"",S106&lt;&gt;""),B106="No")</f>
        <v/>
      </c>
      <c r="AQ106">
        <f>AND(I106&lt;&gt;"",X106&lt;&gt;"",B106="No")</f>
        <v/>
      </c>
      <c r="AR106">
        <f>AND(OR(I106&lt;&gt;"",X106&lt;&gt;""),B106="No")</f>
        <v/>
      </c>
      <c r="AS106">
        <f>AND(N106&lt;&gt;"",S106&lt;&gt;"",B106="No")</f>
        <v/>
      </c>
      <c r="AT106">
        <f>AND(OR(N106&lt;&gt;"",S106&lt;&gt;""),B106="No")</f>
        <v/>
      </c>
      <c r="AU106">
        <f>AND(N106&lt;&gt;"",X106&lt;&gt;"",B106="No")</f>
        <v/>
      </c>
      <c r="AV106">
        <f>AND(OR(N106&lt;&gt;"",X106&lt;&gt;""),B106="No")</f>
        <v/>
      </c>
      <c r="AW106">
        <f>AND(S106&lt;&gt;"",X106&lt;&gt;"",B106="No")</f>
        <v/>
      </c>
      <c r="AX106">
        <f>AND(OR(S106&lt;&gt;"",X106&lt;&gt;""),B106="No")</f>
        <v/>
      </c>
    </row>
    <row r="107">
      <c r="A107" s="44" t="inlineStr">
        <is>
          <t>M0_ii.7.5</t>
        </is>
      </c>
      <c r="B107" s="47" t="inlineStr">
        <is>
          <t>Yes</t>
        </is>
      </c>
      <c r="C107" t="inlineStr">
        <is>
          <t>Contextual misfit</t>
        </is>
      </c>
      <c r="D107" s="34" t="n"/>
      <c r="E107" s="35" t="n"/>
      <c r="F107" s="35" t="n"/>
      <c r="G107" s="35" t="n"/>
      <c r="H107" s="35" t="n"/>
      <c r="I107" s="37">
        <f>IF(COUNTA(E107:H107)&gt;0,"X","")</f>
        <v/>
      </c>
      <c r="J107" s="35" t="n"/>
      <c r="K107" s="35" t="n"/>
      <c r="L107" s="35" t="n"/>
      <c r="M107" s="35" t="n"/>
      <c r="N107" s="37">
        <f>IF(COUNTA(J107:M107)&gt;0,"X","")</f>
        <v/>
      </c>
      <c r="O107" s="35" t="n"/>
      <c r="P107" s="35" t="inlineStr">
        <is>
          <t>X</t>
        </is>
      </c>
      <c r="Q107" s="35" t="n"/>
      <c r="R107" s="35" t="n"/>
      <c r="S107" s="37">
        <f>IF(COUNTA(O107:R107)&gt;0,"X","")</f>
        <v/>
      </c>
      <c r="T107" s="35" t="n"/>
      <c r="U107" s="35" t="n"/>
      <c r="V107" s="35" t="n"/>
      <c r="W107" s="35" t="n"/>
      <c r="X107" s="37">
        <f>IF(COUNTA(T107:W107)&gt;0,"X","")</f>
        <v/>
      </c>
      <c r="Z107">
        <f>AND(I107&lt;&gt;"",N107&lt;&gt;"")</f>
        <v/>
      </c>
      <c r="AA107">
        <f>OR(I107&lt;&gt;"",N107&lt;&gt;"")</f>
        <v/>
      </c>
      <c r="AB107">
        <f>AND(I107&lt;&gt;"",S107&lt;&gt;"")</f>
        <v/>
      </c>
      <c r="AC107">
        <f>OR(I107&lt;&gt;"",S107&lt;&gt;"")</f>
        <v/>
      </c>
      <c r="AD107">
        <f>AND(I107&lt;&gt;"",X107&lt;&gt;"")</f>
        <v/>
      </c>
      <c r="AE107">
        <f>OR(I107&lt;&gt;"",X107&lt;&gt;"")</f>
        <v/>
      </c>
      <c r="AF107">
        <f>AND(N107&lt;&gt;"",S107&lt;&gt;"")</f>
        <v/>
      </c>
      <c r="AG107">
        <f>OR(N107&lt;&gt;"",S107&lt;&gt;"")</f>
        <v/>
      </c>
      <c r="AH107">
        <f>AND(N107&lt;&gt;"",X107&lt;&gt;"")</f>
        <v/>
      </c>
      <c r="AI107">
        <f>OR(N107&lt;&gt;"",X107&lt;&gt;"")</f>
        <v/>
      </c>
      <c r="AJ107">
        <f>AND(S107&lt;&gt;"",X107&lt;&gt;"")</f>
        <v/>
      </c>
      <c r="AK107">
        <f>OR(S107&lt;&gt;"",X107&lt;&gt;"")</f>
        <v/>
      </c>
      <c r="AM107">
        <f>AND(I107&lt;&gt;"",N107&lt;&gt;"",B107="No")</f>
        <v/>
      </c>
      <c r="AN107">
        <f>AND(OR(I107&lt;&gt;"",N107&lt;&gt;""),B107="No")</f>
        <v/>
      </c>
      <c r="AO107">
        <f>AND(I107&lt;&gt;"",S107&lt;&gt;"",B107="No")</f>
        <v/>
      </c>
      <c r="AP107">
        <f>AND(OR(I107&lt;&gt;"",S107&lt;&gt;""),B107="No")</f>
        <v/>
      </c>
      <c r="AQ107">
        <f>AND(I107&lt;&gt;"",X107&lt;&gt;"",B107="No")</f>
        <v/>
      </c>
      <c r="AR107">
        <f>AND(OR(I107&lt;&gt;"",X107&lt;&gt;""),B107="No")</f>
        <v/>
      </c>
      <c r="AS107">
        <f>AND(N107&lt;&gt;"",S107&lt;&gt;"",B107="No")</f>
        <v/>
      </c>
      <c r="AT107">
        <f>AND(OR(N107&lt;&gt;"",S107&lt;&gt;""),B107="No")</f>
        <v/>
      </c>
      <c r="AU107">
        <f>AND(N107&lt;&gt;"",X107&lt;&gt;"",B107="No")</f>
        <v/>
      </c>
      <c r="AV107">
        <f>AND(OR(N107&lt;&gt;"",X107&lt;&gt;""),B107="No")</f>
        <v/>
      </c>
      <c r="AW107">
        <f>AND(S107&lt;&gt;"",X107&lt;&gt;"",B107="No")</f>
        <v/>
      </c>
      <c r="AX107">
        <f>AND(OR(S107&lt;&gt;"",X107&lt;&gt;""),B107="No")</f>
        <v/>
      </c>
    </row>
    <row r="108">
      <c r="A108" s="44" t="inlineStr">
        <is>
          <t>M0_iv.7.3</t>
        </is>
      </c>
      <c r="B108" s="47" t="inlineStr">
        <is>
          <t>Yes</t>
        </is>
      </c>
      <c r="C108" t="inlineStr">
        <is>
          <t>Contextual misfit</t>
        </is>
      </c>
      <c r="D108" s="34" t="n"/>
      <c r="E108" s="35" t="n"/>
      <c r="F108" s="35" t="n"/>
      <c r="G108" s="35" t="n"/>
      <c r="H108" s="35" t="n"/>
      <c r="I108" s="37">
        <f>IF(COUNTA(E108:H108)&gt;0,"X","")</f>
        <v/>
      </c>
      <c r="J108" s="35" t="n"/>
      <c r="K108" s="35" t="n"/>
      <c r="L108" s="35" t="n"/>
      <c r="M108" s="35" t="n"/>
      <c r="N108" s="37">
        <f>IF(COUNTA(J108:M108)&gt;0,"X","")</f>
        <v/>
      </c>
      <c r="O108" s="35" t="n"/>
      <c r="P108" s="35" t="n"/>
      <c r="Q108" s="35" t="n"/>
      <c r="R108" s="35" t="inlineStr">
        <is>
          <t>X</t>
        </is>
      </c>
      <c r="S108" s="37">
        <f>IF(COUNTA(O108:R108)&gt;0,"X","")</f>
        <v/>
      </c>
      <c r="T108" s="35" t="n"/>
      <c r="U108" s="35" t="n"/>
      <c r="V108" s="35" t="n"/>
      <c r="W108" s="35" t="n"/>
      <c r="X108" s="37">
        <f>IF(COUNTA(T108:W108)&gt;0,"X","")</f>
        <v/>
      </c>
      <c r="Z108">
        <f>AND(I108&lt;&gt;"",N108&lt;&gt;"")</f>
        <v/>
      </c>
      <c r="AA108">
        <f>OR(I108&lt;&gt;"",N108&lt;&gt;"")</f>
        <v/>
      </c>
      <c r="AB108">
        <f>AND(I108&lt;&gt;"",S108&lt;&gt;"")</f>
        <v/>
      </c>
      <c r="AC108">
        <f>OR(I108&lt;&gt;"",S108&lt;&gt;"")</f>
        <v/>
      </c>
      <c r="AD108">
        <f>AND(I108&lt;&gt;"",X108&lt;&gt;"")</f>
        <v/>
      </c>
      <c r="AE108">
        <f>OR(I108&lt;&gt;"",X108&lt;&gt;"")</f>
        <v/>
      </c>
      <c r="AF108">
        <f>AND(N108&lt;&gt;"",S108&lt;&gt;"")</f>
        <v/>
      </c>
      <c r="AG108">
        <f>OR(N108&lt;&gt;"",S108&lt;&gt;"")</f>
        <v/>
      </c>
      <c r="AH108">
        <f>AND(N108&lt;&gt;"",X108&lt;&gt;"")</f>
        <v/>
      </c>
      <c r="AI108">
        <f>OR(N108&lt;&gt;"",X108&lt;&gt;"")</f>
        <v/>
      </c>
      <c r="AJ108">
        <f>AND(S108&lt;&gt;"",X108&lt;&gt;"")</f>
        <v/>
      </c>
      <c r="AK108">
        <f>OR(S108&lt;&gt;"",X108&lt;&gt;"")</f>
        <v/>
      </c>
      <c r="AM108">
        <f>AND(I108&lt;&gt;"",N108&lt;&gt;"",B108="No")</f>
        <v/>
      </c>
      <c r="AN108">
        <f>AND(OR(I108&lt;&gt;"",N108&lt;&gt;""),B108="No")</f>
        <v/>
      </c>
      <c r="AO108">
        <f>AND(I108&lt;&gt;"",S108&lt;&gt;"",B108="No")</f>
        <v/>
      </c>
      <c r="AP108">
        <f>AND(OR(I108&lt;&gt;"",S108&lt;&gt;""),B108="No")</f>
        <v/>
      </c>
      <c r="AQ108">
        <f>AND(I108&lt;&gt;"",X108&lt;&gt;"",B108="No")</f>
        <v/>
      </c>
      <c r="AR108">
        <f>AND(OR(I108&lt;&gt;"",X108&lt;&gt;""),B108="No")</f>
        <v/>
      </c>
      <c r="AS108">
        <f>AND(N108&lt;&gt;"",S108&lt;&gt;"",B108="No")</f>
        <v/>
      </c>
      <c r="AT108">
        <f>AND(OR(N108&lt;&gt;"",S108&lt;&gt;""),B108="No")</f>
        <v/>
      </c>
      <c r="AU108">
        <f>AND(N108&lt;&gt;"",X108&lt;&gt;"",B108="No")</f>
        <v/>
      </c>
      <c r="AV108">
        <f>AND(OR(N108&lt;&gt;"",X108&lt;&gt;""),B108="No")</f>
        <v/>
      </c>
      <c r="AW108">
        <f>AND(S108&lt;&gt;"",X108&lt;&gt;"",B108="No")</f>
        <v/>
      </c>
      <c r="AX108">
        <f>AND(OR(S108&lt;&gt;"",X108&lt;&gt;""),B108="No")</f>
        <v/>
      </c>
    </row>
    <row r="109">
      <c r="A109" s="44" t="inlineStr">
        <is>
          <t>M0_iv.7.5</t>
        </is>
      </c>
      <c r="B109" s="47" t="inlineStr">
        <is>
          <t>Yes</t>
        </is>
      </c>
      <c r="C109" t="inlineStr">
        <is>
          <t>Contextual misfit</t>
        </is>
      </c>
      <c r="D109" s="34" t="n"/>
      <c r="E109" s="35" t="n"/>
      <c r="F109" s="35" t="n"/>
      <c r="G109" s="35" t="n"/>
      <c r="H109" s="35" t="n"/>
      <c r="I109" s="37">
        <f>IF(COUNTA(E109:H109)&gt;0,"X","")</f>
        <v/>
      </c>
      <c r="J109" s="35" t="n"/>
      <c r="K109" s="35" t="n"/>
      <c r="L109" s="35" t="n"/>
      <c r="M109" s="35" t="n"/>
      <c r="N109" s="37">
        <f>IF(COUNTA(J109:M109)&gt;0,"X","")</f>
        <v/>
      </c>
      <c r="O109" s="35" t="n"/>
      <c r="P109" s="35" t="n"/>
      <c r="Q109" s="35" t="n"/>
      <c r="R109" s="35" t="inlineStr">
        <is>
          <t>X</t>
        </is>
      </c>
      <c r="S109" s="37">
        <f>IF(COUNTA(O109:R109)&gt;0,"X","")</f>
        <v/>
      </c>
      <c r="T109" s="35" t="n"/>
      <c r="U109" s="35" t="n"/>
      <c r="V109" s="35" t="n"/>
      <c r="W109" s="35" t="n"/>
      <c r="X109" s="37">
        <f>IF(COUNTA(T109:W109)&gt;0,"X","")</f>
        <v/>
      </c>
      <c r="Z109">
        <f>AND(I109&lt;&gt;"",N109&lt;&gt;"")</f>
        <v/>
      </c>
      <c r="AA109">
        <f>OR(I109&lt;&gt;"",N109&lt;&gt;"")</f>
        <v/>
      </c>
      <c r="AB109">
        <f>AND(I109&lt;&gt;"",S109&lt;&gt;"")</f>
        <v/>
      </c>
      <c r="AC109">
        <f>OR(I109&lt;&gt;"",S109&lt;&gt;"")</f>
        <v/>
      </c>
      <c r="AD109">
        <f>AND(I109&lt;&gt;"",X109&lt;&gt;"")</f>
        <v/>
      </c>
      <c r="AE109">
        <f>OR(I109&lt;&gt;"",X109&lt;&gt;"")</f>
        <v/>
      </c>
      <c r="AF109">
        <f>AND(N109&lt;&gt;"",S109&lt;&gt;"")</f>
        <v/>
      </c>
      <c r="AG109">
        <f>OR(N109&lt;&gt;"",S109&lt;&gt;"")</f>
        <v/>
      </c>
      <c r="AH109">
        <f>AND(N109&lt;&gt;"",X109&lt;&gt;"")</f>
        <v/>
      </c>
      <c r="AI109">
        <f>OR(N109&lt;&gt;"",X109&lt;&gt;"")</f>
        <v/>
      </c>
      <c r="AJ109">
        <f>AND(S109&lt;&gt;"",X109&lt;&gt;"")</f>
        <v/>
      </c>
      <c r="AK109">
        <f>OR(S109&lt;&gt;"",X109&lt;&gt;"")</f>
        <v/>
      </c>
      <c r="AM109">
        <f>AND(I109&lt;&gt;"",N109&lt;&gt;"",B109="No")</f>
        <v/>
      </c>
      <c r="AN109">
        <f>AND(OR(I109&lt;&gt;"",N109&lt;&gt;""),B109="No")</f>
        <v/>
      </c>
      <c r="AO109">
        <f>AND(I109&lt;&gt;"",S109&lt;&gt;"",B109="No")</f>
        <v/>
      </c>
      <c r="AP109">
        <f>AND(OR(I109&lt;&gt;"",S109&lt;&gt;""),B109="No")</f>
        <v/>
      </c>
      <c r="AQ109">
        <f>AND(I109&lt;&gt;"",X109&lt;&gt;"",B109="No")</f>
        <v/>
      </c>
      <c r="AR109">
        <f>AND(OR(I109&lt;&gt;"",X109&lt;&gt;""),B109="No")</f>
        <v/>
      </c>
      <c r="AS109">
        <f>AND(N109&lt;&gt;"",S109&lt;&gt;"",B109="No")</f>
        <v/>
      </c>
      <c r="AT109">
        <f>AND(OR(N109&lt;&gt;"",S109&lt;&gt;""),B109="No")</f>
        <v/>
      </c>
      <c r="AU109">
        <f>AND(N109&lt;&gt;"",X109&lt;&gt;"",B109="No")</f>
        <v/>
      </c>
      <c r="AV109">
        <f>AND(OR(N109&lt;&gt;"",X109&lt;&gt;""),B109="No")</f>
        <v/>
      </c>
      <c r="AW109">
        <f>AND(S109&lt;&gt;"",X109&lt;&gt;"",B109="No")</f>
        <v/>
      </c>
      <c r="AX109">
        <f>AND(OR(S109&lt;&gt;"",X109&lt;&gt;""),B109="No")</f>
        <v/>
      </c>
    </row>
    <row r="110">
      <c r="A110" s="44" t="inlineStr">
        <is>
          <t>Q0_iii.7.2</t>
        </is>
      </c>
      <c r="B110" s="47" t="inlineStr">
        <is>
          <t>Yes</t>
        </is>
      </c>
      <c r="C110" t="inlineStr">
        <is>
          <t>Contextual misfit</t>
        </is>
      </c>
      <c r="D110" s="34" t="n"/>
      <c r="E110" s="35" t="n"/>
      <c r="F110" s="35" t="n"/>
      <c r="G110" s="35" t="n"/>
      <c r="H110" s="35" t="n"/>
      <c r="I110" s="37">
        <f>IF(COUNTA(E110:H110)&gt;0,"X","")</f>
        <v/>
      </c>
      <c r="J110" s="35" t="n"/>
      <c r="K110" s="35" t="n"/>
      <c r="L110" s="35" t="inlineStr">
        <is>
          <t>X</t>
        </is>
      </c>
      <c r="M110" s="35" t="n"/>
      <c r="N110" s="37">
        <f>IF(COUNTA(J110:M110)&gt;0,"X","")</f>
        <v/>
      </c>
      <c r="O110" s="35" t="n"/>
      <c r="P110" s="35" t="n"/>
      <c r="Q110" s="35" t="n"/>
      <c r="R110" s="35" t="n"/>
      <c r="S110" s="37">
        <f>IF(COUNTA(O110:R110)&gt;0,"X","")</f>
        <v/>
      </c>
      <c r="T110" s="35" t="n"/>
      <c r="U110" s="35" t="n"/>
      <c r="V110" s="35" t="n"/>
      <c r="W110" s="35" t="n"/>
      <c r="X110" s="37">
        <f>IF(COUNTA(T110:W110)&gt;0,"X","")</f>
        <v/>
      </c>
      <c r="Z110">
        <f>AND(I110&lt;&gt;"",N110&lt;&gt;"")</f>
        <v/>
      </c>
      <c r="AA110">
        <f>OR(I110&lt;&gt;"",N110&lt;&gt;"")</f>
        <v/>
      </c>
      <c r="AB110">
        <f>AND(I110&lt;&gt;"",S110&lt;&gt;"")</f>
        <v/>
      </c>
      <c r="AC110">
        <f>OR(I110&lt;&gt;"",S110&lt;&gt;"")</f>
        <v/>
      </c>
      <c r="AD110">
        <f>AND(I110&lt;&gt;"",X110&lt;&gt;"")</f>
        <v/>
      </c>
      <c r="AE110">
        <f>OR(I110&lt;&gt;"",X110&lt;&gt;"")</f>
        <v/>
      </c>
      <c r="AF110">
        <f>AND(N110&lt;&gt;"",S110&lt;&gt;"")</f>
        <v/>
      </c>
      <c r="AG110">
        <f>OR(N110&lt;&gt;"",S110&lt;&gt;"")</f>
        <v/>
      </c>
      <c r="AH110">
        <f>AND(N110&lt;&gt;"",X110&lt;&gt;"")</f>
        <v/>
      </c>
      <c r="AI110">
        <f>OR(N110&lt;&gt;"",X110&lt;&gt;"")</f>
        <v/>
      </c>
      <c r="AJ110">
        <f>AND(S110&lt;&gt;"",X110&lt;&gt;"")</f>
        <v/>
      </c>
      <c r="AK110">
        <f>OR(S110&lt;&gt;"",X110&lt;&gt;"")</f>
        <v/>
      </c>
      <c r="AM110">
        <f>AND(I110&lt;&gt;"",N110&lt;&gt;"",B110="No")</f>
        <v/>
      </c>
      <c r="AN110">
        <f>AND(OR(I110&lt;&gt;"",N110&lt;&gt;""),B110="No")</f>
        <v/>
      </c>
      <c r="AO110">
        <f>AND(I110&lt;&gt;"",S110&lt;&gt;"",B110="No")</f>
        <v/>
      </c>
      <c r="AP110">
        <f>AND(OR(I110&lt;&gt;"",S110&lt;&gt;""),B110="No")</f>
        <v/>
      </c>
      <c r="AQ110">
        <f>AND(I110&lt;&gt;"",X110&lt;&gt;"",B110="No")</f>
        <v/>
      </c>
      <c r="AR110">
        <f>AND(OR(I110&lt;&gt;"",X110&lt;&gt;""),B110="No")</f>
        <v/>
      </c>
      <c r="AS110">
        <f>AND(N110&lt;&gt;"",S110&lt;&gt;"",B110="No")</f>
        <v/>
      </c>
      <c r="AT110">
        <f>AND(OR(N110&lt;&gt;"",S110&lt;&gt;""),B110="No")</f>
        <v/>
      </c>
      <c r="AU110">
        <f>AND(N110&lt;&gt;"",X110&lt;&gt;"",B110="No")</f>
        <v/>
      </c>
      <c r="AV110">
        <f>AND(OR(N110&lt;&gt;"",X110&lt;&gt;""),B110="No")</f>
        <v/>
      </c>
      <c r="AW110">
        <f>AND(S110&lt;&gt;"",X110&lt;&gt;"",B110="No")</f>
        <v/>
      </c>
      <c r="AX110">
        <f>AND(OR(S110&lt;&gt;"",X110&lt;&gt;""),B110="No")</f>
        <v/>
      </c>
    </row>
    <row r="111">
      <c r="A111" s="44" t="inlineStr">
        <is>
          <t>GS.8.1</t>
        </is>
      </c>
      <c r="B111" s="47" t="inlineStr">
        <is>
          <t>No</t>
        </is>
      </c>
      <c r="C111" s="47" t="n"/>
      <c r="D111" s="34" t="inlineStr">
        <is>
          <t>H.8.1</t>
        </is>
      </c>
      <c r="E111" s="27" t="inlineStr">
        <is>
          <t>X</t>
        </is>
      </c>
      <c r="F111" s="27" t="inlineStr">
        <is>
          <t>X</t>
        </is>
      </c>
      <c r="G111" s="27" t="inlineStr">
        <is>
          <t>X</t>
        </is>
      </c>
      <c r="H111" s="27" t="inlineStr">
        <is>
          <t>X</t>
        </is>
      </c>
      <c r="I111" s="37">
        <f>IF(COUNTA(E111:H111)&gt;0,"X","")</f>
        <v/>
      </c>
      <c r="J111" s="27" t="inlineStr">
        <is>
          <t>X</t>
        </is>
      </c>
      <c r="K111" s="27" t="inlineStr">
        <is>
          <t>X</t>
        </is>
      </c>
      <c r="L111" s="27" t="inlineStr">
        <is>
          <t>X</t>
        </is>
      </c>
      <c r="M111" s="27" t="inlineStr">
        <is>
          <t>X</t>
        </is>
      </c>
      <c r="N111" s="37">
        <f>IF(COUNTA(J111:M111)&gt;0,"X","")</f>
        <v/>
      </c>
      <c r="O111" s="27" t="inlineStr">
        <is>
          <t>X</t>
        </is>
      </c>
      <c r="P111" s="27" t="inlineStr">
        <is>
          <t>X</t>
        </is>
      </c>
      <c r="Q111" s="27" t="inlineStr">
        <is>
          <t>X</t>
        </is>
      </c>
      <c r="R111" s="27" t="inlineStr">
        <is>
          <t>X</t>
        </is>
      </c>
      <c r="S111" s="37">
        <f>IF(COUNTA(O111:R111)&gt;0,"X","")</f>
        <v/>
      </c>
      <c r="T111" s="27" t="inlineStr">
        <is>
          <t>X</t>
        </is>
      </c>
      <c r="U111" s="27" t="inlineStr">
        <is>
          <t>X</t>
        </is>
      </c>
      <c r="V111" s="27" t="inlineStr">
        <is>
          <t>X</t>
        </is>
      </c>
      <c r="W111" s="27" t="inlineStr">
        <is>
          <t>X</t>
        </is>
      </c>
      <c r="X111" s="37">
        <f>IF(COUNTA(T111:W111)&gt;0,"X","")</f>
        <v/>
      </c>
      <c r="Z111">
        <f>AND(I111&lt;&gt;"",N111&lt;&gt;"")</f>
        <v/>
      </c>
      <c r="AA111">
        <f>OR(I111&lt;&gt;"",N111&lt;&gt;"")</f>
        <v/>
      </c>
      <c r="AB111">
        <f>AND(I111&lt;&gt;"",S111&lt;&gt;"")</f>
        <v/>
      </c>
      <c r="AC111">
        <f>OR(I111&lt;&gt;"",S111&lt;&gt;"")</f>
        <v/>
      </c>
      <c r="AD111">
        <f>AND(I111&lt;&gt;"",X111&lt;&gt;"")</f>
        <v/>
      </c>
      <c r="AE111">
        <f>OR(I111&lt;&gt;"",X111&lt;&gt;"")</f>
        <v/>
      </c>
      <c r="AF111">
        <f>AND(N111&lt;&gt;"",S111&lt;&gt;"")</f>
        <v/>
      </c>
      <c r="AG111">
        <f>OR(N111&lt;&gt;"",S111&lt;&gt;"")</f>
        <v/>
      </c>
      <c r="AH111">
        <f>AND(N111&lt;&gt;"",X111&lt;&gt;"")</f>
        <v/>
      </c>
      <c r="AI111">
        <f>OR(N111&lt;&gt;"",X111&lt;&gt;"")</f>
        <v/>
      </c>
      <c r="AJ111">
        <f>AND(S111&lt;&gt;"",X111&lt;&gt;"")</f>
        <v/>
      </c>
      <c r="AK111">
        <f>OR(S111&lt;&gt;"",X111&lt;&gt;"")</f>
        <v/>
      </c>
      <c r="AM111">
        <f>AND(I111&lt;&gt;"",N111&lt;&gt;"",B111="No")</f>
        <v/>
      </c>
      <c r="AN111">
        <f>AND(OR(I111&lt;&gt;"",N111&lt;&gt;""),B111="No")</f>
        <v/>
      </c>
      <c r="AO111">
        <f>AND(I111&lt;&gt;"",S111&lt;&gt;"",B111="No")</f>
        <v/>
      </c>
      <c r="AP111">
        <f>AND(OR(I111&lt;&gt;"",S111&lt;&gt;""),B111="No")</f>
        <v/>
      </c>
      <c r="AQ111">
        <f>AND(I111&lt;&gt;"",X111&lt;&gt;"",B111="No")</f>
        <v/>
      </c>
      <c r="AR111">
        <f>AND(OR(I111&lt;&gt;"",X111&lt;&gt;""),B111="No")</f>
        <v/>
      </c>
      <c r="AS111">
        <f>AND(N111&lt;&gt;"",S111&lt;&gt;"",B111="No")</f>
        <v/>
      </c>
      <c r="AT111">
        <f>AND(OR(N111&lt;&gt;"",S111&lt;&gt;""),B111="No")</f>
        <v/>
      </c>
      <c r="AU111">
        <f>AND(N111&lt;&gt;"",X111&lt;&gt;"",B111="No")</f>
        <v/>
      </c>
      <c r="AV111">
        <f>AND(OR(N111&lt;&gt;"",X111&lt;&gt;""),B111="No")</f>
        <v/>
      </c>
      <c r="AW111">
        <f>AND(S111&lt;&gt;"",X111&lt;&gt;"",B111="No")</f>
        <v/>
      </c>
      <c r="AX111">
        <f>AND(OR(S111&lt;&gt;"",X111&lt;&gt;""),B111="No")</f>
        <v/>
      </c>
    </row>
    <row r="112">
      <c r="A112" s="44" t="inlineStr">
        <is>
          <t>GS.8.2</t>
        </is>
      </c>
      <c r="B112" s="47" t="inlineStr">
        <is>
          <t>No</t>
        </is>
      </c>
      <c r="C112" s="47" t="n"/>
      <c r="D112" s="34" t="n"/>
      <c r="E112" s="35" t="inlineStr">
        <is>
          <t>X</t>
        </is>
      </c>
      <c r="F112" s="35" t="inlineStr">
        <is>
          <t>X</t>
        </is>
      </c>
      <c r="G112" s="35" t="inlineStr">
        <is>
          <t>X</t>
        </is>
      </c>
      <c r="H112" s="35" t="inlineStr">
        <is>
          <t>X</t>
        </is>
      </c>
      <c r="I112" s="37">
        <f>IF(COUNTA(E112:H112)&gt;0,"X","")</f>
        <v/>
      </c>
      <c r="J112" s="35" t="n"/>
      <c r="K112" s="35" t="n"/>
      <c r="L112" s="35" t="n"/>
      <c r="M112" s="35" t="n"/>
      <c r="N112" s="37">
        <f>IF(COUNTA(J112:M112)&gt;0,"X","")</f>
        <v/>
      </c>
      <c r="O112" s="35" t="n"/>
      <c r="P112" s="35" t="n"/>
      <c r="Q112" s="35" t="n"/>
      <c r="R112" s="35" t="n"/>
      <c r="S112" s="37">
        <f>IF(COUNTA(O112:R112)&gt;0,"X","")</f>
        <v/>
      </c>
      <c r="T112" s="35" t="n"/>
      <c r="U112" s="35" t="n"/>
      <c r="V112" s="35" t="n"/>
      <c r="W112" s="35" t="n"/>
      <c r="X112" s="37">
        <f>IF(COUNTA(T112:W112)&gt;0,"X","")</f>
        <v/>
      </c>
      <c r="Z112">
        <f>AND(I112&lt;&gt;"",N112&lt;&gt;"")</f>
        <v/>
      </c>
      <c r="AA112">
        <f>OR(I112&lt;&gt;"",N112&lt;&gt;"")</f>
        <v/>
      </c>
      <c r="AB112">
        <f>AND(I112&lt;&gt;"",S112&lt;&gt;"")</f>
        <v/>
      </c>
      <c r="AC112">
        <f>OR(I112&lt;&gt;"",S112&lt;&gt;"")</f>
        <v/>
      </c>
      <c r="AD112">
        <f>AND(I112&lt;&gt;"",X112&lt;&gt;"")</f>
        <v/>
      </c>
      <c r="AE112">
        <f>OR(I112&lt;&gt;"",X112&lt;&gt;"")</f>
        <v/>
      </c>
      <c r="AF112">
        <f>AND(N112&lt;&gt;"",S112&lt;&gt;"")</f>
        <v/>
      </c>
      <c r="AG112">
        <f>OR(N112&lt;&gt;"",S112&lt;&gt;"")</f>
        <v/>
      </c>
      <c r="AH112">
        <f>AND(N112&lt;&gt;"",X112&lt;&gt;"")</f>
        <v/>
      </c>
      <c r="AI112">
        <f>OR(N112&lt;&gt;"",X112&lt;&gt;"")</f>
        <v/>
      </c>
      <c r="AJ112">
        <f>AND(S112&lt;&gt;"",X112&lt;&gt;"")</f>
        <v/>
      </c>
      <c r="AK112">
        <f>OR(S112&lt;&gt;"",X112&lt;&gt;"")</f>
        <v/>
      </c>
      <c r="AM112">
        <f>AND(I112&lt;&gt;"",N112&lt;&gt;"",B112="No")</f>
        <v/>
      </c>
      <c r="AN112">
        <f>AND(OR(I112&lt;&gt;"",N112&lt;&gt;""),B112="No")</f>
        <v/>
      </c>
      <c r="AO112">
        <f>AND(I112&lt;&gt;"",S112&lt;&gt;"",B112="No")</f>
        <v/>
      </c>
      <c r="AP112">
        <f>AND(OR(I112&lt;&gt;"",S112&lt;&gt;""),B112="No")</f>
        <v/>
      </c>
      <c r="AQ112">
        <f>AND(I112&lt;&gt;"",X112&lt;&gt;"",B112="No")</f>
        <v/>
      </c>
      <c r="AR112">
        <f>AND(OR(I112&lt;&gt;"",X112&lt;&gt;""),B112="No")</f>
        <v/>
      </c>
      <c r="AS112">
        <f>AND(N112&lt;&gt;"",S112&lt;&gt;"",B112="No")</f>
        <v/>
      </c>
      <c r="AT112">
        <f>AND(OR(N112&lt;&gt;"",S112&lt;&gt;""),B112="No")</f>
        <v/>
      </c>
      <c r="AU112">
        <f>AND(N112&lt;&gt;"",X112&lt;&gt;"",B112="No")</f>
        <v/>
      </c>
      <c r="AV112">
        <f>AND(OR(N112&lt;&gt;"",X112&lt;&gt;""),B112="No")</f>
        <v/>
      </c>
      <c r="AW112">
        <f>AND(S112&lt;&gt;"",X112&lt;&gt;"",B112="No")</f>
        <v/>
      </c>
      <c r="AX112">
        <f>AND(OR(S112&lt;&gt;"",X112&lt;&gt;""),B112="No")</f>
        <v/>
      </c>
    </row>
    <row r="113">
      <c r="A113" s="44" t="inlineStr">
        <is>
          <t>GS.8.3</t>
        </is>
      </c>
      <c r="B113" s="47" t="inlineStr">
        <is>
          <t>No</t>
        </is>
      </c>
      <c r="C113" s="47" t="n"/>
      <c r="D113" s="34" t="n"/>
      <c r="E113" s="35" t="n"/>
      <c r="F113" s="35" t="n"/>
      <c r="G113" s="35" t="n"/>
      <c r="H113" s="35" t="n"/>
      <c r="I113" s="37">
        <f>IF(COUNTA(E113:H113)&gt;0,"X","")</f>
        <v/>
      </c>
      <c r="J113" s="35" t="n"/>
      <c r="K113" s="35" t="n"/>
      <c r="L113" s="35" t="n"/>
      <c r="M113" s="35" t="n"/>
      <c r="N113" s="37">
        <f>IF(COUNTA(J113:M113)&gt;0,"X","")</f>
        <v/>
      </c>
      <c r="O113" s="35" t="n"/>
      <c r="P113" s="35" t="n"/>
      <c r="Q113" s="35" t="n"/>
      <c r="R113" s="35" t="n"/>
      <c r="S113" s="37">
        <f>IF(COUNTA(O113:R113)&gt;0,"X","")</f>
        <v/>
      </c>
      <c r="T113" s="35" t="n"/>
      <c r="U113" s="35" t="n"/>
      <c r="V113" s="35" t="n"/>
      <c r="W113" s="35" t="n"/>
      <c r="X113" s="37">
        <f>IF(COUNTA(T113:W113)&gt;0,"X","")</f>
        <v/>
      </c>
      <c r="Z113">
        <f>AND(I113&lt;&gt;"",N113&lt;&gt;"")</f>
        <v/>
      </c>
      <c r="AA113">
        <f>OR(I113&lt;&gt;"",N113&lt;&gt;"")</f>
        <v/>
      </c>
      <c r="AB113">
        <f>AND(I113&lt;&gt;"",S113&lt;&gt;"")</f>
        <v/>
      </c>
      <c r="AC113">
        <f>OR(I113&lt;&gt;"",S113&lt;&gt;"")</f>
        <v/>
      </c>
      <c r="AD113">
        <f>AND(I113&lt;&gt;"",X113&lt;&gt;"")</f>
        <v/>
      </c>
      <c r="AE113">
        <f>OR(I113&lt;&gt;"",X113&lt;&gt;"")</f>
        <v/>
      </c>
      <c r="AF113">
        <f>AND(N113&lt;&gt;"",S113&lt;&gt;"")</f>
        <v/>
      </c>
      <c r="AG113">
        <f>OR(N113&lt;&gt;"",S113&lt;&gt;"")</f>
        <v/>
      </c>
      <c r="AH113">
        <f>AND(N113&lt;&gt;"",X113&lt;&gt;"")</f>
        <v/>
      </c>
      <c r="AI113">
        <f>OR(N113&lt;&gt;"",X113&lt;&gt;"")</f>
        <v/>
      </c>
      <c r="AJ113">
        <f>AND(S113&lt;&gt;"",X113&lt;&gt;"")</f>
        <v/>
      </c>
      <c r="AK113">
        <f>OR(S113&lt;&gt;"",X113&lt;&gt;"")</f>
        <v/>
      </c>
      <c r="AM113">
        <f>AND(I113&lt;&gt;"",N113&lt;&gt;"",B113="No")</f>
        <v/>
      </c>
      <c r="AN113">
        <f>AND(OR(I113&lt;&gt;"",N113&lt;&gt;""),B113="No")</f>
        <v/>
      </c>
      <c r="AO113">
        <f>AND(I113&lt;&gt;"",S113&lt;&gt;"",B113="No")</f>
        <v/>
      </c>
      <c r="AP113">
        <f>AND(OR(I113&lt;&gt;"",S113&lt;&gt;""),B113="No")</f>
        <v/>
      </c>
      <c r="AQ113">
        <f>AND(I113&lt;&gt;"",X113&lt;&gt;"",B113="No")</f>
        <v/>
      </c>
      <c r="AR113">
        <f>AND(OR(I113&lt;&gt;"",X113&lt;&gt;""),B113="No")</f>
        <v/>
      </c>
      <c r="AS113">
        <f>AND(N113&lt;&gt;"",S113&lt;&gt;"",B113="No")</f>
        <v/>
      </c>
      <c r="AT113">
        <f>AND(OR(N113&lt;&gt;"",S113&lt;&gt;""),B113="No")</f>
        <v/>
      </c>
      <c r="AU113">
        <f>AND(N113&lt;&gt;"",X113&lt;&gt;"",B113="No")</f>
        <v/>
      </c>
      <c r="AV113">
        <f>AND(OR(N113&lt;&gt;"",X113&lt;&gt;""),B113="No")</f>
        <v/>
      </c>
      <c r="AW113">
        <f>AND(S113&lt;&gt;"",X113&lt;&gt;"",B113="No")</f>
        <v/>
      </c>
      <c r="AX113">
        <f>AND(OR(S113&lt;&gt;"",X113&lt;&gt;""),B113="No")</f>
        <v/>
      </c>
    </row>
    <row r="114">
      <c r="A114" s="44" t="inlineStr">
        <is>
          <t>L0_iii.8.5</t>
        </is>
      </c>
      <c r="B114" s="47" t="inlineStr">
        <is>
          <t>Yes</t>
        </is>
      </c>
      <c r="C114" t="inlineStr">
        <is>
          <t>Template drift</t>
        </is>
      </c>
      <c r="D114" s="34" t="n"/>
      <c r="E114" s="35" t="n"/>
      <c r="F114" s="35" t="n"/>
      <c r="G114" s="35" t="inlineStr">
        <is>
          <t>X</t>
        </is>
      </c>
      <c r="H114" s="35" t="n"/>
      <c r="I114" s="37">
        <f>IF(COUNTA(E114:H114)&gt;0,"X","")</f>
        <v/>
      </c>
      <c r="J114" s="35" t="n"/>
      <c r="K114" s="35" t="n"/>
      <c r="L114" s="35" t="n"/>
      <c r="M114" s="35" t="n"/>
      <c r="N114" s="37">
        <f>IF(COUNTA(J114:M114)&gt;0,"X","")</f>
        <v/>
      </c>
      <c r="O114" s="35" t="n"/>
      <c r="P114" s="35" t="n"/>
      <c r="Q114" s="35" t="n"/>
      <c r="R114" s="35" t="n"/>
      <c r="S114" s="37">
        <f>IF(COUNTA(O114:R114)&gt;0,"X","")</f>
        <v/>
      </c>
      <c r="T114" s="35" t="n"/>
      <c r="U114" s="35" t="n"/>
      <c r="V114" s="35" t="n"/>
      <c r="W114" s="35" t="n"/>
      <c r="X114" s="37">
        <f>IF(COUNTA(T114:W114)&gt;0,"X","")</f>
        <v/>
      </c>
      <c r="Z114">
        <f>AND(I114&lt;&gt;"",N114&lt;&gt;"")</f>
        <v/>
      </c>
      <c r="AA114">
        <f>OR(I114&lt;&gt;"",N114&lt;&gt;"")</f>
        <v/>
      </c>
      <c r="AB114">
        <f>AND(I114&lt;&gt;"",S114&lt;&gt;"")</f>
        <v/>
      </c>
      <c r="AC114">
        <f>OR(I114&lt;&gt;"",S114&lt;&gt;"")</f>
        <v/>
      </c>
      <c r="AD114">
        <f>AND(I114&lt;&gt;"",X114&lt;&gt;"")</f>
        <v/>
      </c>
      <c r="AE114">
        <f>OR(I114&lt;&gt;"",X114&lt;&gt;"")</f>
        <v/>
      </c>
      <c r="AF114">
        <f>AND(N114&lt;&gt;"",S114&lt;&gt;"")</f>
        <v/>
      </c>
      <c r="AG114">
        <f>OR(N114&lt;&gt;"",S114&lt;&gt;"")</f>
        <v/>
      </c>
      <c r="AH114">
        <f>AND(N114&lt;&gt;"",X114&lt;&gt;"")</f>
        <v/>
      </c>
      <c r="AI114">
        <f>OR(N114&lt;&gt;"",X114&lt;&gt;"")</f>
        <v/>
      </c>
      <c r="AJ114">
        <f>AND(S114&lt;&gt;"",X114&lt;&gt;"")</f>
        <v/>
      </c>
      <c r="AK114">
        <f>OR(S114&lt;&gt;"",X114&lt;&gt;"")</f>
        <v/>
      </c>
      <c r="AM114">
        <f>AND(I114&lt;&gt;"",N114&lt;&gt;"",B114="No")</f>
        <v/>
      </c>
      <c r="AN114">
        <f>AND(OR(I114&lt;&gt;"",N114&lt;&gt;""),B114="No")</f>
        <v/>
      </c>
      <c r="AO114">
        <f>AND(I114&lt;&gt;"",S114&lt;&gt;"",B114="No")</f>
        <v/>
      </c>
      <c r="AP114">
        <f>AND(OR(I114&lt;&gt;"",S114&lt;&gt;""),B114="No")</f>
        <v/>
      </c>
      <c r="AQ114">
        <f>AND(I114&lt;&gt;"",X114&lt;&gt;"",B114="No")</f>
        <v/>
      </c>
      <c r="AR114">
        <f>AND(OR(I114&lt;&gt;"",X114&lt;&gt;""),B114="No")</f>
        <v/>
      </c>
      <c r="AS114">
        <f>AND(N114&lt;&gt;"",S114&lt;&gt;"",B114="No")</f>
        <v/>
      </c>
      <c r="AT114">
        <f>AND(OR(N114&lt;&gt;"",S114&lt;&gt;""),B114="No")</f>
        <v/>
      </c>
      <c r="AU114">
        <f>AND(N114&lt;&gt;"",X114&lt;&gt;"",B114="No")</f>
        <v/>
      </c>
      <c r="AV114">
        <f>AND(OR(N114&lt;&gt;"",X114&lt;&gt;""),B114="No")</f>
        <v/>
      </c>
      <c r="AW114">
        <f>AND(S114&lt;&gt;"",X114&lt;&gt;"",B114="No")</f>
        <v/>
      </c>
      <c r="AX114">
        <f>AND(OR(S114&lt;&gt;"",X114&lt;&gt;""),B114="No")</f>
        <v/>
      </c>
    </row>
    <row r="115">
      <c r="A115" s="44" t="inlineStr">
        <is>
          <t>M0_ii.8.2; M0_iii.8.1</t>
        </is>
      </c>
      <c r="B115" s="47" t="inlineStr">
        <is>
          <t>Yes</t>
        </is>
      </c>
      <c r="C115" t="inlineStr">
        <is>
          <t>Architectural infeasibility</t>
        </is>
      </c>
      <c r="D115" s="34" t="n"/>
      <c r="E115" s="35" t="n"/>
      <c r="F115" s="35" t="n"/>
      <c r="G115" s="35" t="n"/>
      <c r="H115" s="35" t="n"/>
      <c r="I115" s="37">
        <f>IF(COUNTA(E115:H115)&gt;0,"X","")</f>
        <v/>
      </c>
      <c r="J115" s="35" t="n"/>
      <c r="K115" s="35" t="n"/>
      <c r="L115" s="35" t="n"/>
      <c r="M115" s="35" t="n"/>
      <c r="N115" s="37">
        <f>IF(COUNTA(J115:M115)&gt;0,"X","")</f>
        <v/>
      </c>
      <c r="O115" s="35" t="n"/>
      <c r="P115" s="35" t="inlineStr">
        <is>
          <t>X</t>
        </is>
      </c>
      <c r="Q115" s="35" t="inlineStr">
        <is>
          <t>X</t>
        </is>
      </c>
      <c r="R115" s="35" t="n"/>
      <c r="S115" s="37">
        <f>IF(COUNTA(O115:R115)&gt;0,"X","")</f>
        <v/>
      </c>
      <c r="T115" s="35" t="n"/>
      <c r="U115" s="35" t="n"/>
      <c r="V115" s="35" t="n"/>
      <c r="W115" s="35" t="n"/>
      <c r="X115" s="37">
        <f>IF(COUNTA(T115:W115)&gt;0,"X","")</f>
        <v/>
      </c>
      <c r="Z115">
        <f>AND(I115&lt;&gt;"",N115&lt;&gt;"")</f>
        <v/>
      </c>
      <c r="AA115">
        <f>OR(I115&lt;&gt;"",N115&lt;&gt;"")</f>
        <v/>
      </c>
      <c r="AB115">
        <f>AND(I115&lt;&gt;"",S115&lt;&gt;"")</f>
        <v/>
      </c>
      <c r="AC115">
        <f>OR(I115&lt;&gt;"",S115&lt;&gt;"")</f>
        <v/>
      </c>
      <c r="AD115">
        <f>AND(I115&lt;&gt;"",X115&lt;&gt;"")</f>
        <v/>
      </c>
      <c r="AE115">
        <f>OR(I115&lt;&gt;"",X115&lt;&gt;"")</f>
        <v/>
      </c>
      <c r="AF115">
        <f>AND(N115&lt;&gt;"",S115&lt;&gt;"")</f>
        <v/>
      </c>
      <c r="AG115">
        <f>OR(N115&lt;&gt;"",S115&lt;&gt;"")</f>
        <v/>
      </c>
      <c r="AH115">
        <f>AND(N115&lt;&gt;"",X115&lt;&gt;"")</f>
        <v/>
      </c>
      <c r="AI115">
        <f>OR(N115&lt;&gt;"",X115&lt;&gt;"")</f>
        <v/>
      </c>
      <c r="AJ115">
        <f>AND(S115&lt;&gt;"",X115&lt;&gt;"")</f>
        <v/>
      </c>
      <c r="AK115">
        <f>OR(S115&lt;&gt;"",X115&lt;&gt;"")</f>
        <v/>
      </c>
      <c r="AM115">
        <f>AND(I115&lt;&gt;"",N115&lt;&gt;"",B115="No")</f>
        <v/>
      </c>
      <c r="AN115">
        <f>AND(OR(I115&lt;&gt;"",N115&lt;&gt;""),B115="No")</f>
        <v/>
      </c>
      <c r="AO115">
        <f>AND(I115&lt;&gt;"",S115&lt;&gt;"",B115="No")</f>
        <v/>
      </c>
      <c r="AP115">
        <f>AND(OR(I115&lt;&gt;"",S115&lt;&gt;""),B115="No")</f>
        <v/>
      </c>
      <c r="AQ115">
        <f>AND(I115&lt;&gt;"",X115&lt;&gt;"",B115="No")</f>
        <v/>
      </c>
      <c r="AR115">
        <f>AND(OR(I115&lt;&gt;"",X115&lt;&gt;""),B115="No")</f>
        <v/>
      </c>
      <c r="AS115">
        <f>AND(N115&lt;&gt;"",S115&lt;&gt;"",B115="No")</f>
        <v/>
      </c>
      <c r="AT115">
        <f>AND(OR(N115&lt;&gt;"",S115&lt;&gt;""),B115="No")</f>
        <v/>
      </c>
      <c r="AU115">
        <f>AND(N115&lt;&gt;"",X115&lt;&gt;"",B115="No")</f>
        <v/>
      </c>
      <c r="AV115">
        <f>AND(OR(N115&lt;&gt;"",X115&lt;&gt;""),B115="No")</f>
        <v/>
      </c>
      <c r="AW115">
        <f>AND(S115&lt;&gt;"",X115&lt;&gt;"",B115="No")</f>
        <v/>
      </c>
      <c r="AX115">
        <f>AND(OR(S115&lt;&gt;"",X115&lt;&gt;""),B115="No")</f>
        <v/>
      </c>
    </row>
    <row r="116">
      <c r="A116" s="44" t="inlineStr">
        <is>
          <t>M0_ii.8.3</t>
        </is>
      </c>
      <c r="B116" s="47" t="inlineStr">
        <is>
          <t>Yes</t>
        </is>
      </c>
      <c r="C116" t="inlineStr">
        <is>
          <t>Architectural infeasibility</t>
        </is>
      </c>
      <c r="D116" s="34" t="n"/>
      <c r="E116" s="35" t="n"/>
      <c r="F116" s="35" t="n"/>
      <c r="G116" s="35" t="n"/>
      <c r="H116" s="35" t="n"/>
      <c r="I116" s="37">
        <f>IF(COUNTA(E116:H116)&gt;0,"X","")</f>
        <v/>
      </c>
      <c r="J116" s="35" t="n"/>
      <c r="K116" s="35" t="n"/>
      <c r="L116" s="35" t="n"/>
      <c r="M116" s="35" t="n"/>
      <c r="N116" s="37">
        <f>IF(COUNTA(J116:M116)&gt;0,"X","")</f>
        <v/>
      </c>
      <c r="O116" s="35" t="n"/>
      <c r="P116" s="35" t="inlineStr">
        <is>
          <t>X</t>
        </is>
      </c>
      <c r="Q116" s="35" t="n"/>
      <c r="R116" s="35" t="n"/>
      <c r="S116" s="37">
        <f>IF(COUNTA(O116:R116)&gt;0,"X","")</f>
        <v/>
      </c>
      <c r="T116" s="35" t="n"/>
      <c r="U116" s="35" t="n"/>
      <c r="V116" s="35" t="n"/>
      <c r="W116" s="35" t="n"/>
      <c r="X116" s="37">
        <f>IF(COUNTA(T116:W116)&gt;0,"X","")</f>
        <v/>
      </c>
      <c r="Z116">
        <f>AND(I116&lt;&gt;"",N116&lt;&gt;"")</f>
        <v/>
      </c>
      <c r="AA116">
        <f>OR(I116&lt;&gt;"",N116&lt;&gt;"")</f>
        <v/>
      </c>
      <c r="AB116">
        <f>AND(I116&lt;&gt;"",S116&lt;&gt;"")</f>
        <v/>
      </c>
      <c r="AC116">
        <f>OR(I116&lt;&gt;"",S116&lt;&gt;"")</f>
        <v/>
      </c>
      <c r="AD116">
        <f>AND(I116&lt;&gt;"",X116&lt;&gt;"")</f>
        <v/>
      </c>
      <c r="AE116">
        <f>OR(I116&lt;&gt;"",X116&lt;&gt;"")</f>
        <v/>
      </c>
      <c r="AF116">
        <f>AND(N116&lt;&gt;"",S116&lt;&gt;"")</f>
        <v/>
      </c>
      <c r="AG116">
        <f>OR(N116&lt;&gt;"",S116&lt;&gt;"")</f>
        <v/>
      </c>
      <c r="AH116">
        <f>AND(N116&lt;&gt;"",X116&lt;&gt;"")</f>
        <v/>
      </c>
      <c r="AI116">
        <f>OR(N116&lt;&gt;"",X116&lt;&gt;"")</f>
        <v/>
      </c>
      <c r="AJ116">
        <f>AND(S116&lt;&gt;"",X116&lt;&gt;"")</f>
        <v/>
      </c>
      <c r="AK116">
        <f>OR(S116&lt;&gt;"",X116&lt;&gt;"")</f>
        <v/>
      </c>
      <c r="AM116">
        <f>AND(I116&lt;&gt;"",N116&lt;&gt;"",B116="No")</f>
        <v/>
      </c>
      <c r="AN116">
        <f>AND(OR(I116&lt;&gt;"",N116&lt;&gt;""),B116="No")</f>
        <v/>
      </c>
      <c r="AO116">
        <f>AND(I116&lt;&gt;"",S116&lt;&gt;"",B116="No")</f>
        <v/>
      </c>
      <c r="AP116">
        <f>AND(OR(I116&lt;&gt;"",S116&lt;&gt;""),B116="No")</f>
        <v/>
      </c>
      <c r="AQ116">
        <f>AND(I116&lt;&gt;"",X116&lt;&gt;"",B116="No")</f>
        <v/>
      </c>
      <c r="AR116">
        <f>AND(OR(I116&lt;&gt;"",X116&lt;&gt;""),B116="No")</f>
        <v/>
      </c>
      <c r="AS116">
        <f>AND(N116&lt;&gt;"",S116&lt;&gt;"",B116="No")</f>
        <v/>
      </c>
      <c r="AT116">
        <f>AND(OR(N116&lt;&gt;"",S116&lt;&gt;""),B116="No")</f>
        <v/>
      </c>
      <c r="AU116">
        <f>AND(N116&lt;&gt;"",X116&lt;&gt;"",B116="No")</f>
        <v/>
      </c>
      <c r="AV116">
        <f>AND(OR(N116&lt;&gt;"",X116&lt;&gt;""),B116="No")</f>
        <v/>
      </c>
      <c r="AW116">
        <f>AND(S116&lt;&gt;"",X116&lt;&gt;"",B116="No")</f>
        <v/>
      </c>
      <c r="AX116">
        <f>AND(OR(S116&lt;&gt;"",X116&lt;&gt;""),B116="No")</f>
        <v/>
      </c>
    </row>
    <row r="117">
      <c r="A117" s="44" t="inlineStr">
        <is>
          <t>M0_ii.8.4</t>
        </is>
      </c>
      <c r="B117" s="47" t="inlineStr">
        <is>
          <t>Yes</t>
        </is>
      </c>
      <c r="C117" t="inlineStr">
        <is>
          <t>Architectural infeasibility</t>
        </is>
      </c>
      <c r="D117" s="34" t="n"/>
      <c r="E117" s="35" t="n"/>
      <c r="F117" s="35" t="n"/>
      <c r="G117" s="35" t="n"/>
      <c r="H117" s="35" t="n"/>
      <c r="I117" s="37">
        <f>IF(COUNTA(E117:H117)&gt;0,"X","")</f>
        <v/>
      </c>
      <c r="J117" s="35" t="n"/>
      <c r="K117" s="35" t="n"/>
      <c r="L117" s="35" t="n"/>
      <c r="M117" s="35" t="n"/>
      <c r="N117" s="37">
        <f>IF(COUNTA(J117:M117)&gt;0,"X","")</f>
        <v/>
      </c>
      <c r="O117" s="35" t="n"/>
      <c r="P117" s="35" t="inlineStr">
        <is>
          <t>X</t>
        </is>
      </c>
      <c r="Q117" s="35" t="n"/>
      <c r="R117" s="35" t="n"/>
      <c r="S117" s="37">
        <f>IF(COUNTA(O117:R117)&gt;0,"X","")</f>
        <v/>
      </c>
      <c r="T117" s="35" t="n"/>
      <c r="U117" s="35" t="n"/>
      <c r="V117" s="35" t="n"/>
      <c r="W117" s="35" t="n"/>
      <c r="X117" s="37">
        <f>IF(COUNTA(T117:W117)&gt;0,"X","")</f>
        <v/>
      </c>
      <c r="Z117">
        <f>AND(I117&lt;&gt;"",N117&lt;&gt;"")</f>
        <v/>
      </c>
      <c r="AA117">
        <f>OR(I117&lt;&gt;"",N117&lt;&gt;"")</f>
        <v/>
      </c>
      <c r="AB117">
        <f>AND(I117&lt;&gt;"",S117&lt;&gt;"")</f>
        <v/>
      </c>
      <c r="AC117">
        <f>OR(I117&lt;&gt;"",S117&lt;&gt;"")</f>
        <v/>
      </c>
      <c r="AD117">
        <f>AND(I117&lt;&gt;"",X117&lt;&gt;"")</f>
        <v/>
      </c>
      <c r="AE117">
        <f>OR(I117&lt;&gt;"",X117&lt;&gt;"")</f>
        <v/>
      </c>
      <c r="AF117">
        <f>AND(N117&lt;&gt;"",S117&lt;&gt;"")</f>
        <v/>
      </c>
      <c r="AG117">
        <f>OR(N117&lt;&gt;"",S117&lt;&gt;"")</f>
        <v/>
      </c>
      <c r="AH117">
        <f>AND(N117&lt;&gt;"",X117&lt;&gt;"")</f>
        <v/>
      </c>
      <c r="AI117">
        <f>OR(N117&lt;&gt;"",X117&lt;&gt;"")</f>
        <v/>
      </c>
      <c r="AJ117">
        <f>AND(S117&lt;&gt;"",X117&lt;&gt;"")</f>
        <v/>
      </c>
      <c r="AK117">
        <f>OR(S117&lt;&gt;"",X117&lt;&gt;"")</f>
        <v/>
      </c>
      <c r="AM117">
        <f>AND(I117&lt;&gt;"",N117&lt;&gt;"",B117="No")</f>
        <v/>
      </c>
      <c r="AN117">
        <f>AND(OR(I117&lt;&gt;"",N117&lt;&gt;""),B117="No")</f>
        <v/>
      </c>
      <c r="AO117">
        <f>AND(I117&lt;&gt;"",S117&lt;&gt;"",B117="No")</f>
        <v/>
      </c>
      <c r="AP117">
        <f>AND(OR(I117&lt;&gt;"",S117&lt;&gt;""),B117="No")</f>
        <v/>
      </c>
      <c r="AQ117">
        <f>AND(I117&lt;&gt;"",X117&lt;&gt;"",B117="No")</f>
        <v/>
      </c>
      <c r="AR117">
        <f>AND(OR(I117&lt;&gt;"",X117&lt;&gt;""),B117="No")</f>
        <v/>
      </c>
      <c r="AS117">
        <f>AND(N117&lt;&gt;"",S117&lt;&gt;"",B117="No")</f>
        <v/>
      </c>
      <c r="AT117">
        <f>AND(OR(N117&lt;&gt;"",S117&lt;&gt;""),B117="No")</f>
        <v/>
      </c>
      <c r="AU117">
        <f>AND(N117&lt;&gt;"",X117&lt;&gt;"",B117="No")</f>
        <v/>
      </c>
      <c r="AV117">
        <f>AND(OR(N117&lt;&gt;"",X117&lt;&gt;""),B117="No")</f>
        <v/>
      </c>
      <c r="AW117">
        <f>AND(S117&lt;&gt;"",X117&lt;&gt;"",B117="No")</f>
        <v/>
      </c>
      <c r="AX117">
        <f>AND(OR(S117&lt;&gt;"",X117&lt;&gt;""),B117="No")</f>
        <v/>
      </c>
    </row>
    <row r="118">
      <c r="A118" s="44" t="inlineStr">
        <is>
          <t>M0_ii.8.5</t>
        </is>
      </c>
      <c r="B118" s="47" t="inlineStr">
        <is>
          <t>Yes</t>
        </is>
      </c>
      <c r="C118" t="inlineStr">
        <is>
          <t>Architectural infeasibility</t>
        </is>
      </c>
      <c r="D118" s="34" t="n"/>
      <c r="E118" s="35" t="n"/>
      <c r="F118" s="35" t="n"/>
      <c r="G118" s="35" t="n"/>
      <c r="H118" s="35" t="n"/>
      <c r="I118" s="37">
        <f>IF(COUNTA(E118:H118)&gt;0,"X","")</f>
        <v/>
      </c>
      <c r="J118" s="35" t="n"/>
      <c r="K118" s="35" t="n"/>
      <c r="L118" s="35" t="n"/>
      <c r="M118" s="35" t="n"/>
      <c r="N118" s="37">
        <f>IF(COUNTA(J118:M118)&gt;0,"X","")</f>
        <v/>
      </c>
      <c r="O118" s="35" t="n"/>
      <c r="P118" s="35" t="inlineStr">
        <is>
          <t>X</t>
        </is>
      </c>
      <c r="Q118" s="35" t="n"/>
      <c r="R118" s="35" t="n"/>
      <c r="S118" s="37">
        <f>IF(COUNTA(O118:R118)&gt;0,"X","")</f>
        <v/>
      </c>
      <c r="T118" s="35" t="n"/>
      <c r="U118" s="35" t="n"/>
      <c r="V118" s="35" t="n"/>
      <c r="W118" s="35" t="n"/>
      <c r="X118" s="37">
        <f>IF(COUNTA(T118:W118)&gt;0,"X","")</f>
        <v/>
      </c>
      <c r="Z118">
        <f>AND(I118&lt;&gt;"",N118&lt;&gt;"")</f>
        <v/>
      </c>
      <c r="AA118">
        <f>OR(I118&lt;&gt;"",N118&lt;&gt;"")</f>
        <v/>
      </c>
      <c r="AB118">
        <f>AND(I118&lt;&gt;"",S118&lt;&gt;"")</f>
        <v/>
      </c>
      <c r="AC118">
        <f>OR(I118&lt;&gt;"",S118&lt;&gt;"")</f>
        <v/>
      </c>
      <c r="AD118">
        <f>AND(I118&lt;&gt;"",X118&lt;&gt;"")</f>
        <v/>
      </c>
      <c r="AE118">
        <f>OR(I118&lt;&gt;"",X118&lt;&gt;"")</f>
        <v/>
      </c>
      <c r="AF118">
        <f>AND(N118&lt;&gt;"",S118&lt;&gt;"")</f>
        <v/>
      </c>
      <c r="AG118">
        <f>OR(N118&lt;&gt;"",S118&lt;&gt;"")</f>
        <v/>
      </c>
      <c r="AH118">
        <f>AND(N118&lt;&gt;"",X118&lt;&gt;"")</f>
        <v/>
      </c>
      <c r="AI118">
        <f>OR(N118&lt;&gt;"",X118&lt;&gt;"")</f>
        <v/>
      </c>
      <c r="AJ118">
        <f>AND(S118&lt;&gt;"",X118&lt;&gt;"")</f>
        <v/>
      </c>
      <c r="AK118">
        <f>OR(S118&lt;&gt;"",X118&lt;&gt;"")</f>
        <v/>
      </c>
      <c r="AM118">
        <f>AND(I118&lt;&gt;"",N118&lt;&gt;"",B118="No")</f>
        <v/>
      </c>
      <c r="AN118">
        <f>AND(OR(I118&lt;&gt;"",N118&lt;&gt;""),B118="No")</f>
        <v/>
      </c>
      <c r="AO118">
        <f>AND(I118&lt;&gt;"",S118&lt;&gt;"",B118="No")</f>
        <v/>
      </c>
      <c r="AP118">
        <f>AND(OR(I118&lt;&gt;"",S118&lt;&gt;""),B118="No")</f>
        <v/>
      </c>
      <c r="AQ118">
        <f>AND(I118&lt;&gt;"",X118&lt;&gt;"",B118="No")</f>
        <v/>
      </c>
      <c r="AR118">
        <f>AND(OR(I118&lt;&gt;"",X118&lt;&gt;""),B118="No")</f>
        <v/>
      </c>
      <c r="AS118">
        <f>AND(N118&lt;&gt;"",S118&lt;&gt;"",B118="No")</f>
        <v/>
      </c>
      <c r="AT118">
        <f>AND(OR(N118&lt;&gt;"",S118&lt;&gt;""),B118="No")</f>
        <v/>
      </c>
      <c r="AU118">
        <f>AND(N118&lt;&gt;"",X118&lt;&gt;"",B118="No")</f>
        <v/>
      </c>
      <c r="AV118">
        <f>AND(OR(N118&lt;&gt;"",X118&lt;&gt;""),B118="No")</f>
        <v/>
      </c>
      <c r="AW118">
        <f>AND(S118&lt;&gt;"",X118&lt;&gt;"",B118="No")</f>
        <v/>
      </c>
      <c r="AX118">
        <f>AND(OR(S118&lt;&gt;"",X118&lt;&gt;""),B118="No")</f>
        <v/>
      </c>
    </row>
    <row r="119">
      <c r="A119" s="44" t="inlineStr">
        <is>
          <t>M0_iii.8.3</t>
        </is>
      </c>
      <c r="B119" s="47" t="inlineStr">
        <is>
          <t>Yes</t>
        </is>
      </c>
      <c r="C119" t="inlineStr">
        <is>
          <t>Template drift</t>
        </is>
      </c>
      <c r="D119" s="34" t="n"/>
      <c r="E119" s="35" t="n"/>
      <c r="F119" s="35" t="n"/>
      <c r="G119" s="35" t="n"/>
      <c r="H119" s="35" t="n"/>
      <c r="I119" s="37">
        <f>IF(COUNTA(E119:H119)&gt;0,"X","")</f>
        <v/>
      </c>
      <c r="J119" s="35" t="n"/>
      <c r="K119" s="35" t="n"/>
      <c r="L119" s="35" t="n"/>
      <c r="M119" s="35" t="n"/>
      <c r="N119" s="37">
        <f>IF(COUNTA(J119:M119)&gt;0,"X","")</f>
        <v/>
      </c>
      <c r="O119" s="35" t="n"/>
      <c r="P119" s="35" t="n"/>
      <c r="Q119" s="35" t="inlineStr">
        <is>
          <t>X</t>
        </is>
      </c>
      <c r="R119" s="35" t="n"/>
      <c r="S119" s="37">
        <f>IF(COUNTA(O119:R119)&gt;0,"X","")</f>
        <v/>
      </c>
      <c r="T119" s="35" t="n"/>
      <c r="U119" s="35" t="n"/>
      <c r="V119" s="35" t="n"/>
      <c r="W119" s="35" t="n"/>
      <c r="X119" s="37">
        <f>IF(COUNTA(T119:W119)&gt;0,"X","")</f>
        <v/>
      </c>
      <c r="Z119">
        <f>AND(I119&lt;&gt;"",N119&lt;&gt;"")</f>
        <v/>
      </c>
      <c r="AA119">
        <f>OR(I119&lt;&gt;"",N119&lt;&gt;"")</f>
        <v/>
      </c>
      <c r="AB119">
        <f>AND(I119&lt;&gt;"",S119&lt;&gt;"")</f>
        <v/>
      </c>
      <c r="AC119">
        <f>OR(I119&lt;&gt;"",S119&lt;&gt;"")</f>
        <v/>
      </c>
      <c r="AD119">
        <f>AND(I119&lt;&gt;"",X119&lt;&gt;"")</f>
        <v/>
      </c>
      <c r="AE119">
        <f>OR(I119&lt;&gt;"",X119&lt;&gt;"")</f>
        <v/>
      </c>
      <c r="AF119">
        <f>AND(N119&lt;&gt;"",S119&lt;&gt;"")</f>
        <v/>
      </c>
      <c r="AG119">
        <f>OR(N119&lt;&gt;"",S119&lt;&gt;"")</f>
        <v/>
      </c>
      <c r="AH119">
        <f>AND(N119&lt;&gt;"",X119&lt;&gt;"")</f>
        <v/>
      </c>
      <c r="AI119">
        <f>OR(N119&lt;&gt;"",X119&lt;&gt;"")</f>
        <v/>
      </c>
      <c r="AJ119">
        <f>AND(S119&lt;&gt;"",X119&lt;&gt;"")</f>
        <v/>
      </c>
      <c r="AK119">
        <f>OR(S119&lt;&gt;"",X119&lt;&gt;"")</f>
        <v/>
      </c>
      <c r="AM119">
        <f>AND(I119&lt;&gt;"",N119&lt;&gt;"",B119="No")</f>
        <v/>
      </c>
      <c r="AN119">
        <f>AND(OR(I119&lt;&gt;"",N119&lt;&gt;""),B119="No")</f>
        <v/>
      </c>
      <c r="AO119">
        <f>AND(I119&lt;&gt;"",S119&lt;&gt;"",B119="No")</f>
        <v/>
      </c>
      <c r="AP119">
        <f>AND(OR(I119&lt;&gt;"",S119&lt;&gt;""),B119="No")</f>
        <v/>
      </c>
      <c r="AQ119">
        <f>AND(I119&lt;&gt;"",X119&lt;&gt;"",B119="No")</f>
        <v/>
      </c>
      <c r="AR119">
        <f>AND(OR(I119&lt;&gt;"",X119&lt;&gt;""),B119="No")</f>
        <v/>
      </c>
      <c r="AS119">
        <f>AND(N119&lt;&gt;"",S119&lt;&gt;"",B119="No")</f>
        <v/>
      </c>
      <c r="AT119">
        <f>AND(OR(N119&lt;&gt;"",S119&lt;&gt;""),B119="No")</f>
        <v/>
      </c>
      <c r="AU119">
        <f>AND(N119&lt;&gt;"",X119&lt;&gt;"",B119="No")</f>
        <v/>
      </c>
      <c r="AV119">
        <f>AND(OR(N119&lt;&gt;"",X119&lt;&gt;""),B119="No")</f>
        <v/>
      </c>
      <c r="AW119">
        <f>AND(S119&lt;&gt;"",X119&lt;&gt;"",B119="No")</f>
        <v/>
      </c>
      <c r="AX119">
        <f>AND(OR(S119&lt;&gt;"",X119&lt;&gt;""),B119="No")</f>
        <v/>
      </c>
    </row>
    <row r="120">
      <c r="A120" s="44" t="inlineStr">
        <is>
          <t>M0_iv.8.1</t>
        </is>
      </c>
      <c r="B120" s="47" t="inlineStr">
        <is>
          <t>Yes</t>
        </is>
      </c>
      <c r="C120" t="inlineStr">
        <is>
          <t>Architectural infeasibility</t>
        </is>
      </c>
      <c r="D120" s="34" t="n"/>
      <c r="E120" s="35" t="n"/>
      <c r="F120" s="35" t="n"/>
      <c r="G120" s="35" t="n"/>
      <c r="H120" s="35" t="n"/>
      <c r="I120" s="37">
        <f>IF(COUNTA(E120:H120)&gt;0,"X","")</f>
        <v/>
      </c>
      <c r="J120" s="35" t="n"/>
      <c r="K120" s="35" t="n"/>
      <c r="L120" s="35" t="n"/>
      <c r="M120" s="35" t="n"/>
      <c r="N120" s="37">
        <f>IF(COUNTA(J120:M120)&gt;0,"X","")</f>
        <v/>
      </c>
      <c r="O120" s="35" t="n"/>
      <c r="P120" s="35" t="n"/>
      <c r="Q120" s="35" t="n"/>
      <c r="R120" s="35" t="inlineStr">
        <is>
          <t>X</t>
        </is>
      </c>
      <c r="S120" s="37">
        <f>IF(COUNTA(O120:R120)&gt;0,"X","")</f>
        <v/>
      </c>
      <c r="T120" s="35" t="n"/>
      <c r="U120" s="35" t="n"/>
      <c r="V120" s="35" t="n"/>
      <c r="W120" s="35" t="n"/>
      <c r="X120" s="37">
        <f>IF(COUNTA(T120:W120)&gt;0,"X","")</f>
        <v/>
      </c>
      <c r="Z120">
        <f>AND(I120&lt;&gt;"",N120&lt;&gt;"")</f>
        <v/>
      </c>
      <c r="AA120">
        <f>OR(I120&lt;&gt;"",N120&lt;&gt;"")</f>
        <v/>
      </c>
      <c r="AB120">
        <f>AND(I120&lt;&gt;"",S120&lt;&gt;"")</f>
        <v/>
      </c>
      <c r="AC120">
        <f>OR(I120&lt;&gt;"",S120&lt;&gt;"")</f>
        <v/>
      </c>
      <c r="AD120">
        <f>AND(I120&lt;&gt;"",X120&lt;&gt;"")</f>
        <v/>
      </c>
      <c r="AE120">
        <f>OR(I120&lt;&gt;"",X120&lt;&gt;"")</f>
        <v/>
      </c>
      <c r="AF120">
        <f>AND(N120&lt;&gt;"",S120&lt;&gt;"")</f>
        <v/>
      </c>
      <c r="AG120">
        <f>OR(N120&lt;&gt;"",S120&lt;&gt;"")</f>
        <v/>
      </c>
      <c r="AH120">
        <f>AND(N120&lt;&gt;"",X120&lt;&gt;"")</f>
        <v/>
      </c>
      <c r="AI120">
        <f>OR(N120&lt;&gt;"",X120&lt;&gt;"")</f>
        <v/>
      </c>
      <c r="AJ120">
        <f>AND(S120&lt;&gt;"",X120&lt;&gt;"")</f>
        <v/>
      </c>
      <c r="AK120">
        <f>OR(S120&lt;&gt;"",X120&lt;&gt;"")</f>
        <v/>
      </c>
      <c r="AM120">
        <f>AND(I120&lt;&gt;"",N120&lt;&gt;"",B120="No")</f>
        <v/>
      </c>
      <c r="AN120">
        <f>AND(OR(I120&lt;&gt;"",N120&lt;&gt;""),B120="No")</f>
        <v/>
      </c>
      <c r="AO120">
        <f>AND(I120&lt;&gt;"",S120&lt;&gt;"",B120="No")</f>
        <v/>
      </c>
      <c r="AP120">
        <f>AND(OR(I120&lt;&gt;"",S120&lt;&gt;""),B120="No")</f>
        <v/>
      </c>
      <c r="AQ120">
        <f>AND(I120&lt;&gt;"",X120&lt;&gt;"",B120="No")</f>
        <v/>
      </c>
      <c r="AR120">
        <f>AND(OR(I120&lt;&gt;"",X120&lt;&gt;""),B120="No")</f>
        <v/>
      </c>
      <c r="AS120">
        <f>AND(N120&lt;&gt;"",S120&lt;&gt;"",B120="No")</f>
        <v/>
      </c>
      <c r="AT120">
        <f>AND(OR(N120&lt;&gt;"",S120&lt;&gt;""),B120="No")</f>
        <v/>
      </c>
      <c r="AU120">
        <f>AND(N120&lt;&gt;"",X120&lt;&gt;"",B120="No")</f>
        <v/>
      </c>
      <c r="AV120">
        <f>AND(OR(N120&lt;&gt;"",X120&lt;&gt;""),B120="No")</f>
        <v/>
      </c>
      <c r="AW120">
        <f>AND(S120&lt;&gt;"",X120&lt;&gt;"",B120="No")</f>
        <v/>
      </c>
      <c r="AX120">
        <f>AND(OR(S120&lt;&gt;"",X120&lt;&gt;""),B120="No")</f>
        <v/>
      </c>
    </row>
    <row r="121">
      <c r="A121" s="44" t="inlineStr">
        <is>
          <t>M0_iv.8.2</t>
        </is>
      </c>
      <c r="B121" s="47" t="inlineStr">
        <is>
          <t>Yes</t>
        </is>
      </c>
      <c r="C121" t="inlineStr">
        <is>
          <t>Architectural infeasibility</t>
        </is>
      </c>
      <c r="D121" s="34" t="n"/>
      <c r="E121" s="35" t="n"/>
      <c r="F121" s="35" t="n"/>
      <c r="G121" s="35" t="n"/>
      <c r="H121" s="35" t="n"/>
      <c r="I121" s="37">
        <f>IF(COUNTA(E121:H121)&gt;0,"X","")</f>
        <v/>
      </c>
      <c r="J121" s="35" t="n"/>
      <c r="K121" s="35" t="n"/>
      <c r="L121" s="35" t="n"/>
      <c r="M121" s="35" t="n"/>
      <c r="N121" s="37">
        <f>IF(COUNTA(J121:M121)&gt;0,"X","")</f>
        <v/>
      </c>
      <c r="O121" s="35" t="n"/>
      <c r="P121" s="35" t="n"/>
      <c r="Q121" s="35" t="n"/>
      <c r="R121" s="35" t="inlineStr">
        <is>
          <t>X</t>
        </is>
      </c>
      <c r="S121" s="37">
        <f>IF(COUNTA(O121:R121)&gt;0,"X","")</f>
        <v/>
      </c>
      <c r="T121" s="35" t="n"/>
      <c r="U121" s="35" t="n"/>
      <c r="V121" s="35" t="n"/>
      <c r="W121" s="35" t="n"/>
      <c r="X121" s="37">
        <f>IF(COUNTA(T121:W121)&gt;0,"X","")</f>
        <v/>
      </c>
      <c r="Z121">
        <f>AND(I121&lt;&gt;"",N121&lt;&gt;"")</f>
        <v/>
      </c>
      <c r="AA121">
        <f>OR(I121&lt;&gt;"",N121&lt;&gt;"")</f>
        <v/>
      </c>
      <c r="AB121">
        <f>AND(I121&lt;&gt;"",S121&lt;&gt;"")</f>
        <v/>
      </c>
      <c r="AC121">
        <f>OR(I121&lt;&gt;"",S121&lt;&gt;"")</f>
        <v/>
      </c>
      <c r="AD121">
        <f>AND(I121&lt;&gt;"",X121&lt;&gt;"")</f>
        <v/>
      </c>
      <c r="AE121">
        <f>OR(I121&lt;&gt;"",X121&lt;&gt;"")</f>
        <v/>
      </c>
      <c r="AF121">
        <f>AND(N121&lt;&gt;"",S121&lt;&gt;"")</f>
        <v/>
      </c>
      <c r="AG121">
        <f>OR(N121&lt;&gt;"",S121&lt;&gt;"")</f>
        <v/>
      </c>
      <c r="AH121">
        <f>AND(N121&lt;&gt;"",X121&lt;&gt;"")</f>
        <v/>
      </c>
      <c r="AI121">
        <f>OR(N121&lt;&gt;"",X121&lt;&gt;"")</f>
        <v/>
      </c>
      <c r="AJ121">
        <f>AND(S121&lt;&gt;"",X121&lt;&gt;"")</f>
        <v/>
      </c>
      <c r="AK121">
        <f>OR(S121&lt;&gt;"",X121&lt;&gt;"")</f>
        <v/>
      </c>
      <c r="AM121">
        <f>AND(I121&lt;&gt;"",N121&lt;&gt;"",B121="No")</f>
        <v/>
      </c>
      <c r="AN121">
        <f>AND(OR(I121&lt;&gt;"",N121&lt;&gt;""),B121="No")</f>
        <v/>
      </c>
      <c r="AO121">
        <f>AND(I121&lt;&gt;"",S121&lt;&gt;"",B121="No")</f>
        <v/>
      </c>
      <c r="AP121">
        <f>AND(OR(I121&lt;&gt;"",S121&lt;&gt;""),B121="No")</f>
        <v/>
      </c>
      <c r="AQ121">
        <f>AND(I121&lt;&gt;"",X121&lt;&gt;"",B121="No")</f>
        <v/>
      </c>
      <c r="AR121">
        <f>AND(OR(I121&lt;&gt;"",X121&lt;&gt;""),B121="No")</f>
        <v/>
      </c>
      <c r="AS121">
        <f>AND(N121&lt;&gt;"",S121&lt;&gt;"",B121="No")</f>
        <v/>
      </c>
      <c r="AT121">
        <f>AND(OR(N121&lt;&gt;"",S121&lt;&gt;""),B121="No")</f>
        <v/>
      </c>
      <c r="AU121">
        <f>AND(N121&lt;&gt;"",X121&lt;&gt;"",B121="No")</f>
        <v/>
      </c>
      <c r="AV121">
        <f>AND(OR(N121&lt;&gt;"",X121&lt;&gt;""),B121="No")</f>
        <v/>
      </c>
      <c r="AW121">
        <f>AND(S121&lt;&gt;"",X121&lt;&gt;"",B121="No")</f>
        <v/>
      </c>
      <c r="AX121">
        <f>AND(OR(S121&lt;&gt;"",X121&lt;&gt;""),B121="No")</f>
        <v/>
      </c>
    </row>
    <row r="122">
      <c r="A122" s="44" t="inlineStr">
        <is>
          <t>GS.9.1</t>
        </is>
      </c>
      <c r="B122" s="47" t="inlineStr">
        <is>
          <t>No</t>
        </is>
      </c>
      <c r="C122" s="47" t="n"/>
      <c r="D122" s="34" t="inlineStr">
        <is>
          <t>H.9.1</t>
        </is>
      </c>
      <c r="E122" s="27" t="inlineStr">
        <is>
          <t>X</t>
        </is>
      </c>
      <c r="F122" s="27" t="inlineStr">
        <is>
          <t>X</t>
        </is>
      </c>
      <c r="G122" s="27" t="inlineStr">
        <is>
          <t>X</t>
        </is>
      </c>
      <c r="H122" s="27" t="inlineStr">
        <is>
          <t>X</t>
        </is>
      </c>
      <c r="I122" s="37">
        <f>IF(COUNTA(E122:H122)&gt;0,"X","")</f>
        <v/>
      </c>
      <c r="J122" s="27" t="inlineStr">
        <is>
          <t>X</t>
        </is>
      </c>
      <c r="K122" s="27" t="inlineStr">
        <is>
          <t>X</t>
        </is>
      </c>
      <c r="L122" s="27" t="inlineStr">
        <is>
          <t>X</t>
        </is>
      </c>
      <c r="M122" s="27" t="inlineStr">
        <is>
          <t>X</t>
        </is>
      </c>
      <c r="N122" s="37">
        <f>IF(COUNTA(J122:M122)&gt;0,"X","")</f>
        <v/>
      </c>
      <c r="O122" s="27" t="inlineStr">
        <is>
          <t>X</t>
        </is>
      </c>
      <c r="P122" s="27" t="inlineStr">
        <is>
          <t>X</t>
        </is>
      </c>
      <c r="Q122" s="27" t="inlineStr">
        <is>
          <t>P</t>
        </is>
      </c>
      <c r="R122" s="27" t="inlineStr">
        <is>
          <t>X</t>
        </is>
      </c>
      <c r="S122" s="37">
        <f>IF(COUNTA(O122:R122)&gt;0,"X","")</f>
        <v/>
      </c>
      <c r="T122" s="27" t="inlineStr">
        <is>
          <t>X</t>
        </is>
      </c>
      <c r="U122" s="27" t="inlineStr">
        <is>
          <t>X</t>
        </is>
      </c>
      <c r="V122" s="27" t="inlineStr">
        <is>
          <t>X</t>
        </is>
      </c>
      <c r="W122" s="27" t="inlineStr">
        <is>
          <t>X</t>
        </is>
      </c>
      <c r="X122" s="37">
        <f>IF(COUNTA(T122:W122)&gt;0,"X","")</f>
        <v/>
      </c>
      <c r="Z122">
        <f>AND(I122&lt;&gt;"",N122&lt;&gt;"")</f>
        <v/>
      </c>
      <c r="AA122">
        <f>OR(I122&lt;&gt;"",N122&lt;&gt;"")</f>
        <v/>
      </c>
      <c r="AB122">
        <f>AND(I122&lt;&gt;"",S122&lt;&gt;"")</f>
        <v/>
      </c>
      <c r="AC122">
        <f>OR(I122&lt;&gt;"",S122&lt;&gt;"")</f>
        <v/>
      </c>
      <c r="AD122">
        <f>AND(I122&lt;&gt;"",X122&lt;&gt;"")</f>
        <v/>
      </c>
      <c r="AE122">
        <f>OR(I122&lt;&gt;"",X122&lt;&gt;"")</f>
        <v/>
      </c>
      <c r="AF122">
        <f>AND(N122&lt;&gt;"",S122&lt;&gt;"")</f>
        <v/>
      </c>
      <c r="AG122">
        <f>OR(N122&lt;&gt;"",S122&lt;&gt;"")</f>
        <v/>
      </c>
      <c r="AH122">
        <f>AND(N122&lt;&gt;"",X122&lt;&gt;"")</f>
        <v/>
      </c>
      <c r="AI122">
        <f>OR(N122&lt;&gt;"",X122&lt;&gt;"")</f>
        <v/>
      </c>
      <c r="AJ122">
        <f>AND(S122&lt;&gt;"",X122&lt;&gt;"")</f>
        <v/>
      </c>
      <c r="AK122">
        <f>OR(S122&lt;&gt;"",X122&lt;&gt;"")</f>
        <v/>
      </c>
      <c r="AM122">
        <f>AND(I122&lt;&gt;"",N122&lt;&gt;"",B122="No")</f>
        <v/>
      </c>
      <c r="AN122">
        <f>AND(OR(I122&lt;&gt;"",N122&lt;&gt;""),B122="No")</f>
        <v/>
      </c>
      <c r="AO122">
        <f>AND(I122&lt;&gt;"",S122&lt;&gt;"",B122="No")</f>
        <v/>
      </c>
      <c r="AP122">
        <f>AND(OR(I122&lt;&gt;"",S122&lt;&gt;""),B122="No")</f>
        <v/>
      </c>
      <c r="AQ122">
        <f>AND(I122&lt;&gt;"",X122&lt;&gt;"",B122="No")</f>
        <v/>
      </c>
      <c r="AR122">
        <f>AND(OR(I122&lt;&gt;"",X122&lt;&gt;""),B122="No")</f>
        <v/>
      </c>
      <c r="AS122">
        <f>AND(N122&lt;&gt;"",S122&lt;&gt;"",B122="No")</f>
        <v/>
      </c>
      <c r="AT122">
        <f>AND(OR(N122&lt;&gt;"",S122&lt;&gt;""),B122="No")</f>
        <v/>
      </c>
      <c r="AU122">
        <f>AND(N122&lt;&gt;"",X122&lt;&gt;"",B122="No")</f>
        <v/>
      </c>
      <c r="AV122">
        <f>AND(OR(N122&lt;&gt;"",X122&lt;&gt;""),B122="No")</f>
        <v/>
      </c>
      <c r="AW122">
        <f>AND(S122&lt;&gt;"",X122&lt;&gt;"",B122="No")</f>
        <v/>
      </c>
      <c r="AX122">
        <f>AND(OR(S122&lt;&gt;"",X122&lt;&gt;""),B122="No")</f>
        <v/>
      </c>
    </row>
    <row r="123">
      <c r="A123" s="44" t="inlineStr">
        <is>
          <t>GS.9.2</t>
        </is>
      </c>
      <c r="B123" s="47" t="inlineStr">
        <is>
          <t>No</t>
        </is>
      </c>
      <c r="C123" s="47" t="n"/>
      <c r="D123" s="34" t="inlineStr">
        <is>
          <t>H.9.2</t>
        </is>
      </c>
      <c r="E123" s="27" t="inlineStr">
        <is>
          <t>X</t>
        </is>
      </c>
      <c r="F123" s="27" t="inlineStr">
        <is>
          <t>X</t>
        </is>
      </c>
      <c r="G123" s="27" t="inlineStr">
        <is>
          <t>P</t>
        </is>
      </c>
      <c r="H123" s="27" t="inlineStr">
        <is>
          <t>P</t>
        </is>
      </c>
      <c r="I123" s="37">
        <f>IF(COUNTA(E123:H123)&gt;0,"X","")</f>
        <v/>
      </c>
      <c r="J123" s="27" t="inlineStr">
        <is>
          <t>X</t>
        </is>
      </c>
      <c r="N123" s="37">
        <f>IF(COUNTA(J123:M123)&gt;0,"X","")</f>
        <v/>
      </c>
      <c r="O123" s="27" t="inlineStr">
        <is>
          <t>P</t>
        </is>
      </c>
      <c r="S123" s="37">
        <f>IF(COUNTA(O123:R123)&gt;0,"X","")</f>
        <v/>
      </c>
      <c r="T123" s="35" t="n"/>
      <c r="U123" s="35" t="n"/>
      <c r="V123" s="35" t="n"/>
      <c r="W123" s="35" t="n"/>
      <c r="X123" s="37">
        <f>IF(COUNTA(T123:W123)&gt;0,"X","")</f>
        <v/>
      </c>
      <c r="Z123">
        <f>AND(I123&lt;&gt;"",N123&lt;&gt;"")</f>
        <v/>
      </c>
      <c r="AA123">
        <f>OR(I123&lt;&gt;"",N123&lt;&gt;"")</f>
        <v/>
      </c>
      <c r="AB123">
        <f>AND(I123&lt;&gt;"",S123&lt;&gt;"")</f>
        <v/>
      </c>
      <c r="AC123">
        <f>OR(I123&lt;&gt;"",S123&lt;&gt;"")</f>
        <v/>
      </c>
      <c r="AD123">
        <f>AND(I123&lt;&gt;"",X123&lt;&gt;"")</f>
        <v/>
      </c>
      <c r="AE123">
        <f>OR(I123&lt;&gt;"",X123&lt;&gt;"")</f>
        <v/>
      </c>
      <c r="AF123">
        <f>AND(N123&lt;&gt;"",S123&lt;&gt;"")</f>
        <v/>
      </c>
      <c r="AG123">
        <f>OR(N123&lt;&gt;"",S123&lt;&gt;"")</f>
        <v/>
      </c>
      <c r="AH123">
        <f>AND(N123&lt;&gt;"",X123&lt;&gt;"")</f>
        <v/>
      </c>
      <c r="AI123">
        <f>OR(N123&lt;&gt;"",X123&lt;&gt;"")</f>
        <v/>
      </c>
      <c r="AJ123">
        <f>AND(S123&lt;&gt;"",X123&lt;&gt;"")</f>
        <v/>
      </c>
      <c r="AK123">
        <f>OR(S123&lt;&gt;"",X123&lt;&gt;"")</f>
        <v/>
      </c>
      <c r="AM123">
        <f>AND(I123&lt;&gt;"",N123&lt;&gt;"",B123="No")</f>
        <v/>
      </c>
      <c r="AN123">
        <f>AND(OR(I123&lt;&gt;"",N123&lt;&gt;""),B123="No")</f>
        <v/>
      </c>
      <c r="AO123">
        <f>AND(I123&lt;&gt;"",S123&lt;&gt;"",B123="No")</f>
        <v/>
      </c>
      <c r="AP123">
        <f>AND(OR(I123&lt;&gt;"",S123&lt;&gt;""),B123="No")</f>
        <v/>
      </c>
      <c r="AQ123">
        <f>AND(I123&lt;&gt;"",X123&lt;&gt;"",B123="No")</f>
        <v/>
      </c>
      <c r="AR123">
        <f>AND(OR(I123&lt;&gt;"",X123&lt;&gt;""),B123="No")</f>
        <v/>
      </c>
      <c r="AS123">
        <f>AND(N123&lt;&gt;"",S123&lt;&gt;"",B123="No")</f>
        <v/>
      </c>
      <c r="AT123">
        <f>AND(OR(N123&lt;&gt;"",S123&lt;&gt;""),B123="No")</f>
        <v/>
      </c>
      <c r="AU123">
        <f>AND(N123&lt;&gt;"",X123&lt;&gt;"",B123="No")</f>
        <v/>
      </c>
      <c r="AV123">
        <f>AND(OR(N123&lt;&gt;"",X123&lt;&gt;""),B123="No")</f>
        <v/>
      </c>
      <c r="AW123">
        <f>AND(S123&lt;&gt;"",X123&lt;&gt;"",B123="No")</f>
        <v/>
      </c>
      <c r="AX123">
        <f>AND(OR(S123&lt;&gt;"",X123&lt;&gt;""),B123="No")</f>
        <v/>
      </c>
    </row>
    <row r="124">
      <c r="A124" s="44" t="inlineStr">
        <is>
          <t>GS.9.3</t>
        </is>
      </c>
      <c r="B124" s="47" t="inlineStr">
        <is>
          <t>No</t>
        </is>
      </c>
      <c r="C124" s="47" t="n"/>
      <c r="D124" s="34" t="inlineStr">
        <is>
          <t>H.9.3</t>
        </is>
      </c>
      <c r="E124" s="27" t="inlineStr">
        <is>
          <t>X</t>
        </is>
      </c>
      <c r="F124" s="27" t="inlineStr">
        <is>
          <t>X</t>
        </is>
      </c>
      <c r="G124" s="27" t="inlineStr">
        <is>
          <t>X</t>
        </is>
      </c>
      <c r="H124" s="27" t="inlineStr">
        <is>
          <t>X</t>
        </is>
      </c>
      <c r="I124" s="37">
        <f>IF(COUNTA(E124:H124)&gt;0,"X","")</f>
        <v/>
      </c>
      <c r="J124" s="27" t="inlineStr">
        <is>
          <t>X</t>
        </is>
      </c>
      <c r="K124" s="27" t="inlineStr">
        <is>
          <t>X</t>
        </is>
      </c>
      <c r="L124" s="27" t="inlineStr">
        <is>
          <t>X</t>
        </is>
      </c>
      <c r="M124" s="27" t="inlineStr">
        <is>
          <t>X</t>
        </is>
      </c>
      <c r="N124" s="37">
        <f>IF(COUNTA(J124:M124)&gt;0,"X","")</f>
        <v/>
      </c>
      <c r="O124" s="27" t="inlineStr">
        <is>
          <t>X</t>
        </is>
      </c>
      <c r="P124" s="27" t="inlineStr">
        <is>
          <t>X</t>
        </is>
      </c>
      <c r="Q124" s="27" t="inlineStr">
        <is>
          <t>X</t>
        </is>
      </c>
      <c r="R124" s="27" t="inlineStr">
        <is>
          <t>X</t>
        </is>
      </c>
      <c r="S124" s="37">
        <f>IF(COUNTA(O124:R124)&gt;0,"X","")</f>
        <v/>
      </c>
      <c r="T124" s="27" t="inlineStr">
        <is>
          <t>X</t>
        </is>
      </c>
      <c r="U124" s="27" t="inlineStr">
        <is>
          <t>X</t>
        </is>
      </c>
      <c r="V124" s="27" t="inlineStr">
        <is>
          <t>X</t>
        </is>
      </c>
      <c r="W124" s="27" t="inlineStr">
        <is>
          <t>X</t>
        </is>
      </c>
      <c r="X124" s="37">
        <f>IF(COUNTA(T124:W124)&gt;0,"X","")</f>
        <v/>
      </c>
      <c r="Z124">
        <f>AND(I124&lt;&gt;"",N124&lt;&gt;"")</f>
        <v/>
      </c>
      <c r="AA124">
        <f>OR(I124&lt;&gt;"",N124&lt;&gt;"")</f>
        <v/>
      </c>
      <c r="AB124">
        <f>AND(I124&lt;&gt;"",S124&lt;&gt;"")</f>
        <v/>
      </c>
      <c r="AC124">
        <f>OR(I124&lt;&gt;"",S124&lt;&gt;"")</f>
        <v/>
      </c>
      <c r="AD124">
        <f>AND(I124&lt;&gt;"",X124&lt;&gt;"")</f>
        <v/>
      </c>
      <c r="AE124">
        <f>OR(I124&lt;&gt;"",X124&lt;&gt;"")</f>
        <v/>
      </c>
      <c r="AF124">
        <f>AND(N124&lt;&gt;"",S124&lt;&gt;"")</f>
        <v/>
      </c>
      <c r="AG124">
        <f>OR(N124&lt;&gt;"",S124&lt;&gt;"")</f>
        <v/>
      </c>
      <c r="AH124">
        <f>AND(N124&lt;&gt;"",X124&lt;&gt;"")</f>
        <v/>
      </c>
      <c r="AI124">
        <f>OR(N124&lt;&gt;"",X124&lt;&gt;"")</f>
        <v/>
      </c>
      <c r="AJ124">
        <f>AND(S124&lt;&gt;"",X124&lt;&gt;"")</f>
        <v/>
      </c>
      <c r="AK124">
        <f>OR(S124&lt;&gt;"",X124&lt;&gt;"")</f>
        <v/>
      </c>
      <c r="AM124">
        <f>AND(I124&lt;&gt;"",N124&lt;&gt;"",B124="No")</f>
        <v/>
      </c>
      <c r="AN124">
        <f>AND(OR(I124&lt;&gt;"",N124&lt;&gt;""),B124="No")</f>
        <v/>
      </c>
      <c r="AO124">
        <f>AND(I124&lt;&gt;"",S124&lt;&gt;"",B124="No")</f>
        <v/>
      </c>
      <c r="AP124">
        <f>AND(OR(I124&lt;&gt;"",S124&lt;&gt;""),B124="No")</f>
        <v/>
      </c>
      <c r="AQ124">
        <f>AND(I124&lt;&gt;"",X124&lt;&gt;"",B124="No")</f>
        <v/>
      </c>
      <c r="AR124">
        <f>AND(OR(I124&lt;&gt;"",X124&lt;&gt;""),B124="No")</f>
        <v/>
      </c>
      <c r="AS124">
        <f>AND(N124&lt;&gt;"",S124&lt;&gt;"",B124="No")</f>
        <v/>
      </c>
      <c r="AT124">
        <f>AND(OR(N124&lt;&gt;"",S124&lt;&gt;""),B124="No")</f>
        <v/>
      </c>
      <c r="AU124">
        <f>AND(N124&lt;&gt;"",X124&lt;&gt;"",B124="No")</f>
        <v/>
      </c>
      <c r="AV124">
        <f>AND(OR(N124&lt;&gt;"",X124&lt;&gt;""),B124="No")</f>
        <v/>
      </c>
      <c r="AW124">
        <f>AND(S124&lt;&gt;"",X124&lt;&gt;"",B124="No")</f>
        <v/>
      </c>
      <c r="AX124">
        <f>AND(OR(S124&lt;&gt;"",X124&lt;&gt;""),B124="No")</f>
        <v/>
      </c>
    </row>
    <row r="125">
      <c r="A125" s="44" t="inlineStr">
        <is>
          <t>GS.9.4</t>
        </is>
      </c>
      <c r="B125" s="47" t="inlineStr">
        <is>
          <t>No</t>
        </is>
      </c>
      <c r="C125" s="47" t="n"/>
      <c r="D125" s="34" t="n"/>
      <c r="E125" s="35" t="inlineStr">
        <is>
          <t>X</t>
        </is>
      </c>
      <c r="F125" s="35" t="inlineStr">
        <is>
          <t>X</t>
        </is>
      </c>
      <c r="G125" s="35" t="inlineStr">
        <is>
          <t>X</t>
        </is>
      </c>
      <c r="H125" s="35" t="inlineStr">
        <is>
          <t>X</t>
        </is>
      </c>
      <c r="I125" s="37">
        <f>IF(COUNTA(E125:H125)&gt;0,"X","")</f>
        <v/>
      </c>
      <c r="J125" s="35" t="n"/>
      <c r="K125" s="35" t="n"/>
      <c r="L125" s="35" t="n"/>
      <c r="M125" s="35" t="n"/>
      <c r="N125" s="37">
        <f>IF(COUNTA(J125:M125)&gt;0,"X","")</f>
        <v/>
      </c>
      <c r="O125" s="35" t="n"/>
      <c r="P125" s="35" t="n"/>
      <c r="Q125" s="35" t="n"/>
      <c r="R125" s="35" t="n"/>
      <c r="S125" s="37">
        <f>IF(COUNTA(O125:R125)&gt;0,"X","")</f>
        <v/>
      </c>
      <c r="T125" s="35" t="n"/>
      <c r="U125" s="35" t="n"/>
      <c r="V125" s="35" t="n"/>
      <c r="W125" s="35" t="n"/>
      <c r="X125" s="37">
        <f>IF(COUNTA(T125:W125)&gt;0,"X","")</f>
        <v/>
      </c>
      <c r="Z125">
        <f>AND(I125&lt;&gt;"",N125&lt;&gt;"")</f>
        <v/>
      </c>
      <c r="AA125">
        <f>OR(I125&lt;&gt;"",N125&lt;&gt;"")</f>
        <v/>
      </c>
      <c r="AB125">
        <f>AND(I125&lt;&gt;"",S125&lt;&gt;"")</f>
        <v/>
      </c>
      <c r="AC125">
        <f>OR(I125&lt;&gt;"",S125&lt;&gt;"")</f>
        <v/>
      </c>
      <c r="AD125">
        <f>AND(I125&lt;&gt;"",X125&lt;&gt;"")</f>
        <v/>
      </c>
      <c r="AE125">
        <f>OR(I125&lt;&gt;"",X125&lt;&gt;"")</f>
        <v/>
      </c>
      <c r="AF125">
        <f>AND(N125&lt;&gt;"",S125&lt;&gt;"")</f>
        <v/>
      </c>
      <c r="AG125">
        <f>OR(N125&lt;&gt;"",S125&lt;&gt;"")</f>
        <v/>
      </c>
      <c r="AH125">
        <f>AND(N125&lt;&gt;"",X125&lt;&gt;"")</f>
        <v/>
      </c>
      <c r="AI125">
        <f>OR(N125&lt;&gt;"",X125&lt;&gt;"")</f>
        <v/>
      </c>
      <c r="AJ125">
        <f>AND(S125&lt;&gt;"",X125&lt;&gt;"")</f>
        <v/>
      </c>
      <c r="AK125">
        <f>OR(S125&lt;&gt;"",X125&lt;&gt;"")</f>
        <v/>
      </c>
      <c r="AM125">
        <f>AND(I125&lt;&gt;"",N125&lt;&gt;"",B125="No")</f>
        <v/>
      </c>
      <c r="AN125">
        <f>AND(OR(I125&lt;&gt;"",N125&lt;&gt;""),B125="No")</f>
        <v/>
      </c>
      <c r="AO125">
        <f>AND(I125&lt;&gt;"",S125&lt;&gt;"",B125="No")</f>
        <v/>
      </c>
      <c r="AP125">
        <f>AND(OR(I125&lt;&gt;"",S125&lt;&gt;""),B125="No")</f>
        <v/>
      </c>
      <c r="AQ125">
        <f>AND(I125&lt;&gt;"",X125&lt;&gt;"",B125="No")</f>
        <v/>
      </c>
      <c r="AR125">
        <f>AND(OR(I125&lt;&gt;"",X125&lt;&gt;""),B125="No")</f>
        <v/>
      </c>
      <c r="AS125">
        <f>AND(N125&lt;&gt;"",S125&lt;&gt;"",B125="No")</f>
        <v/>
      </c>
      <c r="AT125">
        <f>AND(OR(N125&lt;&gt;"",S125&lt;&gt;""),B125="No")</f>
        <v/>
      </c>
      <c r="AU125">
        <f>AND(N125&lt;&gt;"",X125&lt;&gt;"",B125="No")</f>
        <v/>
      </c>
      <c r="AV125">
        <f>AND(OR(N125&lt;&gt;"",X125&lt;&gt;""),B125="No")</f>
        <v/>
      </c>
      <c r="AW125">
        <f>AND(S125&lt;&gt;"",X125&lt;&gt;"",B125="No")</f>
        <v/>
      </c>
      <c r="AX125">
        <f>AND(OR(S125&lt;&gt;"",X125&lt;&gt;""),B125="No")</f>
        <v/>
      </c>
    </row>
    <row r="126">
      <c r="A126" s="44" t="inlineStr">
        <is>
          <t>GS.9.5</t>
        </is>
      </c>
      <c r="B126" s="47" t="inlineStr">
        <is>
          <t>No</t>
        </is>
      </c>
      <c r="C126" s="47" t="n"/>
      <c r="D126" s="34" t="n"/>
      <c r="E126" s="35" t="n"/>
      <c r="F126" s="35" t="n"/>
      <c r="G126" s="35" t="n"/>
      <c r="H126" s="35" t="n"/>
      <c r="I126" s="37">
        <f>IF(COUNTA(E126:H126)&gt;0,"X","")</f>
        <v/>
      </c>
      <c r="J126" s="35" t="n"/>
      <c r="K126" s="35" t="n"/>
      <c r="L126" s="35" t="n"/>
      <c r="M126" s="35" t="n"/>
      <c r="N126" s="37">
        <f>IF(COUNTA(J126:M126)&gt;0,"X","")</f>
        <v/>
      </c>
      <c r="O126" s="35" t="n"/>
      <c r="P126" s="35" t="n"/>
      <c r="Q126" s="35" t="n"/>
      <c r="R126" s="35" t="n"/>
      <c r="S126" s="37">
        <f>IF(COUNTA(O126:R126)&gt;0,"X","")</f>
        <v/>
      </c>
      <c r="T126" s="35" t="n"/>
      <c r="U126" s="35" t="n"/>
      <c r="V126" s="35" t="n"/>
      <c r="W126" s="35" t="n"/>
      <c r="X126" s="37">
        <f>IF(COUNTA(T126:W126)&gt;0,"X","")</f>
        <v/>
      </c>
      <c r="Z126">
        <f>AND(I126&lt;&gt;"",N126&lt;&gt;"")</f>
        <v/>
      </c>
      <c r="AA126">
        <f>OR(I126&lt;&gt;"",N126&lt;&gt;"")</f>
        <v/>
      </c>
      <c r="AB126">
        <f>AND(I126&lt;&gt;"",S126&lt;&gt;"")</f>
        <v/>
      </c>
      <c r="AC126">
        <f>OR(I126&lt;&gt;"",S126&lt;&gt;"")</f>
        <v/>
      </c>
      <c r="AD126">
        <f>AND(I126&lt;&gt;"",X126&lt;&gt;"")</f>
        <v/>
      </c>
      <c r="AE126">
        <f>OR(I126&lt;&gt;"",X126&lt;&gt;"")</f>
        <v/>
      </c>
      <c r="AF126">
        <f>AND(N126&lt;&gt;"",S126&lt;&gt;"")</f>
        <v/>
      </c>
      <c r="AG126">
        <f>OR(N126&lt;&gt;"",S126&lt;&gt;"")</f>
        <v/>
      </c>
      <c r="AH126">
        <f>AND(N126&lt;&gt;"",X126&lt;&gt;"")</f>
        <v/>
      </c>
      <c r="AI126">
        <f>OR(N126&lt;&gt;"",X126&lt;&gt;"")</f>
        <v/>
      </c>
      <c r="AJ126">
        <f>AND(S126&lt;&gt;"",X126&lt;&gt;"")</f>
        <v/>
      </c>
      <c r="AK126">
        <f>OR(S126&lt;&gt;"",X126&lt;&gt;"")</f>
        <v/>
      </c>
      <c r="AM126">
        <f>AND(I126&lt;&gt;"",N126&lt;&gt;"",B126="No")</f>
        <v/>
      </c>
      <c r="AN126">
        <f>AND(OR(I126&lt;&gt;"",N126&lt;&gt;""),B126="No")</f>
        <v/>
      </c>
      <c r="AO126">
        <f>AND(I126&lt;&gt;"",S126&lt;&gt;"",B126="No")</f>
        <v/>
      </c>
      <c r="AP126">
        <f>AND(OR(I126&lt;&gt;"",S126&lt;&gt;""),B126="No")</f>
        <v/>
      </c>
      <c r="AQ126">
        <f>AND(I126&lt;&gt;"",X126&lt;&gt;"",B126="No")</f>
        <v/>
      </c>
      <c r="AR126">
        <f>AND(OR(I126&lt;&gt;"",X126&lt;&gt;""),B126="No")</f>
        <v/>
      </c>
      <c r="AS126">
        <f>AND(N126&lt;&gt;"",S126&lt;&gt;"",B126="No")</f>
        <v/>
      </c>
      <c r="AT126">
        <f>AND(OR(N126&lt;&gt;"",S126&lt;&gt;""),B126="No")</f>
        <v/>
      </c>
      <c r="AU126">
        <f>AND(N126&lt;&gt;"",X126&lt;&gt;"",B126="No")</f>
        <v/>
      </c>
      <c r="AV126">
        <f>AND(OR(N126&lt;&gt;"",X126&lt;&gt;""),B126="No")</f>
        <v/>
      </c>
      <c r="AW126">
        <f>AND(S126&lt;&gt;"",X126&lt;&gt;"",B126="No")</f>
        <v/>
      </c>
      <c r="AX126">
        <f>AND(OR(S126&lt;&gt;"",X126&lt;&gt;""),B126="No")</f>
        <v/>
      </c>
    </row>
    <row r="127">
      <c r="A127" s="44" t="inlineStr">
        <is>
          <t>GS.9.6</t>
        </is>
      </c>
      <c r="B127" s="47" t="inlineStr">
        <is>
          <t>No</t>
        </is>
      </c>
      <c r="C127" s="47" t="n"/>
      <c r="D127" s="34" t="n"/>
      <c r="E127" s="35" t="n"/>
      <c r="F127" s="35" t="n"/>
      <c r="G127" s="35" t="n"/>
      <c r="H127" s="35" t="n"/>
      <c r="I127" s="37">
        <f>IF(COUNTA(E127:H127)&gt;0,"X","")</f>
        <v/>
      </c>
      <c r="J127" s="35" t="n"/>
      <c r="K127" s="35" t="n"/>
      <c r="L127" s="35" t="n"/>
      <c r="M127" s="35" t="n"/>
      <c r="N127" s="37">
        <f>IF(COUNTA(J127:M127)&gt;0,"X","")</f>
        <v/>
      </c>
      <c r="O127" s="35" t="n"/>
      <c r="P127" s="35" t="n"/>
      <c r="Q127" s="35" t="n"/>
      <c r="R127" s="35" t="n"/>
      <c r="S127" s="37">
        <f>IF(COUNTA(O127:R127)&gt;0,"X","")</f>
        <v/>
      </c>
      <c r="T127" s="35" t="inlineStr">
        <is>
          <t>X</t>
        </is>
      </c>
      <c r="U127" s="35" t="inlineStr">
        <is>
          <t>X</t>
        </is>
      </c>
      <c r="V127" s="35" t="inlineStr">
        <is>
          <t>X</t>
        </is>
      </c>
      <c r="W127" s="35" t="inlineStr">
        <is>
          <t>X</t>
        </is>
      </c>
      <c r="X127" s="37">
        <f>IF(COUNTA(T127:W127)&gt;0,"X","")</f>
        <v/>
      </c>
      <c r="Z127">
        <f>AND(I127&lt;&gt;"",N127&lt;&gt;"")</f>
        <v/>
      </c>
      <c r="AA127">
        <f>OR(I127&lt;&gt;"",N127&lt;&gt;"")</f>
        <v/>
      </c>
      <c r="AB127">
        <f>AND(I127&lt;&gt;"",S127&lt;&gt;"")</f>
        <v/>
      </c>
      <c r="AC127">
        <f>OR(I127&lt;&gt;"",S127&lt;&gt;"")</f>
        <v/>
      </c>
      <c r="AD127">
        <f>AND(I127&lt;&gt;"",X127&lt;&gt;"")</f>
        <v/>
      </c>
      <c r="AE127">
        <f>OR(I127&lt;&gt;"",X127&lt;&gt;"")</f>
        <v/>
      </c>
      <c r="AF127">
        <f>AND(N127&lt;&gt;"",S127&lt;&gt;"")</f>
        <v/>
      </c>
      <c r="AG127">
        <f>OR(N127&lt;&gt;"",S127&lt;&gt;"")</f>
        <v/>
      </c>
      <c r="AH127">
        <f>AND(N127&lt;&gt;"",X127&lt;&gt;"")</f>
        <v/>
      </c>
      <c r="AI127">
        <f>OR(N127&lt;&gt;"",X127&lt;&gt;"")</f>
        <v/>
      </c>
      <c r="AJ127">
        <f>AND(S127&lt;&gt;"",X127&lt;&gt;"")</f>
        <v/>
      </c>
      <c r="AK127">
        <f>OR(S127&lt;&gt;"",X127&lt;&gt;"")</f>
        <v/>
      </c>
      <c r="AM127">
        <f>AND(I127&lt;&gt;"",N127&lt;&gt;"",B127="No")</f>
        <v/>
      </c>
      <c r="AN127">
        <f>AND(OR(I127&lt;&gt;"",N127&lt;&gt;""),B127="No")</f>
        <v/>
      </c>
      <c r="AO127">
        <f>AND(I127&lt;&gt;"",S127&lt;&gt;"",B127="No")</f>
        <v/>
      </c>
      <c r="AP127">
        <f>AND(OR(I127&lt;&gt;"",S127&lt;&gt;""),B127="No")</f>
        <v/>
      </c>
      <c r="AQ127">
        <f>AND(I127&lt;&gt;"",X127&lt;&gt;"",B127="No")</f>
        <v/>
      </c>
      <c r="AR127">
        <f>AND(OR(I127&lt;&gt;"",X127&lt;&gt;""),B127="No")</f>
        <v/>
      </c>
      <c r="AS127">
        <f>AND(N127&lt;&gt;"",S127&lt;&gt;"",B127="No")</f>
        <v/>
      </c>
      <c r="AT127">
        <f>AND(OR(N127&lt;&gt;"",S127&lt;&gt;""),B127="No")</f>
        <v/>
      </c>
      <c r="AU127">
        <f>AND(N127&lt;&gt;"",X127&lt;&gt;"",B127="No")</f>
        <v/>
      </c>
      <c r="AV127">
        <f>AND(OR(N127&lt;&gt;"",X127&lt;&gt;""),B127="No")</f>
        <v/>
      </c>
      <c r="AW127">
        <f>AND(S127&lt;&gt;"",X127&lt;&gt;"",B127="No")</f>
        <v/>
      </c>
      <c r="AX127">
        <f>AND(OR(S127&lt;&gt;"",X127&lt;&gt;""),B127="No")</f>
        <v/>
      </c>
    </row>
    <row r="128">
      <c r="A128" s="44" t="inlineStr">
        <is>
          <t>GS.9.7</t>
        </is>
      </c>
      <c r="B128" s="47" t="inlineStr">
        <is>
          <t>No</t>
        </is>
      </c>
      <c r="C128" s="47" t="n"/>
      <c r="D128" s="34" t="n"/>
      <c r="E128" s="35" t="n"/>
      <c r="F128" s="35" t="n"/>
      <c r="G128" s="35" t="n"/>
      <c r="H128" s="35" t="n"/>
      <c r="I128" s="37">
        <f>IF(COUNTA(E128:H128)&gt;0,"X","")</f>
        <v/>
      </c>
      <c r="J128" s="35" t="n"/>
      <c r="K128" s="35" t="n"/>
      <c r="L128" s="35" t="n"/>
      <c r="M128" s="35" t="n"/>
      <c r="N128" s="37">
        <f>IF(COUNTA(J128:M128)&gt;0,"X","")</f>
        <v/>
      </c>
      <c r="O128" s="35" t="n"/>
      <c r="P128" s="35" t="n"/>
      <c r="Q128" s="35" t="n"/>
      <c r="R128" s="35" t="n"/>
      <c r="S128" s="37">
        <f>IF(COUNTA(O128:R128)&gt;0,"X","")</f>
        <v/>
      </c>
      <c r="T128" s="35" t="n"/>
      <c r="U128" s="35" t="n"/>
      <c r="V128" s="35" t="n"/>
      <c r="W128" s="35" t="n"/>
      <c r="X128" s="37">
        <f>IF(COUNTA(T128:W128)&gt;0,"X","")</f>
        <v/>
      </c>
      <c r="Z128">
        <f>AND(I128&lt;&gt;"",N128&lt;&gt;"")</f>
        <v/>
      </c>
      <c r="AA128">
        <f>OR(I128&lt;&gt;"",N128&lt;&gt;"")</f>
        <v/>
      </c>
      <c r="AB128">
        <f>AND(I128&lt;&gt;"",S128&lt;&gt;"")</f>
        <v/>
      </c>
      <c r="AC128">
        <f>OR(I128&lt;&gt;"",S128&lt;&gt;"")</f>
        <v/>
      </c>
      <c r="AD128">
        <f>AND(I128&lt;&gt;"",X128&lt;&gt;"")</f>
        <v/>
      </c>
      <c r="AE128">
        <f>OR(I128&lt;&gt;"",X128&lt;&gt;"")</f>
        <v/>
      </c>
      <c r="AF128">
        <f>AND(N128&lt;&gt;"",S128&lt;&gt;"")</f>
        <v/>
      </c>
      <c r="AG128">
        <f>OR(N128&lt;&gt;"",S128&lt;&gt;"")</f>
        <v/>
      </c>
      <c r="AH128">
        <f>AND(N128&lt;&gt;"",X128&lt;&gt;"")</f>
        <v/>
      </c>
      <c r="AI128">
        <f>OR(N128&lt;&gt;"",X128&lt;&gt;"")</f>
        <v/>
      </c>
      <c r="AJ128">
        <f>AND(S128&lt;&gt;"",X128&lt;&gt;"")</f>
        <v/>
      </c>
      <c r="AK128">
        <f>OR(S128&lt;&gt;"",X128&lt;&gt;"")</f>
        <v/>
      </c>
      <c r="AM128">
        <f>AND(I128&lt;&gt;"",N128&lt;&gt;"",B128="No")</f>
        <v/>
      </c>
      <c r="AN128">
        <f>AND(OR(I128&lt;&gt;"",N128&lt;&gt;""),B128="No")</f>
        <v/>
      </c>
      <c r="AO128">
        <f>AND(I128&lt;&gt;"",S128&lt;&gt;"",B128="No")</f>
        <v/>
      </c>
      <c r="AP128">
        <f>AND(OR(I128&lt;&gt;"",S128&lt;&gt;""),B128="No")</f>
        <v/>
      </c>
      <c r="AQ128">
        <f>AND(I128&lt;&gt;"",X128&lt;&gt;"",B128="No")</f>
        <v/>
      </c>
      <c r="AR128">
        <f>AND(OR(I128&lt;&gt;"",X128&lt;&gt;""),B128="No")</f>
        <v/>
      </c>
      <c r="AS128">
        <f>AND(N128&lt;&gt;"",S128&lt;&gt;"",B128="No")</f>
        <v/>
      </c>
      <c r="AT128">
        <f>AND(OR(N128&lt;&gt;"",S128&lt;&gt;""),B128="No")</f>
        <v/>
      </c>
      <c r="AU128">
        <f>AND(N128&lt;&gt;"",X128&lt;&gt;"",B128="No")</f>
        <v/>
      </c>
      <c r="AV128">
        <f>AND(OR(N128&lt;&gt;"",X128&lt;&gt;""),B128="No")</f>
        <v/>
      </c>
      <c r="AW128">
        <f>AND(S128&lt;&gt;"",X128&lt;&gt;"",B128="No")</f>
        <v/>
      </c>
      <c r="AX128">
        <f>AND(OR(S128&lt;&gt;"",X128&lt;&gt;""),B128="No")</f>
        <v/>
      </c>
    </row>
    <row r="129">
      <c r="A129" s="44" t="inlineStr">
        <is>
          <t>GS.9.8</t>
        </is>
      </c>
      <c r="B129" s="47" t="inlineStr">
        <is>
          <t>No</t>
        </is>
      </c>
      <c r="C129" s="47" t="n"/>
      <c r="D129" s="34" t="n"/>
      <c r="E129" s="35" t="n"/>
      <c r="F129" s="35" t="inlineStr">
        <is>
          <t>X</t>
        </is>
      </c>
      <c r="G129" s="35" t="inlineStr">
        <is>
          <t>X</t>
        </is>
      </c>
      <c r="H129" s="35" t="n"/>
      <c r="I129" s="37">
        <f>IF(COUNTA(E129:H129)&gt;0,"X","")</f>
        <v/>
      </c>
      <c r="J129" s="35" t="n"/>
      <c r="K129" s="35" t="n"/>
      <c r="L129" s="35" t="n"/>
      <c r="M129" s="35" t="n"/>
      <c r="N129" s="37">
        <f>IF(COUNTA(J129:M129)&gt;0,"X","")</f>
        <v/>
      </c>
      <c r="O129" s="35" t="n"/>
      <c r="P129" s="35" t="n"/>
      <c r="Q129" s="35" t="n"/>
      <c r="R129" s="35" t="n"/>
      <c r="S129" s="37">
        <f>IF(COUNTA(O129:R129)&gt;0,"X","")</f>
        <v/>
      </c>
      <c r="T129" s="35" t="inlineStr">
        <is>
          <t>X</t>
        </is>
      </c>
      <c r="U129" s="35" t="n"/>
      <c r="V129" s="35" t="n"/>
      <c r="W129" s="35" t="n"/>
      <c r="X129" s="37">
        <f>IF(COUNTA(T129:W129)&gt;0,"X","")</f>
        <v/>
      </c>
      <c r="Z129">
        <f>AND(I129&lt;&gt;"",N129&lt;&gt;"")</f>
        <v/>
      </c>
      <c r="AA129">
        <f>OR(I129&lt;&gt;"",N129&lt;&gt;"")</f>
        <v/>
      </c>
      <c r="AB129">
        <f>AND(I129&lt;&gt;"",S129&lt;&gt;"")</f>
        <v/>
      </c>
      <c r="AC129">
        <f>OR(I129&lt;&gt;"",S129&lt;&gt;"")</f>
        <v/>
      </c>
      <c r="AD129">
        <f>AND(I129&lt;&gt;"",X129&lt;&gt;"")</f>
        <v/>
      </c>
      <c r="AE129">
        <f>OR(I129&lt;&gt;"",X129&lt;&gt;"")</f>
        <v/>
      </c>
      <c r="AF129">
        <f>AND(N129&lt;&gt;"",S129&lt;&gt;"")</f>
        <v/>
      </c>
      <c r="AG129">
        <f>OR(N129&lt;&gt;"",S129&lt;&gt;"")</f>
        <v/>
      </c>
      <c r="AH129">
        <f>AND(N129&lt;&gt;"",X129&lt;&gt;"")</f>
        <v/>
      </c>
      <c r="AI129">
        <f>OR(N129&lt;&gt;"",X129&lt;&gt;"")</f>
        <v/>
      </c>
      <c r="AJ129">
        <f>AND(S129&lt;&gt;"",X129&lt;&gt;"")</f>
        <v/>
      </c>
      <c r="AK129">
        <f>OR(S129&lt;&gt;"",X129&lt;&gt;"")</f>
        <v/>
      </c>
      <c r="AM129">
        <f>AND(I129&lt;&gt;"",N129&lt;&gt;"",B129="No")</f>
        <v/>
      </c>
      <c r="AN129">
        <f>AND(OR(I129&lt;&gt;"",N129&lt;&gt;""),B129="No")</f>
        <v/>
      </c>
      <c r="AO129">
        <f>AND(I129&lt;&gt;"",S129&lt;&gt;"",B129="No")</f>
        <v/>
      </c>
      <c r="AP129">
        <f>AND(OR(I129&lt;&gt;"",S129&lt;&gt;""),B129="No")</f>
        <v/>
      </c>
      <c r="AQ129">
        <f>AND(I129&lt;&gt;"",X129&lt;&gt;"",B129="No")</f>
        <v/>
      </c>
      <c r="AR129">
        <f>AND(OR(I129&lt;&gt;"",X129&lt;&gt;""),B129="No")</f>
        <v/>
      </c>
      <c r="AS129">
        <f>AND(N129&lt;&gt;"",S129&lt;&gt;"",B129="No")</f>
        <v/>
      </c>
      <c r="AT129">
        <f>AND(OR(N129&lt;&gt;"",S129&lt;&gt;""),B129="No")</f>
        <v/>
      </c>
      <c r="AU129">
        <f>AND(N129&lt;&gt;"",X129&lt;&gt;"",B129="No")</f>
        <v/>
      </c>
      <c r="AV129">
        <f>AND(OR(N129&lt;&gt;"",X129&lt;&gt;""),B129="No")</f>
        <v/>
      </c>
      <c r="AW129">
        <f>AND(S129&lt;&gt;"",X129&lt;&gt;"",B129="No")</f>
        <v/>
      </c>
      <c r="AX129">
        <f>AND(OR(S129&lt;&gt;"",X129&lt;&gt;""),B129="No")</f>
        <v/>
      </c>
    </row>
    <row r="130">
      <c r="A130" s="44" t="inlineStr">
        <is>
          <t>Q0.9.4</t>
        </is>
      </c>
      <c r="B130" s="47" t="inlineStr">
        <is>
          <t>Yes</t>
        </is>
      </c>
      <c r="C130" t="inlineStr">
        <is>
          <t>Template drift</t>
        </is>
      </c>
      <c r="D130" s="34" t="n"/>
      <c r="E130" s="35" t="n"/>
      <c r="F130" s="35" t="n"/>
      <c r="G130" s="35" t="n"/>
      <c r="H130" s="35" t="n"/>
      <c r="I130" s="37">
        <f>IF(COUNTA(E130:H130)&gt;0,"X","")</f>
        <v/>
      </c>
      <c r="J130" s="35" t="inlineStr">
        <is>
          <t>X</t>
        </is>
      </c>
      <c r="K130" s="35" t="n"/>
      <c r="L130" s="35" t="n"/>
      <c r="M130" s="35" t="n"/>
      <c r="N130" s="37">
        <f>IF(COUNTA(J130:M130)&gt;0,"X","")</f>
        <v/>
      </c>
      <c r="O130" s="35" t="n"/>
      <c r="P130" s="35" t="n"/>
      <c r="Q130" s="35" t="n"/>
      <c r="R130" s="35" t="n"/>
      <c r="S130" s="37">
        <f>IF(COUNTA(O130:R130)&gt;0,"X","")</f>
        <v/>
      </c>
      <c r="T130" s="35" t="n"/>
      <c r="U130" s="35" t="n"/>
      <c r="V130" s="35" t="n"/>
      <c r="W130" s="35" t="n"/>
      <c r="X130" s="37">
        <f>IF(COUNTA(T130:W130)&gt;0,"X","")</f>
        <v/>
      </c>
      <c r="Z130">
        <f>AND(I130&lt;&gt;"",N130&lt;&gt;"")</f>
        <v/>
      </c>
      <c r="AA130">
        <f>OR(I130&lt;&gt;"",N130&lt;&gt;"")</f>
        <v/>
      </c>
      <c r="AB130">
        <f>AND(I130&lt;&gt;"",S130&lt;&gt;"")</f>
        <v/>
      </c>
      <c r="AC130">
        <f>OR(I130&lt;&gt;"",S130&lt;&gt;"")</f>
        <v/>
      </c>
      <c r="AD130">
        <f>AND(I130&lt;&gt;"",X130&lt;&gt;"")</f>
        <v/>
      </c>
      <c r="AE130">
        <f>OR(I130&lt;&gt;"",X130&lt;&gt;"")</f>
        <v/>
      </c>
      <c r="AF130">
        <f>AND(N130&lt;&gt;"",S130&lt;&gt;"")</f>
        <v/>
      </c>
      <c r="AG130">
        <f>OR(N130&lt;&gt;"",S130&lt;&gt;"")</f>
        <v/>
      </c>
      <c r="AH130">
        <f>AND(N130&lt;&gt;"",X130&lt;&gt;"")</f>
        <v/>
      </c>
      <c r="AI130">
        <f>OR(N130&lt;&gt;"",X130&lt;&gt;"")</f>
        <v/>
      </c>
      <c r="AJ130">
        <f>AND(S130&lt;&gt;"",X130&lt;&gt;"")</f>
        <v/>
      </c>
      <c r="AK130">
        <f>OR(S130&lt;&gt;"",X130&lt;&gt;"")</f>
        <v/>
      </c>
      <c r="AM130">
        <f>AND(I130&lt;&gt;"",N130&lt;&gt;"",B130="No")</f>
        <v/>
      </c>
      <c r="AN130">
        <f>AND(OR(I130&lt;&gt;"",N130&lt;&gt;""),B130="No")</f>
        <v/>
      </c>
      <c r="AO130">
        <f>AND(I130&lt;&gt;"",S130&lt;&gt;"",B130="No")</f>
        <v/>
      </c>
      <c r="AP130">
        <f>AND(OR(I130&lt;&gt;"",S130&lt;&gt;""),B130="No")</f>
        <v/>
      </c>
      <c r="AQ130">
        <f>AND(I130&lt;&gt;"",X130&lt;&gt;"",B130="No")</f>
        <v/>
      </c>
      <c r="AR130">
        <f>AND(OR(I130&lt;&gt;"",X130&lt;&gt;""),B130="No")</f>
        <v/>
      </c>
      <c r="AS130">
        <f>AND(N130&lt;&gt;"",S130&lt;&gt;"",B130="No")</f>
        <v/>
      </c>
      <c r="AT130">
        <f>AND(OR(N130&lt;&gt;"",S130&lt;&gt;""),B130="No")</f>
        <v/>
      </c>
      <c r="AU130">
        <f>AND(N130&lt;&gt;"",X130&lt;&gt;"",B130="No")</f>
        <v/>
      </c>
      <c r="AV130">
        <f>AND(OR(N130&lt;&gt;"",X130&lt;&gt;""),B130="No")</f>
        <v/>
      </c>
      <c r="AW130">
        <f>AND(S130&lt;&gt;"",X130&lt;&gt;"",B130="No")</f>
        <v/>
      </c>
      <c r="AX130">
        <f>AND(OR(S130&lt;&gt;"",X130&lt;&gt;""),B130="No")</f>
        <v/>
      </c>
    </row>
    <row r="131">
      <c r="A131" s="44" t="inlineStr">
        <is>
          <t>Q0_ii.9.4</t>
        </is>
      </c>
      <c r="B131" s="47" t="inlineStr">
        <is>
          <t>Yes</t>
        </is>
      </c>
      <c r="C131" t="inlineStr">
        <is>
          <t>Template drift</t>
        </is>
      </c>
      <c r="D131" s="34" t="n"/>
      <c r="E131" s="35" t="n"/>
      <c r="F131" s="35" t="n"/>
      <c r="G131" s="35" t="n"/>
      <c r="H131" s="35" t="n"/>
      <c r="I131" s="37">
        <f>IF(COUNTA(E131:H131)&gt;0,"X","")</f>
        <v/>
      </c>
      <c r="J131" s="35" t="n"/>
      <c r="K131" s="35" t="inlineStr">
        <is>
          <t>X</t>
        </is>
      </c>
      <c r="L131" s="35" t="n"/>
      <c r="M131" s="35" t="n"/>
      <c r="N131" s="37">
        <f>IF(COUNTA(J131:M131)&gt;0,"X","")</f>
        <v/>
      </c>
      <c r="O131" s="35" t="n"/>
      <c r="P131" s="35" t="n"/>
      <c r="Q131" s="35" t="n"/>
      <c r="R131" s="35" t="n"/>
      <c r="S131" s="37">
        <f>IF(COUNTA(O131:R131)&gt;0,"X","")</f>
        <v/>
      </c>
      <c r="T131" s="35" t="n"/>
      <c r="U131" s="35" t="n"/>
      <c r="V131" s="35" t="n"/>
      <c r="W131" s="35" t="n"/>
      <c r="X131" s="37">
        <f>IF(COUNTA(T131:W131)&gt;0,"X","")</f>
        <v/>
      </c>
      <c r="Z131">
        <f>AND(I131&lt;&gt;"",N131&lt;&gt;"")</f>
        <v/>
      </c>
      <c r="AA131">
        <f>OR(I131&lt;&gt;"",N131&lt;&gt;"")</f>
        <v/>
      </c>
      <c r="AB131">
        <f>AND(I131&lt;&gt;"",S131&lt;&gt;"")</f>
        <v/>
      </c>
      <c r="AC131">
        <f>OR(I131&lt;&gt;"",S131&lt;&gt;"")</f>
        <v/>
      </c>
      <c r="AD131">
        <f>AND(I131&lt;&gt;"",X131&lt;&gt;"")</f>
        <v/>
      </c>
      <c r="AE131">
        <f>OR(I131&lt;&gt;"",X131&lt;&gt;"")</f>
        <v/>
      </c>
      <c r="AF131">
        <f>AND(N131&lt;&gt;"",S131&lt;&gt;"")</f>
        <v/>
      </c>
      <c r="AG131">
        <f>OR(N131&lt;&gt;"",S131&lt;&gt;"")</f>
        <v/>
      </c>
      <c r="AH131">
        <f>AND(N131&lt;&gt;"",X131&lt;&gt;"")</f>
        <v/>
      </c>
      <c r="AI131">
        <f>OR(N131&lt;&gt;"",X131&lt;&gt;"")</f>
        <v/>
      </c>
      <c r="AJ131">
        <f>AND(S131&lt;&gt;"",X131&lt;&gt;"")</f>
        <v/>
      </c>
      <c r="AK131">
        <f>OR(S131&lt;&gt;"",X131&lt;&gt;"")</f>
        <v/>
      </c>
      <c r="AM131">
        <f>AND(I131&lt;&gt;"",N131&lt;&gt;"",B131="No")</f>
        <v/>
      </c>
      <c r="AN131">
        <f>AND(OR(I131&lt;&gt;"",N131&lt;&gt;""),B131="No")</f>
        <v/>
      </c>
      <c r="AO131">
        <f>AND(I131&lt;&gt;"",S131&lt;&gt;"",B131="No")</f>
        <v/>
      </c>
      <c r="AP131">
        <f>AND(OR(I131&lt;&gt;"",S131&lt;&gt;""),B131="No")</f>
        <v/>
      </c>
      <c r="AQ131">
        <f>AND(I131&lt;&gt;"",X131&lt;&gt;"",B131="No")</f>
        <v/>
      </c>
      <c r="AR131">
        <f>AND(OR(I131&lt;&gt;"",X131&lt;&gt;""),B131="No")</f>
        <v/>
      </c>
      <c r="AS131">
        <f>AND(N131&lt;&gt;"",S131&lt;&gt;"",B131="No")</f>
        <v/>
      </c>
      <c r="AT131">
        <f>AND(OR(N131&lt;&gt;"",S131&lt;&gt;""),B131="No")</f>
        <v/>
      </c>
      <c r="AU131">
        <f>AND(N131&lt;&gt;"",X131&lt;&gt;"",B131="No")</f>
        <v/>
      </c>
      <c r="AV131">
        <f>AND(OR(N131&lt;&gt;"",X131&lt;&gt;""),B131="No")</f>
        <v/>
      </c>
      <c r="AW131">
        <f>AND(S131&lt;&gt;"",X131&lt;&gt;"",B131="No")</f>
        <v/>
      </c>
      <c r="AX131">
        <f>AND(OR(S131&lt;&gt;"",X131&lt;&gt;""),B131="No")</f>
        <v/>
      </c>
    </row>
    <row r="132">
      <c r="A132" s="44" t="inlineStr">
        <is>
          <t>GS.10.1</t>
        </is>
      </c>
      <c r="B132" s="47" t="inlineStr">
        <is>
          <t>No</t>
        </is>
      </c>
      <c r="C132" s="47" t="n"/>
      <c r="D132" s="34" t="inlineStr">
        <is>
          <t>H.10.1</t>
        </is>
      </c>
      <c r="E132" s="35" t="n"/>
      <c r="F132" s="35" t="n"/>
      <c r="G132" s="35" t="n"/>
      <c r="H132" s="35" t="n"/>
      <c r="I132" s="37">
        <f>IF(COUNTA(E132:H132)&gt;0,"X","")</f>
        <v/>
      </c>
      <c r="K132" s="27" t="inlineStr">
        <is>
          <t>X</t>
        </is>
      </c>
      <c r="L132" s="27" t="inlineStr">
        <is>
          <t>X</t>
        </is>
      </c>
      <c r="M132" s="27" t="inlineStr">
        <is>
          <t>X</t>
        </is>
      </c>
      <c r="N132" s="37">
        <f>IF(COUNTA(J132:M132)&gt;0,"X","")</f>
        <v/>
      </c>
      <c r="O132" s="27" t="inlineStr">
        <is>
          <t>X</t>
        </is>
      </c>
      <c r="P132" s="27" t="inlineStr">
        <is>
          <t>X</t>
        </is>
      </c>
      <c r="Q132" s="27" t="inlineStr">
        <is>
          <t>X</t>
        </is>
      </c>
      <c r="R132" s="27" t="inlineStr">
        <is>
          <t>X</t>
        </is>
      </c>
      <c r="S132" s="37">
        <f>IF(COUNTA(O132:R132)&gt;0,"X","")</f>
        <v/>
      </c>
      <c r="U132" s="27" t="inlineStr">
        <is>
          <t>X</t>
        </is>
      </c>
      <c r="W132" s="27" t="inlineStr">
        <is>
          <t>X</t>
        </is>
      </c>
      <c r="X132" s="37">
        <f>IF(COUNTA(T132:W132)&gt;0,"X","")</f>
        <v/>
      </c>
      <c r="Z132">
        <f>AND(I132&lt;&gt;"",N132&lt;&gt;"")</f>
        <v/>
      </c>
      <c r="AA132">
        <f>OR(I132&lt;&gt;"",N132&lt;&gt;"")</f>
        <v/>
      </c>
      <c r="AB132">
        <f>AND(I132&lt;&gt;"",S132&lt;&gt;"")</f>
        <v/>
      </c>
      <c r="AC132">
        <f>OR(I132&lt;&gt;"",S132&lt;&gt;"")</f>
        <v/>
      </c>
      <c r="AD132">
        <f>AND(I132&lt;&gt;"",X132&lt;&gt;"")</f>
        <v/>
      </c>
      <c r="AE132">
        <f>OR(I132&lt;&gt;"",X132&lt;&gt;"")</f>
        <v/>
      </c>
      <c r="AF132">
        <f>AND(N132&lt;&gt;"",S132&lt;&gt;"")</f>
        <v/>
      </c>
      <c r="AG132">
        <f>OR(N132&lt;&gt;"",S132&lt;&gt;"")</f>
        <v/>
      </c>
      <c r="AH132">
        <f>AND(N132&lt;&gt;"",X132&lt;&gt;"")</f>
        <v/>
      </c>
      <c r="AI132">
        <f>OR(N132&lt;&gt;"",X132&lt;&gt;"")</f>
        <v/>
      </c>
      <c r="AJ132">
        <f>AND(S132&lt;&gt;"",X132&lt;&gt;"")</f>
        <v/>
      </c>
      <c r="AK132">
        <f>OR(S132&lt;&gt;"",X132&lt;&gt;"")</f>
        <v/>
      </c>
      <c r="AM132">
        <f>AND(I132&lt;&gt;"",N132&lt;&gt;"",B132="No")</f>
        <v/>
      </c>
      <c r="AN132">
        <f>AND(OR(I132&lt;&gt;"",N132&lt;&gt;""),B132="No")</f>
        <v/>
      </c>
      <c r="AO132">
        <f>AND(I132&lt;&gt;"",S132&lt;&gt;"",B132="No")</f>
        <v/>
      </c>
      <c r="AP132">
        <f>AND(OR(I132&lt;&gt;"",S132&lt;&gt;""),B132="No")</f>
        <v/>
      </c>
      <c r="AQ132">
        <f>AND(I132&lt;&gt;"",X132&lt;&gt;"",B132="No")</f>
        <v/>
      </c>
      <c r="AR132">
        <f>AND(OR(I132&lt;&gt;"",X132&lt;&gt;""),B132="No")</f>
        <v/>
      </c>
      <c r="AS132">
        <f>AND(N132&lt;&gt;"",S132&lt;&gt;"",B132="No")</f>
        <v/>
      </c>
      <c r="AT132">
        <f>AND(OR(N132&lt;&gt;"",S132&lt;&gt;""),B132="No")</f>
        <v/>
      </c>
      <c r="AU132">
        <f>AND(N132&lt;&gt;"",X132&lt;&gt;"",B132="No")</f>
        <v/>
      </c>
      <c r="AV132">
        <f>AND(OR(N132&lt;&gt;"",X132&lt;&gt;""),B132="No")</f>
        <v/>
      </c>
      <c r="AW132">
        <f>AND(S132&lt;&gt;"",X132&lt;&gt;"",B132="No")</f>
        <v/>
      </c>
      <c r="AX132">
        <f>AND(OR(S132&lt;&gt;"",X132&lt;&gt;""),B132="No")</f>
        <v/>
      </c>
    </row>
    <row r="133">
      <c r="A133" s="44" t="inlineStr">
        <is>
          <t>GS.10.2</t>
        </is>
      </c>
      <c r="B133" s="47" t="inlineStr">
        <is>
          <t>No</t>
        </is>
      </c>
      <c r="C133" s="47" t="n"/>
      <c r="D133" s="34" t="inlineStr">
        <is>
          <t>H.10.2</t>
        </is>
      </c>
      <c r="E133" s="27" t="inlineStr">
        <is>
          <t>X</t>
        </is>
      </c>
      <c r="F133" s="27" t="inlineStr">
        <is>
          <t>P</t>
        </is>
      </c>
      <c r="G133" s="27" t="inlineStr">
        <is>
          <t>X</t>
        </is>
      </c>
      <c r="H133" s="27" t="inlineStr">
        <is>
          <t>X</t>
        </is>
      </c>
      <c r="I133" s="37">
        <f>IF(COUNTA(E133:H133)&gt;0,"X","")</f>
        <v/>
      </c>
      <c r="J133" s="35" t="n"/>
      <c r="K133" s="35" t="n"/>
      <c r="L133" s="35" t="n"/>
      <c r="M133" s="35" t="n"/>
      <c r="N133" s="37">
        <f>IF(COUNTA(J133:M133)&gt;0,"X","")</f>
        <v/>
      </c>
      <c r="O133" s="27" t="inlineStr">
        <is>
          <t>X</t>
        </is>
      </c>
      <c r="P133" s="27" t="inlineStr">
        <is>
          <t>X</t>
        </is>
      </c>
      <c r="Q133" s="27" t="inlineStr">
        <is>
          <t>X</t>
        </is>
      </c>
      <c r="S133" s="37">
        <f>IF(COUNTA(O133:R133)&gt;0,"X","")</f>
        <v/>
      </c>
      <c r="T133" s="27" t="inlineStr">
        <is>
          <t>P</t>
        </is>
      </c>
      <c r="U133" s="27" t="inlineStr">
        <is>
          <t>P</t>
        </is>
      </c>
      <c r="V133" s="27" t="inlineStr">
        <is>
          <t>P</t>
        </is>
      </c>
      <c r="W133" s="27" t="inlineStr">
        <is>
          <t>P</t>
        </is>
      </c>
      <c r="X133" s="37">
        <f>IF(COUNTA(T133:W133)&gt;0,"X","")</f>
        <v/>
      </c>
      <c r="Z133">
        <f>AND(I133&lt;&gt;"",N133&lt;&gt;"")</f>
        <v/>
      </c>
      <c r="AA133">
        <f>OR(I133&lt;&gt;"",N133&lt;&gt;"")</f>
        <v/>
      </c>
      <c r="AB133">
        <f>AND(I133&lt;&gt;"",S133&lt;&gt;"")</f>
        <v/>
      </c>
      <c r="AC133">
        <f>OR(I133&lt;&gt;"",S133&lt;&gt;"")</f>
        <v/>
      </c>
      <c r="AD133">
        <f>AND(I133&lt;&gt;"",X133&lt;&gt;"")</f>
        <v/>
      </c>
      <c r="AE133">
        <f>OR(I133&lt;&gt;"",X133&lt;&gt;"")</f>
        <v/>
      </c>
      <c r="AF133">
        <f>AND(N133&lt;&gt;"",S133&lt;&gt;"")</f>
        <v/>
      </c>
      <c r="AG133">
        <f>OR(N133&lt;&gt;"",S133&lt;&gt;"")</f>
        <v/>
      </c>
      <c r="AH133">
        <f>AND(N133&lt;&gt;"",X133&lt;&gt;"")</f>
        <v/>
      </c>
      <c r="AI133">
        <f>OR(N133&lt;&gt;"",X133&lt;&gt;"")</f>
        <v/>
      </c>
      <c r="AJ133">
        <f>AND(S133&lt;&gt;"",X133&lt;&gt;"")</f>
        <v/>
      </c>
      <c r="AK133">
        <f>OR(S133&lt;&gt;"",X133&lt;&gt;"")</f>
        <v/>
      </c>
      <c r="AM133">
        <f>AND(I133&lt;&gt;"",N133&lt;&gt;"",B133="No")</f>
        <v/>
      </c>
      <c r="AN133">
        <f>AND(OR(I133&lt;&gt;"",N133&lt;&gt;""),B133="No")</f>
        <v/>
      </c>
      <c r="AO133">
        <f>AND(I133&lt;&gt;"",S133&lt;&gt;"",B133="No")</f>
        <v/>
      </c>
      <c r="AP133">
        <f>AND(OR(I133&lt;&gt;"",S133&lt;&gt;""),B133="No")</f>
        <v/>
      </c>
      <c r="AQ133">
        <f>AND(I133&lt;&gt;"",X133&lt;&gt;"",B133="No")</f>
        <v/>
      </c>
      <c r="AR133">
        <f>AND(OR(I133&lt;&gt;"",X133&lt;&gt;""),B133="No")</f>
        <v/>
      </c>
      <c r="AS133">
        <f>AND(N133&lt;&gt;"",S133&lt;&gt;"",B133="No")</f>
        <v/>
      </c>
      <c r="AT133">
        <f>AND(OR(N133&lt;&gt;"",S133&lt;&gt;""),B133="No")</f>
        <v/>
      </c>
      <c r="AU133">
        <f>AND(N133&lt;&gt;"",X133&lt;&gt;"",B133="No")</f>
        <v/>
      </c>
      <c r="AV133">
        <f>AND(OR(N133&lt;&gt;"",X133&lt;&gt;""),B133="No")</f>
        <v/>
      </c>
      <c r="AW133">
        <f>AND(S133&lt;&gt;"",X133&lt;&gt;"",B133="No")</f>
        <v/>
      </c>
      <c r="AX133">
        <f>AND(OR(S133&lt;&gt;"",X133&lt;&gt;""),B133="No")</f>
        <v/>
      </c>
    </row>
    <row r="134">
      <c r="A134" s="44" t="inlineStr">
        <is>
          <t>GS.10.3</t>
        </is>
      </c>
      <c r="B134" s="47" t="inlineStr">
        <is>
          <t>No</t>
        </is>
      </c>
      <c r="C134" s="47" t="n"/>
      <c r="D134" s="34" t="inlineStr">
        <is>
          <t>H.10.3</t>
        </is>
      </c>
      <c r="E134" s="27" t="inlineStr">
        <is>
          <t>X</t>
        </is>
      </c>
      <c r="H134" s="27" t="inlineStr">
        <is>
          <t>X</t>
        </is>
      </c>
      <c r="I134" s="37">
        <f>IF(COUNTA(E134:H134)&gt;0,"X","")</f>
        <v/>
      </c>
      <c r="J134" s="27" t="inlineStr">
        <is>
          <t>X</t>
        </is>
      </c>
      <c r="K134" s="35" t="n"/>
      <c r="L134" s="35" t="n"/>
      <c r="M134" s="35" t="n"/>
      <c r="N134" s="37">
        <f>IF(COUNTA(J134:M134)&gt;0,"X","")</f>
        <v/>
      </c>
      <c r="O134" s="27" t="inlineStr">
        <is>
          <t>P</t>
        </is>
      </c>
      <c r="P134" s="27" t="inlineStr">
        <is>
          <t>P</t>
        </is>
      </c>
      <c r="S134" s="37">
        <f>IF(COUNTA(O134:R134)&gt;0,"X","")</f>
        <v/>
      </c>
      <c r="T134" s="27" t="inlineStr">
        <is>
          <t>X</t>
        </is>
      </c>
      <c r="W134" s="27" t="inlineStr">
        <is>
          <t>X</t>
        </is>
      </c>
      <c r="X134" s="37">
        <f>IF(COUNTA(T134:W134)&gt;0,"X","")</f>
        <v/>
      </c>
      <c r="Z134">
        <f>AND(I134&lt;&gt;"",N134&lt;&gt;"")</f>
        <v/>
      </c>
      <c r="AA134">
        <f>OR(I134&lt;&gt;"",N134&lt;&gt;"")</f>
        <v/>
      </c>
      <c r="AB134">
        <f>AND(I134&lt;&gt;"",S134&lt;&gt;"")</f>
        <v/>
      </c>
      <c r="AC134">
        <f>OR(I134&lt;&gt;"",S134&lt;&gt;"")</f>
        <v/>
      </c>
      <c r="AD134">
        <f>AND(I134&lt;&gt;"",X134&lt;&gt;"")</f>
        <v/>
      </c>
      <c r="AE134">
        <f>OR(I134&lt;&gt;"",X134&lt;&gt;"")</f>
        <v/>
      </c>
      <c r="AF134">
        <f>AND(N134&lt;&gt;"",S134&lt;&gt;"")</f>
        <v/>
      </c>
      <c r="AG134">
        <f>OR(N134&lt;&gt;"",S134&lt;&gt;"")</f>
        <v/>
      </c>
      <c r="AH134">
        <f>AND(N134&lt;&gt;"",X134&lt;&gt;"")</f>
        <v/>
      </c>
      <c r="AI134">
        <f>OR(N134&lt;&gt;"",X134&lt;&gt;"")</f>
        <v/>
      </c>
      <c r="AJ134">
        <f>AND(S134&lt;&gt;"",X134&lt;&gt;"")</f>
        <v/>
      </c>
      <c r="AK134">
        <f>OR(S134&lt;&gt;"",X134&lt;&gt;"")</f>
        <v/>
      </c>
      <c r="AM134">
        <f>AND(I134&lt;&gt;"",N134&lt;&gt;"",B134="No")</f>
        <v/>
      </c>
      <c r="AN134">
        <f>AND(OR(I134&lt;&gt;"",N134&lt;&gt;""),B134="No")</f>
        <v/>
      </c>
      <c r="AO134">
        <f>AND(I134&lt;&gt;"",S134&lt;&gt;"",B134="No")</f>
        <v/>
      </c>
      <c r="AP134">
        <f>AND(OR(I134&lt;&gt;"",S134&lt;&gt;""),B134="No")</f>
        <v/>
      </c>
      <c r="AQ134">
        <f>AND(I134&lt;&gt;"",X134&lt;&gt;"",B134="No")</f>
        <v/>
      </c>
      <c r="AR134">
        <f>AND(OR(I134&lt;&gt;"",X134&lt;&gt;""),B134="No")</f>
        <v/>
      </c>
      <c r="AS134">
        <f>AND(N134&lt;&gt;"",S134&lt;&gt;"",B134="No")</f>
        <v/>
      </c>
      <c r="AT134">
        <f>AND(OR(N134&lt;&gt;"",S134&lt;&gt;""),B134="No")</f>
        <v/>
      </c>
      <c r="AU134">
        <f>AND(N134&lt;&gt;"",X134&lt;&gt;"",B134="No")</f>
        <v/>
      </c>
      <c r="AV134">
        <f>AND(OR(N134&lt;&gt;"",X134&lt;&gt;""),B134="No")</f>
        <v/>
      </c>
      <c r="AW134">
        <f>AND(S134&lt;&gt;"",X134&lt;&gt;"",B134="No")</f>
        <v/>
      </c>
      <c r="AX134">
        <f>AND(OR(S134&lt;&gt;"",X134&lt;&gt;""),B134="No")</f>
        <v/>
      </c>
    </row>
    <row r="135">
      <c r="A135" s="44" t="inlineStr">
        <is>
          <t>GS.10.4</t>
        </is>
      </c>
      <c r="B135" s="47" t="inlineStr">
        <is>
          <t>No</t>
        </is>
      </c>
      <c r="C135" s="47" t="n"/>
      <c r="D135" s="34" t="n"/>
      <c r="E135" s="35" t="inlineStr">
        <is>
          <t>X</t>
        </is>
      </c>
      <c r="F135" s="35" t="n"/>
      <c r="G135" s="35" t="n"/>
      <c r="H135" s="35" t="n"/>
      <c r="I135" s="37">
        <f>IF(COUNTA(E135:H135)&gt;0,"X","")</f>
        <v/>
      </c>
      <c r="J135" s="35" t="n"/>
      <c r="K135" s="35" t="n"/>
      <c r="L135" s="35" t="n"/>
      <c r="M135" s="35" t="n"/>
      <c r="N135" s="37">
        <f>IF(COUNTA(J135:M135)&gt;0,"X","")</f>
        <v/>
      </c>
      <c r="O135" s="35" t="n"/>
      <c r="P135" s="35" t="n"/>
      <c r="Q135" s="35" t="n"/>
      <c r="R135" s="35" t="n"/>
      <c r="S135" s="37">
        <f>IF(COUNTA(O135:R135)&gt;0,"X","")</f>
        <v/>
      </c>
      <c r="T135" s="35" t="n"/>
      <c r="U135" s="35" t="n"/>
      <c r="V135" s="35" t="n"/>
      <c r="W135" s="35" t="n"/>
      <c r="X135" s="37">
        <f>IF(COUNTA(T135:W135)&gt;0,"X","")</f>
        <v/>
      </c>
      <c r="Z135">
        <f>AND(I135&lt;&gt;"",N135&lt;&gt;"")</f>
        <v/>
      </c>
      <c r="AA135">
        <f>OR(I135&lt;&gt;"",N135&lt;&gt;"")</f>
        <v/>
      </c>
      <c r="AB135">
        <f>AND(I135&lt;&gt;"",S135&lt;&gt;"")</f>
        <v/>
      </c>
      <c r="AC135">
        <f>OR(I135&lt;&gt;"",S135&lt;&gt;"")</f>
        <v/>
      </c>
      <c r="AD135">
        <f>AND(I135&lt;&gt;"",X135&lt;&gt;"")</f>
        <v/>
      </c>
      <c r="AE135">
        <f>OR(I135&lt;&gt;"",X135&lt;&gt;"")</f>
        <v/>
      </c>
      <c r="AF135">
        <f>AND(N135&lt;&gt;"",S135&lt;&gt;"")</f>
        <v/>
      </c>
      <c r="AG135">
        <f>OR(N135&lt;&gt;"",S135&lt;&gt;"")</f>
        <v/>
      </c>
      <c r="AH135">
        <f>AND(N135&lt;&gt;"",X135&lt;&gt;"")</f>
        <v/>
      </c>
      <c r="AI135">
        <f>OR(N135&lt;&gt;"",X135&lt;&gt;"")</f>
        <v/>
      </c>
      <c r="AJ135">
        <f>AND(S135&lt;&gt;"",X135&lt;&gt;"")</f>
        <v/>
      </c>
      <c r="AK135">
        <f>OR(S135&lt;&gt;"",X135&lt;&gt;"")</f>
        <v/>
      </c>
      <c r="AM135">
        <f>AND(I135&lt;&gt;"",N135&lt;&gt;"",B135="No")</f>
        <v/>
      </c>
      <c r="AN135">
        <f>AND(OR(I135&lt;&gt;"",N135&lt;&gt;""),B135="No")</f>
        <v/>
      </c>
      <c r="AO135">
        <f>AND(I135&lt;&gt;"",S135&lt;&gt;"",B135="No")</f>
        <v/>
      </c>
      <c r="AP135">
        <f>AND(OR(I135&lt;&gt;"",S135&lt;&gt;""),B135="No")</f>
        <v/>
      </c>
      <c r="AQ135">
        <f>AND(I135&lt;&gt;"",X135&lt;&gt;"",B135="No")</f>
        <v/>
      </c>
      <c r="AR135">
        <f>AND(OR(I135&lt;&gt;"",X135&lt;&gt;""),B135="No")</f>
        <v/>
      </c>
      <c r="AS135">
        <f>AND(N135&lt;&gt;"",S135&lt;&gt;"",B135="No")</f>
        <v/>
      </c>
      <c r="AT135">
        <f>AND(OR(N135&lt;&gt;"",S135&lt;&gt;""),B135="No")</f>
        <v/>
      </c>
      <c r="AU135">
        <f>AND(N135&lt;&gt;"",X135&lt;&gt;"",B135="No")</f>
        <v/>
      </c>
      <c r="AV135">
        <f>AND(OR(N135&lt;&gt;"",X135&lt;&gt;""),B135="No")</f>
        <v/>
      </c>
      <c r="AW135">
        <f>AND(S135&lt;&gt;"",X135&lt;&gt;"",B135="No")</f>
        <v/>
      </c>
      <c r="AX135">
        <f>AND(OR(S135&lt;&gt;"",X135&lt;&gt;""),B135="No")</f>
        <v/>
      </c>
    </row>
    <row r="136">
      <c r="A136" s="44" t="inlineStr">
        <is>
          <t>GS.10.5</t>
        </is>
      </c>
      <c r="B136" s="47" t="inlineStr">
        <is>
          <t>No</t>
        </is>
      </c>
      <c r="C136" s="47" t="n"/>
      <c r="D136" s="34" t="n"/>
      <c r="E136" s="35" t="n"/>
      <c r="F136" s="35" t="inlineStr">
        <is>
          <t>X</t>
        </is>
      </c>
      <c r="G136" s="35" t="inlineStr">
        <is>
          <t>X</t>
        </is>
      </c>
      <c r="H136" s="35" t="inlineStr">
        <is>
          <t>X</t>
        </is>
      </c>
      <c r="I136" s="37">
        <f>IF(COUNTA(E136:H136)&gt;0,"X","")</f>
        <v/>
      </c>
      <c r="J136" s="35" t="n"/>
      <c r="K136" s="35" t="n"/>
      <c r="L136" s="35" t="n"/>
      <c r="M136" s="35" t="n"/>
      <c r="N136" s="37">
        <f>IF(COUNTA(J136:M136)&gt;0,"X","")</f>
        <v/>
      </c>
      <c r="O136" s="35" t="n"/>
      <c r="P136" s="35" t="n"/>
      <c r="Q136" s="35" t="n"/>
      <c r="R136" s="35" t="n"/>
      <c r="S136" s="37">
        <f>IF(COUNTA(O136:R136)&gt;0,"X","")</f>
        <v/>
      </c>
      <c r="T136" s="35" t="inlineStr">
        <is>
          <t>X</t>
        </is>
      </c>
      <c r="U136" s="35" t="inlineStr">
        <is>
          <t>X</t>
        </is>
      </c>
      <c r="V136" s="35" t="inlineStr">
        <is>
          <t>X</t>
        </is>
      </c>
      <c r="W136" s="35" t="inlineStr">
        <is>
          <t>X</t>
        </is>
      </c>
      <c r="X136" s="37">
        <f>IF(COUNTA(T136:W136)&gt;0,"X","")</f>
        <v/>
      </c>
      <c r="Z136">
        <f>AND(I136&lt;&gt;"",N136&lt;&gt;"")</f>
        <v/>
      </c>
      <c r="AA136">
        <f>OR(I136&lt;&gt;"",N136&lt;&gt;"")</f>
        <v/>
      </c>
      <c r="AB136">
        <f>AND(I136&lt;&gt;"",S136&lt;&gt;"")</f>
        <v/>
      </c>
      <c r="AC136">
        <f>OR(I136&lt;&gt;"",S136&lt;&gt;"")</f>
        <v/>
      </c>
      <c r="AD136">
        <f>AND(I136&lt;&gt;"",X136&lt;&gt;"")</f>
        <v/>
      </c>
      <c r="AE136">
        <f>OR(I136&lt;&gt;"",X136&lt;&gt;"")</f>
        <v/>
      </c>
      <c r="AF136">
        <f>AND(N136&lt;&gt;"",S136&lt;&gt;"")</f>
        <v/>
      </c>
      <c r="AG136">
        <f>OR(N136&lt;&gt;"",S136&lt;&gt;"")</f>
        <v/>
      </c>
      <c r="AH136">
        <f>AND(N136&lt;&gt;"",X136&lt;&gt;"")</f>
        <v/>
      </c>
      <c r="AI136">
        <f>OR(N136&lt;&gt;"",X136&lt;&gt;"")</f>
        <v/>
      </c>
      <c r="AJ136">
        <f>AND(S136&lt;&gt;"",X136&lt;&gt;"")</f>
        <v/>
      </c>
      <c r="AK136">
        <f>OR(S136&lt;&gt;"",X136&lt;&gt;"")</f>
        <v/>
      </c>
      <c r="AM136">
        <f>AND(I136&lt;&gt;"",N136&lt;&gt;"",B136="No")</f>
        <v/>
      </c>
      <c r="AN136">
        <f>AND(OR(I136&lt;&gt;"",N136&lt;&gt;""),B136="No")</f>
        <v/>
      </c>
      <c r="AO136">
        <f>AND(I136&lt;&gt;"",S136&lt;&gt;"",B136="No")</f>
        <v/>
      </c>
      <c r="AP136">
        <f>AND(OR(I136&lt;&gt;"",S136&lt;&gt;""),B136="No")</f>
        <v/>
      </c>
      <c r="AQ136">
        <f>AND(I136&lt;&gt;"",X136&lt;&gt;"",B136="No")</f>
        <v/>
      </c>
      <c r="AR136">
        <f>AND(OR(I136&lt;&gt;"",X136&lt;&gt;""),B136="No")</f>
        <v/>
      </c>
      <c r="AS136">
        <f>AND(N136&lt;&gt;"",S136&lt;&gt;"",B136="No")</f>
        <v/>
      </c>
      <c r="AT136">
        <f>AND(OR(N136&lt;&gt;"",S136&lt;&gt;""),B136="No")</f>
        <v/>
      </c>
      <c r="AU136">
        <f>AND(N136&lt;&gt;"",X136&lt;&gt;"",B136="No")</f>
        <v/>
      </c>
      <c r="AV136">
        <f>AND(OR(N136&lt;&gt;"",X136&lt;&gt;""),B136="No")</f>
        <v/>
      </c>
      <c r="AW136">
        <f>AND(S136&lt;&gt;"",X136&lt;&gt;"",B136="No")</f>
        <v/>
      </c>
      <c r="AX136">
        <f>AND(OR(S136&lt;&gt;"",X136&lt;&gt;""),B136="No")</f>
        <v/>
      </c>
    </row>
    <row r="137">
      <c r="A137" s="44" t="inlineStr">
        <is>
          <t>GS.10.6</t>
        </is>
      </c>
      <c r="B137" s="47" t="inlineStr">
        <is>
          <t>No</t>
        </is>
      </c>
      <c r="C137" s="47" t="n"/>
      <c r="D137" s="34" t="n"/>
      <c r="E137" s="35" t="n"/>
      <c r="F137" s="35" t="n"/>
      <c r="G137" s="35" t="inlineStr">
        <is>
          <t>X</t>
        </is>
      </c>
      <c r="H137" s="35" t="n"/>
      <c r="I137" s="37">
        <f>IF(COUNTA(E137:H137)&gt;0,"X","")</f>
        <v/>
      </c>
      <c r="J137" s="35" t="n"/>
      <c r="K137" s="35" t="n"/>
      <c r="L137" s="35" t="n"/>
      <c r="M137" s="35" t="n"/>
      <c r="N137" s="37">
        <f>IF(COUNTA(J137:M137)&gt;0,"X","")</f>
        <v/>
      </c>
      <c r="O137" s="35" t="inlineStr">
        <is>
          <t>X</t>
        </is>
      </c>
      <c r="P137" s="35" t="n"/>
      <c r="Q137" s="35" t="n"/>
      <c r="R137" s="35" t="n"/>
      <c r="S137" s="37">
        <f>IF(COUNTA(O137:R137)&gt;0,"X","")</f>
        <v/>
      </c>
      <c r="T137" s="35" t="n"/>
      <c r="U137" s="35" t="n"/>
      <c r="V137" s="35" t="n"/>
      <c r="W137" s="35" t="n"/>
      <c r="X137" s="37">
        <f>IF(COUNTA(T137:W137)&gt;0,"X","")</f>
        <v/>
      </c>
      <c r="Z137">
        <f>AND(I137&lt;&gt;"",N137&lt;&gt;"")</f>
        <v/>
      </c>
      <c r="AA137">
        <f>OR(I137&lt;&gt;"",N137&lt;&gt;"")</f>
        <v/>
      </c>
      <c r="AB137">
        <f>AND(I137&lt;&gt;"",S137&lt;&gt;"")</f>
        <v/>
      </c>
      <c r="AC137">
        <f>OR(I137&lt;&gt;"",S137&lt;&gt;"")</f>
        <v/>
      </c>
      <c r="AD137">
        <f>AND(I137&lt;&gt;"",X137&lt;&gt;"")</f>
        <v/>
      </c>
      <c r="AE137">
        <f>OR(I137&lt;&gt;"",X137&lt;&gt;"")</f>
        <v/>
      </c>
      <c r="AF137">
        <f>AND(N137&lt;&gt;"",S137&lt;&gt;"")</f>
        <v/>
      </c>
      <c r="AG137">
        <f>OR(N137&lt;&gt;"",S137&lt;&gt;"")</f>
        <v/>
      </c>
      <c r="AH137">
        <f>AND(N137&lt;&gt;"",X137&lt;&gt;"")</f>
        <v/>
      </c>
      <c r="AI137">
        <f>OR(N137&lt;&gt;"",X137&lt;&gt;"")</f>
        <v/>
      </c>
      <c r="AJ137">
        <f>AND(S137&lt;&gt;"",X137&lt;&gt;"")</f>
        <v/>
      </c>
      <c r="AK137">
        <f>OR(S137&lt;&gt;"",X137&lt;&gt;"")</f>
        <v/>
      </c>
      <c r="AM137">
        <f>AND(I137&lt;&gt;"",N137&lt;&gt;"",B137="No")</f>
        <v/>
      </c>
      <c r="AN137">
        <f>AND(OR(I137&lt;&gt;"",N137&lt;&gt;""),B137="No")</f>
        <v/>
      </c>
      <c r="AO137">
        <f>AND(I137&lt;&gt;"",S137&lt;&gt;"",B137="No")</f>
        <v/>
      </c>
      <c r="AP137">
        <f>AND(OR(I137&lt;&gt;"",S137&lt;&gt;""),B137="No")</f>
        <v/>
      </c>
      <c r="AQ137">
        <f>AND(I137&lt;&gt;"",X137&lt;&gt;"",B137="No")</f>
        <v/>
      </c>
      <c r="AR137">
        <f>AND(OR(I137&lt;&gt;"",X137&lt;&gt;""),B137="No")</f>
        <v/>
      </c>
      <c r="AS137">
        <f>AND(N137&lt;&gt;"",S137&lt;&gt;"",B137="No")</f>
        <v/>
      </c>
      <c r="AT137">
        <f>AND(OR(N137&lt;&gt;"",S137&lt;&gt;""),B137="No")</f>
        <v/>
      </c>
      <c r="AU137">
        <f>AND(N137&lt;&gt;"",X137&lt;&gt;"",B137="No")</f>
        <v/>
      </c>
      <c r="AV137">
        <f>AND(OR(N137&lt;&gt;"",X137&lt;&gt;""),B137="No")</f>
        <v/>
      </c>
      <c r="AW137">
        <f>AND(S137&lt;&gt;"",X137&lt;&gt;"",B137="No")</f>
        <v/>
      </c>
      <c r="AX137">
        <f>AND(OR(S137&lt;&gt;"",X137&lt;&gt;""),B137="No")</f>
        <v/>
      </c>
    </row>
    <row r="138">
      <c r="A138" s="44" t="inlineStr">
        <is>
          <t>GS.10.7</t>
        </is>
      </c>
      <c r="B138" s="47" t="inlineStr">
        <is>
          <t>No</t>
        </is>
      </c>
      <c r="C138" s="47" t="n"/>
      <c r="D138" s="34" t="n"/>
      <c r="E138" s="35" t="n"/>
      <c r="F138" s="35" t="n"/>
      <c r="G138" s="35" t="n"/>
      <c r="H138" s="35" t="n"/>
      <c r="I138" s="37">
        <f>IF(COUNTA(E138:H138)&gt;0,"X","")</f>
        <v/>
      </c>
      <c r="J138" s="35" t="n"/>
      <c r="K138" s="35" t="n"/>
      <c r="L138" s="35" t="n"/>
      <c r="M138" s="35" t="n"/>
      <c r="N138" s="37">
        <f>IF(COUNTA(J138:M138)&gt;0,"X","")</f>
        <v/>
      </c>
      <c r="O138" s="35" t="n"/>
      <c r="P138" s="35" t="n"/>
      <c r="Q138" s="35" t="n"/>
      <c r="R138" s="35" t="n"/>
      <c r="S138" s="37">
        <f>IF(COUNTA(O138:R138)&gt;0,"X","")</f>
        <v/>
      </c>
      <c r="T138" s="35" t="n"/>
      <c r="U138" s="35" t="n"/>
      <c r="V138" s="35" t="n"/>
      <c r="W138" s="35" t="n"/>
      <c r="X138" s="37">
        <f>IF(COUNTA(T138:W138)&gt;0,"X","")</f>
        <v/>
      </c>
      <c r="Z138">
        <f>AND(I138&lt;&gt;"",N138&lt;&gt;"")</f>
        <v/>
      </c>
      <c r="AA138">
        <f>OR(I138&lt;&gt;"",N138&lt;&gt;"")</f>
        <v/>
      </c>
      <c r="AB138">
        <f>AND(I138&lt;&gt;"",S138&lt;&gt;"")</f>
        <v/>
      </c>
      <c r="AC138">
        <f>OR(I138&lt;&gt;"",S138&lt;&gt;"")</f>
        <v/>
      </c>
      <c r="AD138">
        <f>AND(I138&lt;&gt;"",X138&lt;&gt;"")</f>
        <v/>
      </c>
      <c r="AE138">
        <f>OR(I138&lt;&gt;"",X138&lt;&gt;"")</f>
        <v/>
      </c>
      <c r="AF138">
        <f>AND(N138&lt;&gt;"",S138&lt;&gt;"")</f>
        <v/>
      </c>
      <c r="AG138">
        <f>OR(N138&lt;&gt;"",S138&lt;&gt;"")</f>
        <v/>
      </c>
      <c r="AH138">
        <f>AND(N138&lt;&gt;"",X138&lt;&gt;"")</f>
        <v/>
      </c>
      <c r="AI138">
        <f>OR(N138&lt;&gt;"",X138&lt;&gt;"")</f>
        <v/>
      </c>
      <c r="AJ138">
        <f>AND(S138&lt;&gt;"",X138&lt;&gt;"")</f>
        <v/>
      </c>
      <c r="AK138">
        <f>OR(S138&lt;&gt;"",X138&lt;&gt;"")</f>
        <v/>
      </c>
      <c r="AM138">
        <f>AND(I138&lt;&gt;"",N138&lt;&gt;"",B138="No")</f>
        <v/>
      </c>
      <c r="AN138">
        <f>AND(OR(I138&lt;&gt;"",N138&lt;&gt;""),B138="No")</f>
        <v/>
      </c>
      <c r="AO138">
        <f>AND(I138&lt;&gt;"",S138&lt;&gt;"",B138="No")</f>
        <v/>
      </c>
      <c r="AP138">
        <f>AND(OR(I138&lt;&gt;"",S138&lt;&gt;""),B138="No")</f>
        <v/>
      </c>
      <c r="AQ138">
        <f>AND(I138&lt;&gt;"",X138&lt;&gt;"",B138="No")</f>
        <v/>
      </c>
      <c r="AR138">
        <f>AND(OR(I138&lt;&gt;"",X138&lt;&gt;""),B138="No")</f>
        <v/>
      </c>
      <c r="AS138">
        <f>AND(N138&lt;&gt;"",S138&lt;&gt;"",B138="No")</f>
        <v/>
      </c>
      <c r="AT138">
        <f>AND(OR(N138&lt;&gt;"",S138&lt;&gt;""),B138="No")</f>
        <v/>
      </c>
      <c r="AU138">
        <f>AND(N138&lt;&gt;"",X138&lt;&gt;"",B138="No")</f>
        <v/>
      </c>
      <c r="AV138">
        <f>AND(OR(N138&lt;&gt;"",X138&lt;&gt;""),B138="No")</f>
        <v/>
      </c>
      <c r="AW138">
        <f>AND(S138&lt;&gt;"",X138&lt;&gt;"",B138="No")</f>
        <v/>
      </c>
      <c r="AX138">
        <f>AND(OR(S138&lt;&gt;"",X138&lt;&gt;""),B138="No")</f>
        <v/>
      </c>
    </row>
    <row r="139">
      <c r="A139" s="44" t="inlineStr">
        <is>
          <t>GS.10.8</t>
        </is>
      </c>
      <c r="B139" s="47" t="inlineStr">
        <is>
          <t>No</t>
        </is>
      </c>
      <c r="C139" s="47" t="n"/>
      <c r="D139" s="34" t="n"/>
      <c r="E139" s="35" t="n"/>
      <c r="F139" s="35" t="n"/>
      <c r="G139" s="35" t="n"/>
      <c r="H139" s="35" t="n"/>
      <c r="I139" s="37">
        <f>IF(COUNTA(E139:H139)&gt;0,"X","")</f>
        <v/>
      </c>
      <c r="J139" s="35" t="n"/>
      <c r="K139" s="35" t="n"/>
      <c r="L139" s="35" t="n"/>
      <c r="M139" s="35" t="n"/>
      <c r="N139" s="37">
        <f>IF(COUNTA(J139:M139)&gt;0,"X","")</f>
        <v/>
      </c>
      <c r="O139" s="35" t="n"/>
      <c r="P139" s="35" t="n"/>
      <c r="Q139" s="35" t="n"/>
      <c r="R139" s="35" t="n"/>
      <c r="S139" s="37">
        <f>IF(COUNTA(O139:R139)&gt;0,"X","")</f>
        <v/>
      </c>
      <c r="T139" s="35" t="n"/>
      <c r="U139" s="35" t="n"/>
      <c r="V139" s="35" t="n"/>
      <c r="W139" s="35" t="n"/>
      <c r="X139" s="37">
        <f>IF(COUNTA(T139:W139)&gt;0,"X","")</f>
        <v/>
      </c>
      <c r="Z139">
        <f>AND(I139&lt;&gt;"",N139&lt;&gt;"")</f>
        <v/>
      </c>
      <c r="AA139">
        <f>OR(I139&lt;&gt;"",N139&lt;&gt;"")</f>
        <v/>
      </c>
      <c r="AB139">
        <f>AND(I139&lt;&gt;"",S139&lt;&gt;"")</f>
        <v/>
      </c>
      <c r="AC139">
        <f>OR(I139&lt;&gt;"",S139&lt;&gt;"")</f>
        <v/>
      </c>
      <c r="AD139">
        <f>AND(I139&lt;&gt;"",X139&lt;&gt;"")</f>
        <v/>
      </c>
      <c r="AE139">
        <f>OR(I139&lt;&gt;"",X139&lt;&gt;"")</f>
        <v/>
      </c>
      <c r="AF139">
        <f>AND(N139&lt;&gt;"",S139&lt;&gt;"")</f>
        <v/>
      </c>
      <c r="AG139">
        <f>OR(N139&lt;&gt;"",S139&lt;&gt;"")</f>
        <v/>
      </c>
      <c r="AH139">
        <f>AND(N139&lt;&gt;"",X139&lt;&gt;"")</f>
        <v/>
      </c>
      <c r="AI139">
        <f>OR(N139&lt;&gt;"",X139&lt;&gt;"")</f>
        <v/>
      </c>
      <c r="AJ139">
        <f>AND(S139&lt;&gt;"",X139&lt;&gt;"")</f>
        <v/>
      </c>
      <c r="AK139">
        <f>OR(S139&lt;&gt;"",X139&lt;&gt;"")</f>
        <v/>
      </c>
      <c r="AM139">
        <f>AND(I139&lt;&gt;"",N139&lt;&gt;"",B139="No")</f>
        <v/>
      </c>
      <c r="AN139">
        <f>AND(OR(I139&lt;&gt;"",N139&lt;&gt;""),B139="No")</f>
        <v/>
      </c>
      <c r="AO139">
        <f>AND(I139&lt;&gt;"",S139&lt;&gt;"",B139="No")</f>
        <v/>
      </c>
      <c r="AP139">
        <f>AND(OR(I139&lt;&gt;"",S139&lt;&gt;""),B139="No")</f>
        <v/>
      </c>
      <c r="AQ139">
        <f>AND(I139&lt;&gt;"",X139&lt;&gt;"",B139="No")</f>
        <v/>
      </c>
      <c r="AR139">
        <f>AND(OR(I139&lt;&gt;"",X139&lt;&gt;""),B139="No")</f>
        <v/>
      </c>
      <c r="AS139">
        <f>AND(N139&lt;&gt;"",S139&lt;&gt;"",B139="No")</f>
        <v/>
      </c>
      <c r="AT139">
        <f>AND(OR(N139&lt;&gt;"",S139&lt;&gt;""),B139="No")</f>
        <v/>
      </c>
      <c r="AU139">
        <f>AND(N139&lt;&gt;"",X139&lt;&gt;"",B139="No")</f>
        <v/>
      </c>
      <c r="AV139">
        <f>AND(OR(N139&lt;&gt;"",X139&lt;&gt;""),B139="No")</f>
        <v/>
      </c>
      <c r="AW139">
        <f>AND(S139&lt;&gt;"",X139&lt;&gt;"",B139="No")</f>
        <v/>
      </c>
      <c r="AX139">
        <f>AND(OR(S139&lt;&gt;"",X139&lt;&gt;""),B139="No")</f>
        <v/>
      </c>
    </row>
    <row r="140">
      <c r="A140" s="44" t="inlineStr">
        <is>
          <t>GS.10.9</t>
        </is>
      </c>
      <c r="B140" s="47" t="inlineStr">
        <is>
          <t>No</t>
        </is>
      </c>
      <c r="C140" s="47" t="n"/>
      <c r="D140" s="34" t="n"/>
      <c r="E140" s="35" t="n"/>
      <c r="F140" s="35" t="n"/>
      <c r="G140" s="35" t="n"/>
      <c r="H140" s="35" t="n"/>
      <c r="I140" s="37">
        <f>IF(COUNTA(E140:H140)&gt;0,"X","")</f>
        <v/>
      </c>
      <c r="J140" s="35" t="n"/>
      <c r="K140" s="35" t="n"/>
      <c r="L140" s="35" t="n"/>
      <c r="M140" s="35" t="n"/>
      <c r="N140" s="37">
        <f>IF(COUNTA(J140:M140)&gt;0,"X","")</f>
        <v/>
      </c>
      <c r="O140" s="35" t="inlineStr">
        <is>
          <t>X</t>
        </is>
      </c>
      <c r="P140" s="35" t="n"/>
      <c r="Q140" s="35" t="n"/>
      <c r="R140" s="35" t="n"/>
      <c r="S140" s="37">
        <f>IF(COUNTA(O140:R140)&gt;0,"X","")</f>
        <v/>
      </c>
      <c r="T140" s="35" t="n"/>
      <c r="U140" s="35" t="n"/>
      <c r="V140" s="35" t="n"/>
      <c r="W140" s="35" t="n"/>
      <c r="X140" s="37">
        <f>IF(COUNTA(T140:W140)&gt;0,"X","")</f>
        <v/>
      </c>
      <c r="Z140">
        <f>AND(I140&lt;&gt;"",N140&lt;&gt;"")</f>
        <v/>
      </c>
      <c r="AA140">
        <f>OR(I140&lt;&gt;"",N140&lt;&gt;"")</f>
        <v/>
      </c>
      <c r="AB140">
        <f>AND(I140&lt;&gt;"",S140&lt;&gt;"")</f>
        <v/>
      </c>
      <c r="AC140">
        <f>OR(I140&lt;&gt;"",S140&lt;&gt;"")</f>
        <v/>
      </c>
      <c r="AD140">
        <f>AND(I140&lt;&gt;"",X140&lt;&gt;"")</f>
        <v/>
      </c>
      <c r="AE140">
        <f>OR(I140&lt;&gt;"",X140&lt;&gt;"")</f>
        <v/>
      </c>
      <c r="AF140">
        <f>AND(N140&lt;&gt;"",S140&lt;&gt;"")</f>
        <v/>
      </c>
      <c r="AG140">
        <f>OR(N140&lt;&gt;"",S140&lt;&gt;"")</f>
        <v/>
      </c>
      <c r="AH140">
        <f>AND(N140&lt;&gt;"",X140&lt;&gt;"")</f>
        <v/>
      </c>
      <c r="AI140">
        <f>OR(N140&lt;&gt;"",X140&lt;&gt;"")</f>
        <v/>
      </c>
      <c r="AJ140">
        <f>AND(S140&lt;&gt;"",X140&lt;&gt;"")</f>
        <v/>
      </c>
      <c r="AK140">
        <f>OR(S140&lt;&gt;"",X140&lt;&gt;"")</f>
        <v/>
      </c>
      <c r="AM140">
        <f>AND(I140&lt;&gt;"",N140&lt;&gt;"",B140="No")</f>
        <v/>
      </c>
      <c r="AN140">
        <f>AND(OR(I140&lt;&gt;"",N140&lt;&gt;""),B140="No")</f>
        <v/>
      </c>
      <c r="AO140">
        <f>AND(I140&lt;&gt;"",S140&lt;&gt;"",B140="No")</f>
        <v/>
      </c>
      <c r="AP140">
        <f>AND(OR(I140&lt;&gt;"",S140&lt;&gt;""),B140="No")</f>
        <v/>
      </c>
      <c r="AQ140">
        <f>AND(I140&lt;&gt;"",X140&lt;&gt;"",B140="No")</f>
        <v/>
      </c>
      <c r="AR140">
        <f>AND(OR(I140&lt;&gt;"",X140&lt;&gt;""),B140="No")</f>
        <v/>
      </c>
      <c r="AS140">
        <f>AND(N140&lt;&gt;"",S140&lt;&gt;"",B140="No")</f>
        <v/>
      </c>
      <c r="AT140">
        <f>AND(OR(N140&lt;&gt;"",S140&lt;&gt;""),B140="No")</f>
        <v/>
      </c>
      <c r="AU140">
        <f>AND(N140&lt;&gt;"",X140&lt;&gt;"",B140="No")</f>
        <v/>
      </c>
      <c r="AV140">
        <f>AND(OR(N140&lt;&gt;"",X140&lt;&gt;""),B140="No")</f>
        <v/>
      </c>
      <c r="AW140">
        <f>AND(S140&lt;&gt;"",X140&lt;&gt;"",B140="No")</f>
        <v/>
      </c>
      <c r="AX140">
        <f>AND(OR(S140&lt;&gt;"",X140&lt;&gt;""),B140="No")</f>
        <v/>
      </c>
    </row>
    <row r="141">
      <c r="A141" s="44" t="inlineStr">
        <is>
          <t>GS.10.10</t>
        </is>
      </c>
      <c r="B141" s="47" t="inlineStr">
        <is>
          <t>No</t>
        </is>
      </c>
      <c r="C141" s="47" t="n"/>
      <c r="D141" s="34" t="n"/>
      <c r="E141" s="35" t="n"/>
      <c r="F141" s="35" t="n"/>
      <c r="G141" s="35" t="n"/>
      <c r="H141" s="35" t="n"/>
      <c r="I141" s="37">
        <f>IF(COUNTA(E141:H141)&gt;0,"X","")</f>
        <v/>
      </c>
      <c r="J141" s="35" t="n"/>
      <c r="K141" s="35" t="n"/>
      <c r="L141" s="35" t="n"/>
      <c r="M141" s="35" t="n"/>
      <c r="N141" s="37">
        <f>IF(COUNTA(J141:M141)&gt;0,"X","")</f>
        <v/>
      </c>
      <c r="O141" s="35" t="inlineStr">
        <is>
          <t>X</t>
        </is>
      </c>
      <c r="P141" s="35" t="n"/>
      <c r="Q141" s="35" t="n"/>
      <c r="R141" s="35" t="n"/>
      <c r="S141" s="37">
        <f>IF(COUNTA(O141:R141)&gt;0,"X","")</f>
        <v/>
      </c>
      <c r="T141" s="35" t="n"/>
      <c r="U141" s="35" t="n"/>
      <c r="V141" s="35" t="n"/>
      <c r="W141" s="35" t="n"/>
      <c r="X141" s="37">
        <f>IF(COUNTA(T141:W141)&gt;0,"X","")</f>
        <v/>
      </c>
      <c r="Z141">
        <f>AND(I141&lt;&gt;"",N141&lt;&gt;"")</f>
        <v/>
      </c>
      <c r="AA141">
        <f>OR(I141&lt;&gt;"",N141&lt;&gt;"")</f>
        <v/>
      </c>
      <c r="AB141">
        <f>AND(I141&lt;&gt;"",S141&lt;&gt;"")</f>
        <v/>
      </c>
      <c r="AC141">
        <f>OR(I141&lt;&gt;"",S141&lt;&gt;"")</f>
        <v/>
      </c>
      <c r="AD141">
        <f>AND(I141&lt;&gt;"",X141&lt;&gt;"")</f>
        <v/>
      </c>
      <c r="AE141">
        <f>OR(I141&lt;&gt;"",X141&lt;&gt;"")</f>
        <v/>
      </c>
      <c r="AF141">
        <f>AND(N141&lt;&gt;"",S141&lt;&gt;"")</f>
        <v/>
      </c>
      <c r="AG141">
        <f>OR(N141&lt;&gt;"",S141&lt;&gt;"")</f>
        <v/>
      </c>
      <c r="AH141">
        <f>AND(N141&lt;&gt;"",X141&lt;&gt;"")</f>
        <v/>
      </c>
      <c r="AI141">
        <f>OR(N141&lt;&gt;"",X141&lt;&gt;"")</f>
        <v/>
      </c>
      <c r="AJ141">
        <f>AND(S141&lt;&gt;"",X141&lt;&gt;"")</f>
        <v/>
      </c>
      <c r="AK141">
        <f>OR(S141&lt;&gt;"",X141&lt;&gt;"")</f>
        <v/>
      </c>
      <c r="AM141">
        <f>AND(I141&lt;&gt;"",N141&lt;&gt;"",B141="No")</f>
        <v/>
      </c>
      <c r="AN141">
        <f>AND(OR(I141&lt;&gt;"",N141&lt;&gt;""),B141="No")</f>
        <v/>
      </c>
      <c r="AO141">
        <f>AND(I141&lt;&gt;"",S141&lt;&gt;"",B141="No")</f>
        <v/>
      </c>
      <c r="AP141">
        <f>AND(OR(I141&lt;&gt;"",S141&lt;&gt;""),B141="No")</f>
        <v/>
      </c>
      <c r="AQ141">
        <f>AND(I141&lt;&gt;"",X141&lt;&gt;"",B141="No")</f>
        <v/>
      </c>
      <c r="AR141">
        <f>AND(OR(I141&lt;&gt;"",X141&lt;&gt;""),B141="No")</f>
        <v/>
      </c>
      <c r="AS141">
        <f>AND(N141&lt;&gt;"",S141&lt;&gt;"",B141="No")</f>
        <v/>
      </c>
      <c r="AT141">
        <f>AND(OR(N141&lt;&gt;"",S141&lt;&gt;""),B141="No")</f>
        <v/>
      </c>
      <c r="AU141">
        <f>AND(N141&lt;&gt;"",X141&lt;&gt;"",B141="No")</f>
        <v/>
      </c>
      <c r="AV141">
        <f>AND(OR(N141&lt;&gt;"",X141&lt;&gt;""),B141="No")</f>
        <v/>
      </c>
      <c r="AW141">
        <f>AND(S141&lt;&gt;"",X141&lt;&gt;"",B141="No")</f>
        <v/>
      </c>
      <c r="AX141">
        <f>AND(OR(S141&lt;&gt;"",X141&lt;&gt;""),B141="No")</f>
        <v/>
      </c>
    </row>
    <row r="142">
      <c r="A142" s="44" t="inlineStr">
        <is>
          <t>GS.10.11</t>
        </is>
      </c>
      <c r="B142" s="47" t="inlineStr">
        <is>
          <t>No</t>
        </is>
      </c>
      <c r="C142" s="47" t="n"/>
      <c r="D142" s="34" t="n"/>
      <c r="E142" s="35" t="inlineStr">
        <is>
          <t>X</t>
        </is>
      </c>
      <c r="F142" s="35" t="inlineStr">
        <is>
          <t>X</t>
        </is>
      </c>
      <c r="G142" s="35" t="inlineStr">
        <is>
          <t>X</t>
        </is>
      </c>
      <c r="H142" s="35" t="inlineStr">
        <is>
          <t>X</t>
        </is>
      </c>
      <c r="I142" s="37">
        <f>IF(COUNTA(E142:H142)&gt;0,"X","")</f>
        <v/>
      </c>
      <c r="J142" s="35" t="n"/>
      <c r="K142" s="35" t="n"/>
      <c r="L142" s="35" t="n"/>
      <c r="M142" s="35" t="n"/>
      <c r="N142" s="37">
        <f>IF(COUNTA(J142:M142)&gt;0,"X","")</f>
        <v/>
      </c>
      <c r="O142" s="35" t="n"/>
      <c r="P142" s="35" t="n"/>
      <c r="Q142" s="35" t="n"/>
      <c r="R142" s="35" t="n"/>
      <c r="S142" s="37">
        <f>IF(COUNTA(O142:R142)&gt;0,"X","")</f>
        <v/>
      </c>
      <c r="T142" s="35" t="n"/>
      <c r="U142" s="35" t="n"/>
      <c r="V142" s="35" t="n"/>
      <c r="W142" s="35" t="n"/>
      <c r="X142" s="37">
        <f>IF(COUNTA(T142:W142)&gt;0,"X","")</f>
        <v/>
      </c>
      <c r="Z142">
        <f>AND(I142&lt;&gt;"",N142&lt;&gt;"")</f>
        <v/>
      </c>
      <c r="AA142">
        <f>OR(I142&lt;&gt;"",N142&lt;&gt;"")</f>
        <v/>
      </c>
      <c r="AB142">
        <f>AND(I142&lt;&gt;"",S142&lt;&gt;"")</f>
        <v/>
      </c>
      <c r="AC142">
        <f>OR(I142&lt;&gt;"",S142&lt;&gt;"")</f>
        <v/>
      </c>
      <c r="AD142">
        <f>AND(I142&lt;&gt;"",X142&lt;&gt;"")</f>
        <v/>
      </c>
      <c r="AE142">
        <f>OR(I142&lt;&gt;"",X142&lt;&gt;"")</f>
        <v/>
      </c>
      <c r="AF142">
        <f>AND(N142&lt;&gt;"",S142&lt;&gt;"")</f>
        <v/>
      </c>
      <c r="AG142">
        <f>OR(N142&lt;&gt;"",S142&lt;&gt;"")</f>
        <v/>
      </c>
      <c r="AH142">
        <f>AND(N142&lt;&gt;"",X142&lt;&gt;"")</f>
        <v/>
      </c>
      <c r="AI142">
        <f>OR(N142&lt;&gt;"",X142&lt;&gt;"")</f>
        <v/>
      </c>
      <c r="AJ142">
        <f>AND(S142&lt;&gt;"",X142&lt;&gt;"")</f>
        <v/>
      </c>
      <c r="AK142">
        <f>OR(S142&lt;&gt;"",X142&lt;&gt;"")</f>
        <v/>
      </c>
      <c r="AM142">
        <f>AND(I142&lt;&gt;"",N142&lt;&gt;"",B142="No")</f>
        <v/>
      </c>
      <c r="AN142">
        <f>AND(OR(I142&lt;&gt;"",N142&lt;&gt;""),B142="No")</f>
        <v/>
      </c>
      <c r="AO142">
        <f>AND(I142&lt;&gt;"",S142&lt;&gt;"",B142="No")</f>
        <v/>
      </c>
      <c r="AP142">
        <f>AND(OR(I142&lt;&gt;"",S142&lt;&gt;""),B142="No")</f>
        <v/>
      </c>
      <c r="AQ142">
        <f>AND(I142&lt;&gt;"",X142&lt;&gt;"",B142="No")</f>
        <v/>
      </c>
      <c r="AR142">
        <f>AND(OR(I142&lt;&gt;"",X142&lt;&gt;""),B142="No")</f>
        <v/>
      </c>
      <c r="AS142">
        <f>AND(N142&lt;&gt;"",S142&lt;&gt;"",B142="No")</f>
        <v/>
      </c>
      <c r="AT142">
        <f>AND(OR(N142&lt;&gt;"",S142&lt;&gt;""),B142="No")</f>
        <v/>
      </c>
      <c r="AU142">
        <f>AND(N142&lt;&gt;"",X142&lt;&gt;"",B142="No")</f>
        <v/>
      </c>
      <c r="AV142">
        <f>AND(OR(N142&lt;&gt;"",X142&lt;&gt;""),B142="No")</f>
        <v/>
      </c>
      <c r="AW142">
        <f>AND(S142&lt;&gt;"",X142&lt;&gt;"",B142="No")</f>
        <v/>
      </c>
      <c r="AX142">
        <f>AND(OR(S142&lt;&gt;"",X142&lt;&gt;""),B142="No")</f>
        <v/>
      </c>
    </row>
    <row r="143">
      <c r="A143" s="44" t="inlineStr">
        <is>
          <t>GS.10.12</t>
        </is>
      </c>
      <c r="B143" s="47" t="inlineStr">
        <is>
          <t>No</t>
        </is>
      </c>
      <c r="C143" s="47" t="n"/>
      <c r="D143" s="34" t="n"/>
      <c r="E143" s="35" t="n"/>
      <c r="F143" s="35" t="n"/>
      <c r="G143" s="35" t="inlineStr">
        <is>
          <t>X</t>
        </is>
      </c>
      <c r="H143" s="35" t="n"/>
      <c r="I143" s="37">
        <f>IF(COUNTA(E143:H143)&gt;0,"X","")</f>
        <v/>
      </c>
      <c r="J143" s="35" t="n"/>
      <c r="K143" s="35" t="n"/>
      <c r="L143" s="35" t="n"/>
      <c r="M143" s="35" t="n"/>
      <c r="N143" s="37">
        <f>IF(COUNTA(J143:M143)&gt;0,"X","")</f>
        <v/>
      </c>
      <c r="O143" s="35" t="n"/>
      <c r="P143" s="35" t="n"/>
      <c r="Q143" s="35" t="n"/>
      <c r="R143" s="35" t="n"/>
      <c r="S143" s="37">
        <f>IF(COUNTA(O143:R143)&gt;0,"X","")</f>
        <v/>
      </c>
      <c r="T143" s="35" t="n"/>
      <c r="U143" s="35" t="n"/>
      <c r="V143" s="35" t="n"/>
      <c r="W143" s="35" t="n"/>
      <c r="X143" s="37">
        <f>IF(COUNTA(T143:W143)&gt;0,"X","")</f>
        <v/>
      </c>
      <c r="Z143">
        <f>AND(I143&lt;&gt;"",N143&lt;&gt;"")</f>
        <v/>
      </c>
      <c r="AA143">
        <f>OR(I143&lt;&gt;"",N143&lt;&gt;"")</f>
        <v/>
      </c>
      <c r="AB143">
        <f>AND(I143&lt;&gt;"",S143&lt;&gt;"")</f>
        <v/>
      </c>
      <c r="AC143">
        <f>OR(I143&lt;&gt;"",S143&lt;&gt;"")</f>
        <v/>
      </c>
      <c r="AD143">
        <f>AND(I143&lt;&gt;"",X143&lt;&gt;"")</f>
        <v/>
      </c>
      <c r="AE143">
        <f>OR(I143&lt;&gt;"",X143&lt;&gt;"")</f>
        <v/>
      </c>
      <c r="AF143">
        <f>AND(N143&lt;&gt;"",S143&lt;&gt;"")</f>
        <v/>
      </c>
      <c r="AG143">
        <f>OR(N143&lt;&gt;"",S143&lt;&gt;"")</f>
        <v/>
      </c>
      <c r="AH143">
        <f>AND(N143&lt;&gt;"",X143&lt;&gt;"")</f>
        <v/>
      </c>
      <c r="AI143">
        <f>OR(N143&lt;&gt;"",X143&lt;&gt;"")</f>
        <v/>
      </c>
      <c r="AJ143">
        <f>AND(S143&lt;&gt;"",X143&lt;&gt;"")</f>
        <v/>
      </c>
      <c r="AK143">
        <f>OR(S143&lt;&gt;"",X143&lt;&gt;"")</f>
        <v/>
      </c>
      <c r="AM143">
        <f>AND(I143&lt;&gt;"",N143&lt;&gt;"",B143="No")</f>
        <v/>
      </c>
      <c r="AN143">
        <f>AND(OR(I143&lt;&gt;"",N143&lt;&gt;""),B143="No")</f>
        <v/>
      </c>
      <c r="AO143">
        <f>AND(I143&lt;&gt;"",S143&lt;&gt;"",B143="No")</f>
        <v/>
      </c>
      <c r="AP143">
        <f>AND(OR(I143&lt;&gt;"",S143&lt;&gt;""),B143="No")</f>
        <v/>
      </c>
      <c r="AQ143">
        <f>AND(I143&lt;&gt;"",X143&lt;&gt;"",B143="No")</f>
        <v/>
      </c>
      <c r="AR143">
        <f>AND(OR(I143&lt;&gt;"",X143&lt;&gt;""),B143="No")</f>
        <v/>
      </c>
      <c r="AS143">
        <f>AND(N143&lt;&gt;"",S143&lt;&gt;"",B143="No")</f>
        <v/>
      </c>
      <c r="AT143">
        <f>AND(OR(N143&lt;&gt;"",S143&lt;&gt;""),B143="No")</f>
        <v/>
      </c>
      <c r="AU143">
        <f>AND(N143&lt;&gt;"",X143&lt;&gt;"",B143="No")</f>
        <v/>
      </c>
      <c r="AV143">
        <f>AND(OR(N143&lt;&gt;"",X143&lt;&gt;""),B143="No")</f>
        <v/>
      </c>
      <c r="AW143">
        <f>AND(S143&lt;&gt;"",X143&lt;&gt;"",B143="No")</f>
        <v/>
      </c>
      <c r="AX143">
        <f>AND(OR(S143&lt;&gt;"",X143&lt;&gt;""),B143="No")</f>
        <v/>
      </c>
    </row>
    <row r="144">
      <c r="A144" s="44" t="inlineStr">
        <is>
          <t>L0_iv.10.5</t>
        </is>
      </c>
      <c r="B144" s="47" t="inlineStr">
        <is>
          <t>Yes</t>
        </is>
      </c>
      <c r="C144" t="inlineStr">
        <is>
          <t>Template drift</t>
        </is>
      </c>
      <c r="D144" s="34" t="n"/>
      <c r="E144" s="35" t="n"/>
      <c r="F144" s="35" t="n"/>
      <c r="G144" s="35" t="n"/>
      <c r="H144" s="35" t="inlineStr">
        <is>
          <t>X</t>
        </is>
      </c>
      <c r="I144" s="37">
        <f>IF(COUNTA(E144:H144)&gt;0,"X","")</f>
        <v/>
      </c>
      <c r="J144" s="35" t="n"/>
      <c r="K144" s="35" t="n"/>
      <c r="L144" s="35" t="n"/>
      <c r="M144" s="35" t="n"/>
      <c r="N144" s="37">
        <f>IF(COUNTA(J144:M144)&gt;0,"X","")</f>
        <v/>
      </c>
      <c r="O144" s="35" t="n"/>
      <c r="P144" s="35" t="n"/>
      <c r="Q144" s="35" t="n"/>
      <c r="R144" s="35" t="n"/>
      <c r="S144" s="37">
        <f>IF(COUNTA(O144:R144)&gt;0,"X","")</f>
        <v/>
      </c>
      <c r="T144" s="35" t="n"/>
      <c r="U144" s="35" t="n"/>
      <c r="V144" s="35" t="n"/>
      <c r="W144" s="35" t="n"/>
      <c r="X144" s="37">
        <f>IF(COUNTA(T144:W144)&gt;0,"X","")</f>
        <v/>
      </c>
      <c r="Z144">
        <f>AND(I144&lt;&gt;"",N144&lt;&gt;"")</f>
        <v/>
      </c>
      <c r="AA144">
        <f>OR(I144&lt;&gt;"",N144&lt;&gt;"")</f>
        <v/>
      </c>
      <c r="AB144">
        <f>AND(I144&lt;&gt;"",S144&lt;&gt;"")</f>
        <v/>
      </c>
      <c r="AC144">
        <f>OR(I144&lt;&gt;"",S144&lt;&gt;"")</f>
        <v/>
      </c>
      <c r="AD144">
        <f>AND(I144&lt;&gt;"",X144&lt;&gt;"")</f>
        <v/>
      </c>
      <c r="AE144">
        <f>OR(I144&lt;&gt;"",X144&lt;&gt;"")</f>
        <v/>
      </c>
      <c r="AF144">
        <f>AND(N144&lt;&gt;"",S144&lt;&gt;"")</f>
        <v/>
      </c>
      <c r="AG144">
        <f>OR(N144&lt;&gt;"",S144&lt;&gt;"")</f>
        <v/>
      </c>
      <c r="AH144">
        <f>AND(N144&lt;&gt;"",X144&lt;&gt;"")</f>
        <v/>
      </c>
      <c r="AI144">
        <f>OR(N144&lt;&gt;"",X144&lt;&gt;"")</f>
        <v/>
      </c>
      <c r="AJ144">
        <f>AND(S144&lt;&gt;"",X144&lt;&gt;"")</f>
        <v/>
      </c>
      <c r="AK144">
        <f>OR(S144&lt;&gt;"",X144&lt;&gt;"")</f>
        <v/>
      </c>
      <c r="AM144">
        <f>AND(I144&lt;&gt;"",N144&lt;&gt;"",B144="No")</f>
        <v/>
      </c>
      <c r="AN144">
        <f>AND(OR(I144&lt;&gt;"",N144&lt;&gt;""),B144="No")</f>
        <v/>
      </c>
      <c r="AO144">
        <f>AND(I144&lt;&gt;"",S144&lt;&gt;"",B144="No")</f>
        <v/>
      </c>
      <c r="AP144">
        <f>AND(OR(I144&lt;&gt;"",S144&lt;&gt;""),B144="No")</f>
        <v/>
      </c>
      <c r="AQ144">
        <f>AND(I144&lt;&gt;"",X144&lt;&gt;"",B144="No")</f>
        <v/>
      </c>
      <c r="AR144">
        <f>AND(OR(I144&lt;&gt;"",X144&lt;&gt;""),B144="No")</f>
        <v/>
      </c>
      <c r="AS144">
        <f>AND(N144&lt;&gt;"",S144&lt;&gt;"",B144="No")</f>
        <v/>
      </c>
      <c r="AT144">
        <f>AND(OR(N144&lt;&gt;"",S144&lt;&gt;""),B144="No")</f>
        <v/>
      </c>
      <c r="AU144">
        <f>AND(N144&lt;&gt;"",X144&lt;&gt;"",B144="No")</f>
        <v/>
      </c>
      <c r="AV144">
        <f>AND(OR(N144&lt;&gt;"",X144&lt;&gt;""),B144="No")</f>
        <v/>
      </c>
      <c r="AW144">
        <f>AND(S144&lt;&gt;"",X144&lt;&gt;"",B144="No")</f>
        <v/>
      </c>
      <c r="AX144">
        <f>AND(OR(S144&lt;&gt;"",X144&lt;&gt;""),B144="No")</f>
        <v/>
      </c>
    </row>
    <row r="145">
      <c r="A145" s="44" t="inlineStr">
        <is>
          <t>Q0.10.2</t>
        </is>
      </c>
      <c r="B145" s="47" t="inlineStr">
        <is>
          <t>Yes</t>
        </is>
      </c>
      <c r="C145" t="inlineStr">
        <is>
          <t>Template drift</t>
        </is>
      </c>
      <c r="I145" s="37">
        <f>IF(COUNTA(E145:H145)&gt;0,"X","")</f>
        <v/>
      </c>
      <c r="J145" s="27" t="inlineStr">
        <is>
          <t>X</t>
        </is>
      </c>
      <c r="N145" s="37">
        <f>IF(COUNTA(J145:M145)&gt;0,"X","")</f>
        <v/>
      </c>
      <c r="S145" s="37">
        <f>IF(COUNTA(O145:R145)&gt;0,"X","")</f>
        <v/>
      </c>
      <c r="X145" s="37">
        <f>IF(COUNTA(T145:W145)&gt;0,"X","")</f>
        <v/>
      </c>
      <c r="Z145">
        <f>AND(I145&lt;&gt;"",N145&lt;&gt;"")</f>
        <v/>
      </c>
      <c r="AA145">
        <f>OR(I145&lt;&gt;"",N145&lt;&gt;"")</f>
        <v/>
      </c>
      <c r="AB145">
        <f>AND(I145&lt;&gt;"",S145&lt;&gt;"")</f>
        <v/>
      </c>
      <c r="AC145">
        <f>OR(I145&lt;&gt;"",S145&lt;&gt;"")</f>
        <v/>
      </c>
      <c r="AD145">
        <f>AND(I145&lt;&gt;"",X145&lt;&gt;"")</f>
        <v/>
      </c>
      <c r="AE145">
        <f>OR(I145&lt;&gt;"",X145&lt;&gt;"")</f>
        <v/>
      </c>
      <c r="AF145">
        <f>AND(N145&lt;&gt;"",S145&lt;&gt;"")</f>
        <v/>
      </c>
      <c r="AG145">
        <f>OR(N145&lt;&gt;"",S145&lt;&gt;"")</f>
        <v/>
      </c>
      <c r="AH145">
        <f>AND(N145&lt;&gt;"",X145&lt;&gt;"")</f>
        <v/>
      </c>
      <c r="AI145">
        <f>OR(N145&lt;&gt;"",X145&lt;&gt;"")</f>
        <v/>
      </c>
      <c r="AJ145">
        <f>AND(S145&lt;&gt;"",X145&lt;&gt;"")</f>
        <v/>
      </c>
      <c r="AK145">
        <f>OR(S145&lt;&gt;"",X145&lt;&gt;"")</f>
        <v/>
      </c>
      <c r="AM145">
        <f>AND(I145&lt;&gt;"",N145&lt;&gt;"",B145="No")</f>
        <v/>
      </c>
      <c r="AN145">
        <f>AND(OR(I145&lt;&gt;"",N145&lt;&gt;""),B145="No")</f>
        <v/>
      </c>
      <c r="AO145">
        <f>AND(I145&lt;&gt;"",S145&lt;&gt;"",B145="No")</f>
        <v/>
      </c>
      <c r="AP145">
        <f>AND(OR(I145&lt;&gt;"",S145&lt;&gt;""),B145="No")</f>
        <v/>
      </c>
      <c r="AQ145">
        <f>AND(I145&lt;&gt;"",X145&lt;&gt;"",B145="No")</f>
        <v/>
      </c>
      <c r="AR145">
        <f>AND(OR(I145&lt;&gt;"",X145&lt;&gt;""),B145="No")</f>
        <v/>
      </c>
      <c r="AS145">
        <f>AND(N145&lt;&gt;"",S145&lt;&gt;"",B145="No")</f>
        <v/>
      </c>
      <c r="AT145">
        <f>AND(OR(N145&lt;&gt;"",S145&lt;&gt;""),B145="No")</f>
        <v/>
      </c>
      <c r="AU145">
        <f>AND(N145&lt;&gt;"",X145&lt;&gt;"",B145="No")</f>
        <v/>
      </c>
      <c r="AV145">
        <f>AND(OR(N145&lt;&gt;"",X145&lt;&gt;""),B145="No")</f>
        <v/>
      </c>
      <c r="AW145">
        <f>AND(S145&lt;&gt;"",X145&lt;&gt;"",B145="No")</f>
        <v/>
      </c>
      <c r="AX145">
        <f>AND(OR(S145&lt;&gt;"",X145&lt;&gt;""),B145="No")</f>
        <v/>
      </c>
    </row>
    <row r="146">
      <c r="A146" s="44" t="inlineStr">
        <is>
          <t>Q0.10.3</t>
        </is>
      </c>
      <c r="B146" s="47" t="inlineStr">
        <is>
          <t>Yes</t>
        </is>
      </c>
      <c r="C146" t="inlineStr">
        <is>
          <t>Template drift</t>
        </is>
      </c>
      <c r="I146" s="37">
        <f>IF(COUNTA(E146:H146)&gt;0,"X","")</f>
        <v/>
      </c>
      <c r="J146" s="27" t="inlineStr">
        <is>
          <t>X</t>
        </is>
      </c>
      <c r="N146" s="37">
        <f>IF(COUNTA(J146:M146)&gt;0,"X","")</f>
        <v/>
      </c>
      <c r="S146" s="37">
        <f>IF(COUNTA(O146:R146)&gt;0,"X","")</f>
        <v/>
      </c>
      <c r="X146" s="37">
        <f>IF(COUNTA(T146:W146)&gt;0,"X","")</f>
        <v/>
      </c>
      <c r="Z146">
        <f>AND(I146&lt;&gt;"",N146&lt;&gt;"")</f>
        <v/>
      </c>
      <c r="AA146">
        <f>OR(I146&lt;&gt;"",N146&lt;&gt;"")</f>
        <v/>
      </c>
      <c r="AB146">
        <f>AND(I146&lt;&gt;"",S146&lt;&gt;"")</f>
        <v/>
      </c>
      <c r="AC146">
        <f>OR(I146&lt;&gt;"",S146&lt;&gt;"")</f>
        <v/>
      </c>
      <c r="AD146">
        <f>AND(I146&lt;&gt;"",X146&lt;&gt;"")</f>
        <v/>
      </c>
      <c r="AE146">
        <f>OR(I146&lt;&gt;"",X146&lt;&gt;"")</f>
        <v/>
      </c>
      <c r="AF146">
        <f>AND(N146&lt;&gt;"",S146&lt;&gt;"")</f>
        <v/>
      </c>
      <c r="AG146">
        <f>OR(N146&lt;&gt;"",S146&lt;&gt;"")</f>
        <v/>
      </c>
      <c r="AH146">
        <f>AND(N146&lt;&gt;"",X146&lt;&gt;"")</f>
        <v/>
      </c>
      <c r="AI146">
        <f>OR(N146&lt;&gt;"",X146&lt;&gt;"")</f>
        <v/>
      </c>
      <c r="AJ146">
        <f>AND(S146&lt;&gt;"",X146&lt;&gt;"")</f>
        <v/>
      </c>
      <c r="AK146">
        <f>OR(S146&lt;&gt;"",X146&lt;&gt;"")</f>
        <v/>
      </c>
      <c r="AM146">
        <f>AND(I146&lt;&gt;"",N146&lt;&gt;"",B146="No")</f>
        <v/>
      </c>
      <c r="AN146">
        <f>AND(OR(I146&lt;&gt;"",N146&lt;&gt;""),B146="No")</f>
        <v/>
      </c>
      <c r="AO146">
        <f>AND(I146&lt;&gt;"",S146&lt;&gt;"",B146="No")</f>
        <v/>
      </c>
      <c r="AP146">
        <f>AND(OR(I146&lt;&gt;"",S146&lt;&gt;""),B146="No")</f>
        <v/>
      </c>
      <c r="AQ146">
        <f>AND(I146&lt;&gt;"",X146&lt;&gt;"",B146="No")</f>
        <v/>
      </c>
      <c r="AR146">
        <f>AND(OR(I146&lt;&gt;"",X146&lt;&gt;""),B146="No")</f>
        <v/>
      </c>
      <c r="AS146">
        <f>AND(N146&lt;&gt;"",S146&lt;&gt;"",B146="No")</f>
        <v/>
      </c>
      <c r="AT146">
        <f>AND(OR(N146&lt;&gt;"",S146&lt;&gt;""),B146="No")</f>
        <v/>
      </c>
      <c r="AU146">
        <f>AND(N146&lt;&gt;"",X146&lt;&gt;"",B146="No")</f>
        <v/>
      </c>
      <c r="AV146">
        <f>AND(OR(N146&lt;&gt;"",X146&lt;&gt;""),B146="No")</f>
        <v/>
      </c>
      <c r="AW146">
        <f>AND(S146&lt;&gt;"",X146&lt;&gt;"",B146="No")</f>
        <v/>
      </c>
      <c r="AX146">
        <f>AND(OR(S146&lt;&gt;"",X146&lt;&gt;""),B146="No")</f>
        <v/>
      </c>
    </row>
    <row r="147">
      <c r="A147" s="44" t="inlineStr">
        <is>
          <t>Q0.10.4</t>
        </is>
      </c>
      <c r="B147" s="47" t="inlineStr">
        <is>
          <t>Yes</t>
        </is>
      </c>
      <c r="C147" t="inlineStr">
        <is>
          <t>Template drift</t>
        </is>
      </c>
      <c r="I147" s="37">
        <f>IF(COUNTA(E147:H147)&gt;0,"X","")</f>
        <v/>
      </c>
      <c r="J147" s="27" t="inlineStr">
        <is>
          <t>X</t>
        </is>
      </c>
      <c r="N147" s="37">
        <f>IF(COUNTA(J147:M147)&gt;0,"X","")</f>
        <v/>
      </c>
      <c r="S147" s="37">
        <f>IF(COUNTA(O147:R147)&gt;0,"X","")</f>
        <v/>
      </c>
      <c r="X147" s="37">
        <f>IF(COUNTA(T147:W147)&gt;0,"X","")</f>
        <v/>
      </c>
      <c r="Z147">
        <f>AND(I147&lt;&gt;"",N147&lt;&gt;"")</f>
        <v/>
      </c>
      <c r="AA147">
        <f>OR(I147&lt;&gt;"",N147&lt;&gt;"")</f>
        <v/>
      </c>
      <c r="AB147">
        <f>AND(I147&lt;&gt;"",S147&lt;&gt;"")</f>
        <v/>
      </c>
      <c r="AC147">
        <f>OR(I147&lt;&gt;"",S147&lt;&gt;"")</f>
        <v/>
      </c>
      <c r="AD147">
        <f>AND(I147&lt;&gt;"",X147&lt;&gt;"")</f>
        <v/>
      </c>
      <c r="AE147">
        <f>OR(I147&lt;&gt;"",X147&lt;&gt;"")</f>
        <v/>
      </c>
      <c r="AF147">
        <f>AND(N147&lt;&gt;"",S147&lt;&gt;"")</f>
        <v/>
      </c>
      <c r="AG147">
        <f>OR(N147&lt;&gt;"",S147&lt;&gt;"")</f>
        <v/>
      </c>
      <c r="AH147">
        <f>AND(N147&lt;&gt;"",X147&lt;&gt;"")</f>
        <v/>
      </c>
      <c r="AI147">
        <f>OR(N147&lt;&gt;"",X147&lt;&gt;"")</f>
        <v/>
      </c>
      <c r="AJ147">
        <f>AND(S147&lt;&gt;"",X147&lt;&gt;"")</f>
        <v/>
      </c>
      <c r="AK147">
        <f>OR(S147&lt;&gt;"",X147&lt;&gt;"")</f>
        <v/>
      </c>
      <c r="AM147">
        <f>AND(I147&lt;&gt;"",N147&lt;&gt;"",B147="No")</f>
        <v/>
      </c>
      <c r="AN147">
        <f>AND(OR(I147&lt;&gt;"",N147&lt;&gt;""),B147="No")</f>
        <v/>
      </c>
      <c r="AO147">
        <f>AND(I147&lt;&gt;"",S147&lt;&gt;"",B147="No")</f>
        <v/>
      </c>
      <c r="AP147">
        <f>AND(OR(I147&lt;&gt;"",S147&lt;&gt;""),B147="No")</f>
        <v/>
      </c>
      <c r="AQ147">
        <f>AND(I147&lt;&gt;"",X147&lt;&gt;"",B147="No")</f>
        <v/>
      </c>
      <c r="AR147">
        <f>AND(OR(I147&lt;&gt;"",X147&lt;&gt;""),B147="No")</f>
        <v/>
      </c>
      <c r="AS147">
        <f>AND(N147&lt;&gt;"",S147&lt;&gt;"",B147="No")</f>
        <v/>
      </c>
      <c r="AT147">
        <f>AND(OR(N147&lt;&gt;"",S147&lt;&gt;""),B147="No")</f>
        <v/>
      </c>
      <c r="AU147">
        <f>AND(N147&lt;&gt;"",X147&lt;&gt;"",B147="No")</f>
        <v/>
      </c>
      <c r="AV147">
        <f>AND(OR(N147&lt;&gt;"",X147&lt;&gt;""),B147="No")</f>
        <v/>
      </c>
      <c r="AW147">
        <f>AND(S147&lt;&gt;"",X147&lt;&gt;"",B147="No")</f>
        <v/>
      </c>
      <c r="AX147">
        <f>AND(OR(S147&lt;&gt;"",X147&lt;&gt;""),B147="No")</f>
        <v/>
      </c>
    </row>
    <row r="148">
      <c r="A148" s="44" t="inlineStr">
        <is>
          <t>Q0.10.5</t>
        </is>
      </c>
      <c r="B148" s="47" t="inlineStr">
        <is>
          <t>Yes</t>
        </is>
      </c>
      <c r="C148" t="inlineStr">
        <is>
          <t>Template drift</t>
        </is>
      </c>
      <c r="I148" s="37">
        <f>IF(COUNTA(E148:H148)&gt;0,"X","")</f>
        <v/>
      </c>
      <c r="J148" s="27" t="inlineStr">
        <is>
          <t>X</t>
        </is>
      </c>
      <c r="N148" s="37">
        <f>IF(COUNTA(J148:M148)&gt;0,"X","")</f>
        <v/>
      </c>
      <c r="S148" s="37">
        <f>IF(COUNTA(O148:R148)&gt;0,"X","")</f>
        <v/>
      </c>
      <c r="X148" s="37">
        <f>IF(COUNTA(T148:W148)&gt;0,"X","")</f>
        <v/>
      </c>
      <c r="Z148">
        <f>AND(I148&lt;&gt;"",N148&lt;&gt;"")</f>
        <v/>
      </c>
      <c r="AA148">
        <f>OR(I148&lt;&gt;"",N148&lt;&gt;"")</f>
        <v/>
      </c>
      <c r="AB148">
        <f>AND(I148&lt;&gt;"",S148&lt;&gt;"")</f>
        <v/>
      </c>
      <c r="AC148">
        <f>OR(I148&lt;&gt;"",S148&lt;&gt;"")</f>
        <v/>
      </c>
      <c r="AD148">
        <f>AND(I148&lt;&gt;"",X148&lt;&gt;"")</f>
        <v/>
      </c>
      <c r="AE148">
        <f>OR(I148&lt;&gt;"",X148&lt;&gt;"")</f>
        <v/>
      </c>
      <c r="AF148">
        <f>AND(N148&lt;&gt;"",S148&lt;&gt;"")</f>
        <v/>
      </c>
      <c r="AG148">
        <f>OR(N148&lt;&gt;"",S148&lt;&gt;"")</f>
        <v/>
      </c>
      <c r="AH148">
        <f>AND(N148&lt;&gt;"",X148&lt;&gt;"")</f>
        <v/>
      </c>
      <c r="AI148">
        <f>OR(N148&lt;&gt;"",X148&lt;&gt;"")</f>
        <v/>
      </c>
      <c r="AJ148">
        <f>AND(S148&lt;&gt;"",X148&lt;&gt;"")</f>
        <v/>
      </c>
      <c r="AK148">
        <f>OR(S148&lt;&gt;"",X148&lt;&gt;"")</f>
        <v/>
      </c>
      <c r="AM148">
        <f>AND(I148&lt;&gt;"",N148&lt;&gt;"",B148="No")</f>
        <v/>
      </c>
      <c r="AN148">
        <f>AND(OR(I148&lt;&gt;"",N148&lt;&gt;""),B148="No")</f>
        <v/>
      </c>
      <c r="AO148">
        <f>AND(I148&lt;&gt;"",S148&lt;&gt;"",B148="No")</f>
        <v/>
      </c>
      <c r="AP148">
        <f>AND(OR(I148&lt;&gt;"",S148&lt;&gt;""),B148="No")</f>
        <v/>
      </c>
      <c r="AQ148">
        <f>AND(I148&lt;&gt;"",X148&lt;&gt;"",B148="No")</f>
        <v/>
      </c>
      <c r="AR148">
        <f>AND(OR(I148&lt;&gt;"",X148&lt;&gt;""),B148="No")</f>
        <v/>
      </c>
      <c r="AS148">
        <f>AND(N148&lt;&gt;"",S148&lt;&gt;"",B148="No")</f>
        <v/>
      </c>
      <c r="AT148">
        <f>AND(OR(N148&lt;&gt;"",S148&lt;&gt;""),B148="No")</f>
        <v/>
      </c>
      <c r="AU148">
        <f>AND(N148&lt;&gt;"",X148&lt;&gt;"",B148="No")</f>
        <v/>
      </c>
      <c r="AV148">
        <f>AND(OR(N148&lt;&gt;"",X148&lt;&gt;""),B148="No")</f>
        <v/>
      </c>
      <c r="AW148">
        <f>AND(S148&lt;&gt;"",X148&lt;&gt;"",B148="No")</f>
        <v/>
      </c>
      <c r="AX148">
        <f>AND(OR(S148&lt;&gt;"",X148&lt;&gt;""),B148="No")</f>
        <v/>
      </c>
    </row>
    <row r="149">
      <c r="A149" s="44" t="inlineStr">
        <is>
          <t>Q0.10.6</t>
        </is>
      </c>
      <c r="B149" s="47" t="inlineStr">
        <is>
          <t>Yes</t>
        </is>
      </c>
      <c r="C149" t="inlineStr">
        <is>
          <t>Template drift</t>
        </is>
      </c>
      <c r="I149" s="37">
        <f>IF(COUNTA(E149:H149)&gt;0,"X","")</f>
        <v/>
      </c>
      <c r="J149" s="27" t="inlineStr">
        <is>
          <t>X</t>
        </is>
      </c>
      <c r="N149" s="37">
        <f>IF(COUNTA(J149:M149)&gt;0,"X","")</f>
        <v/>
      </c>
      <c r="S149" s="37">
        <f>IF(COUNTA(O149:R149)&gt;0,"X","")</f>
        <v/>
      </c>
      <c r="X149" s="37">
        <f>IF(COUNTA(T149:W149)&gt;0,"X","")</f>
        <v/>
      </c>
      <c r="Z149">
        <f>AND(I149&lt;&gt;"",N149&lt;&gt;"")</f>
        <v/>
      </c>
      <c r="AA149">
        <f>OR(I149&lt;&gt;"",N149&lt;&gt;"")</f>
        <v/>
      </c>
      <c r="AB149">
        <f>AND(I149&lt;&gt;"",S149&lt;&gt;"")</f>
        <v/>
      </c>
      <c r="AC149">
        <f>OR(I149&lt;&gt;"",S149&lt;&gt;"")</f>
        <v/>
      </c>
      <c r="AD149">
        <f>AND(I149&lt;&gt;"",X149&lt;&gt;"")</f>
        <v/>
      </c>
      <c r="AE149">
        <f>OR(I149&lt;&gt;"",X149&lt;&gt;"")</f>
        <v/>
      </c>
      <c r="AF149">
        <f>AND(N149&lt;&gt;"",S149&lt;&gt;"")</f>
        <v/>
      </c>
      <c r="AG149">
        <f>OR(N149&lt;&gt;"",S149&lt;&gt;"")</f>
        <v/>
      </c>
      <c r="AH149">
        <f>AND(N149&lt;&gt;"",X149&lt;&gt;"")</f>
        <v/>
      </c>
      <c r="AI149">
        <f>OR(N149&lt;&gt;"",X149&lt;&gt;"")</f>
        <v/>
      </c>
      <c r="AJ149">
        <f>AND(S149&lt;&gt;"",X149&lt;&gt;"")</f>
        <v/>
      </c>
      <c r="AK149">
        <f>OR(S149&lt;&gt;"",X149&lt;&gt;"")</f>
        <v/>
      </c>
      <c r="AM149">
        <f>AND(I149&lt;&gt;"",N149&lt;&gt;"",B149="No")</f>
        <v/>
      </c>
      <c r="AN149">
        <f>AND(OR(I149&lt;&gt;"",N149&lt;&gt;""),B149="No")</f>
        <v/>
      </c>
      <c r="AO149">
        <f>AND(I149&lt;&gt;"",S149&lt;&gt;"",B149="No")</f>
        <v/>
      </c>
      <c r="AP149">
        <f>AND(OR(I149&lt;&gt;"",S149&lt;&gt;""),B149="No")</f>
        <v/>
      </c>
      <c r="AQ149">
        <f>AND(I149&lt;&gt;"",X149&lt;&gt;"",B149="No")</f>
        <v/>
      </c>
      <c r="AR149">
        <f>AND(OR(I149&lt;&gt;"",X149&lt;&gt;""),B149="No")</f>
        <v/>
      </c>
      <c r="AS149">
        <f>AND(N149&lt;&gt;"",S149&lt;&gt;"",B149="No")</f>
        <v/>
      </c>
      <c r="AT149">
        <f>AND(OR(N149&lt;&gt;"",S149&lt;&gt;""),B149="No")</f>
        <v/>
      </c>
      <c r="AU149">
        <f>AND(N149&lt;&gt;"",X149&lt;&gt;"",B149="No")</f>
        <v/>
      </c>
      <c r="AV149">
        <f>AND(OR(N149&lt;&gt;"",X149&lt;&gt;""),B149="No")</f>
        <v/>
      </c>
      <c r="AW149">
        <f>AND(S149&lt;&gt;"",X149&lt;&gt;"",B149="No")</f>
        <v/>
      </c>
      <c r="AX149">
        <f>AND(OR(S149&lt;&gt;"",X149&lt;&gt;""),B149="No")</f>
        <v/>
      </c>
    </row>
    <row r="150">
      <c r="A150" s="44" t="inlineStr">
        <is>
          <t>Q0.10.7</t>
        </is>
      </c>
      <c r="B150" s="47" t="inlineStr">
        <is>
          <t>Yes</t>
        </is>
      </c>
      <c r="C150" t="inlineStr">
        <is>
          <t>Template drift</t>
        </is>
      </c>
      <c r="I150" s="37">
        <f>IF(COUNTA(E150:H150)&gt;0,"X","")</f>
        <v/>
      </c>
      <c r="J150" s="27" t="inlineStr">
        <is>
          <t>X</t>
        </is>
      </c>
      <c r="N150" s="37">
        <f>IF(COUNTA(J150:M150)&gt;0,"X","")</f>
        <v/>
      </c>
      <c r="S150" s="37">
        <f>IF(COUNTA(O150:R150)&gt;0,"X","")</f>
        <v/>
      </c>
      <c r="X150" s="37">
        <f>IF(COUNTA(T150:W150)&gt;0,"X","")</f>
        <v/>
      </c>
      <c r="Z150">
        <f>AND(I150&lt;&gt;"",N150&lt;&gt;"")</f>
        <v/>
      </c>
      <c r="AA150">
        <f>OR(I150&lt;&gt;"",N150&lt;&gt;"")</f>
        <v/>
      </c>
      <c r="AB150">
        <f>AND(I150&lt;&gt;"",S150&lt;&gt;"")</f>
        <v/>
      </c>
      <c r="AC150">
        <f>OR(I150&lt;&gt;"",S150&lt;&gt;"")</f>
        <v/>
      </c>
      <c r="AD150">
        <f>AND(I150&lt;&gt;"",X150&lt;&gt;"")</f>
        <v/>
      </c>
      <c r="AE150">
        <f>OR(I150&lt;&gt;"",X150&lt;&gt;"")</f>
        <v/>
      </c>
      <c r="AF150">
        <f>AND(N150&lt;&gt;"",S150&lt;&gt;"")</f>
        <v/>
      </c>
      <c r="AG150">
        <f>OR(N150&lt;&gt;"",S150&lt;&gt;"")</f>
        <v/>
      </c>
      <c r="AH150">
        <f>AND(N150&lt;&gt;"",X150&lt;&gt;"")</f>
        <v/>
      </c>
      <c r="AI150">
        <f>OR(N150&lt;&gt;"",X150&lt;&gt;"")</f>
        <v/>
      </c>
      <c r="AJ150">
        <f>AND(S150&lt;&gt;"",X150&lt;&gt;"")</f>
        <v/>
      </c>
      <c r="AK150">
        <f>OR(S150&lt;&gt;"",X150&lt;&gt;"")</f>
        <v/>
      </c>
      <c r="AM150">
        <f>AND(I150&lt;&gt;"",N150&lt;&gt;"",B150="No")</f>
        <v/>
      </c>
      <c r="AN150">
        <f>AND(OR(I150&lt;&gt;"",N150&lt;&gt;""),B150="No")</f>
        <v/>
      </c>
      <c r="AO150">
        <f>AND(I150&lt;&gt;"",S150&lt;&gt;"",B150="No")</f>
        <v/>
      </c>
      <c r="AP150">
        <f>AND(OR(I150&lt;&gt;"",S150&lt;&gt;""),B150="No")</f>
        <v/>
      </c>
      <c r="AQ150">
        <f>AND(I150&lt;&gt;"",X150&lt;&gt;"",B150="No")</f>
        <v/>
      </c>
      <c r="AR150">
        <f>AND(OR(I150&lt;&gt;"",X150&lt;&gt;""),B150="No")</f>
        <v/>
      </c>
      <c r="AS150">
        <f>AND(N150&lt;&gt;"",S150&lt;&gt;"",B150="No")</f>
        <v/>
      </c>
      <c r="AT150">
        <f>AND(OR(N150&lt;&gt;"",S150&lt;&gt;""),B150="No")</f>
        <v/>
      </c>
      <c r="AU150">
        <f>AND(N150&lt;&gt;"",X150&lt;&gt;"",B150="No")</f>
        <v/>
      </c>
      <c r="AV150">
        <f>AND(OR(N150&lt;&gt;"",X150&lt;&gt;""),B150="No")</f>
        <v/>
      </c>
      <c r="AW150">
        <f>AND(S150&lt;&gt;"",X150&lt;&gt;"",B150="No")</f>
        <v/>
      </c>
      <c r="AX150">
        <f>AND(OR(S150&lt;&gt;"",X150&lt;&gt;""),B150="No")</f>
        <v/>
      </c>
    </row>
    <row r="151">
      <c r="A151" s="44" t="inlineStr">
        <is>
          <t>Q0_ii.10.4; Q0_iii.10.3</t>
        </is>
      </c>
      <c r="B151" s="47" t="inlineStr">
        <is>
          <t>Yes</t>
        </is>
      </c>
      <c r="C151" t="inlineStr">
        <is>
          <t>Template drift</t>
        </is>
      </c>
      <c r="I151" s="37">
        <f>IF(COUNTA(E151:H151)&gt;0,"X","")</f>
        <v/>
      </c>
      <c r="K151" s="27" t="inlineStr">
        <is>
          <t>X</t>
        </is>
      </c>
      <c r="L151" s="27" t="inlineStr">
        <is>
          <t>X</t>
        </is>
      </c>
      <c r="N151" s="37">
        <f>IF(COUNTA(J151:M151)&gt;0,"X","")</f>
        <v/>
      </c>
      <c r="S151" s="37">
        <f>IF(COUNTA(O151:R151)&gt;0,"X","")</f>
        <v/>
      </c>
      <c r="X151" s="37">
        <f>IF(COUNTA(T151:W151)&gt;0,"X","")</f>
        <v/>
      </c>
      <c r="Z151">
        <f>AND(I151&lt;&gt;"",N151&lt;&gt;"")</f>
        <v/>
      </c>
      <c r="AA151">
        <f>OR(I151&lt;&gt;"",N151&lt;&gt;"")</f>
        <v/>
      </c>
      <c r="AB151">
        <f>AND(I151&lt;&gt;"",S151&lt;&gt;"")</f>
        <v/>
      </c>
      <c r="AC151">
        <f>OR(I151&lt;&gt;"",S151&lt;&gt;"")</f>
        <v/>
      </c>
      <c r="AD151">
        <f>AND(I151&lt;&gt;"",X151&lt;&gt;"")</f>
        <v/>
      </c>
      <c r="AE151">
        <f>OR(I151&lt;&gt;"",X151&lt;&gt;"")</f>
        <v/>
      </c>
      <c r="AF151">
        <f>AND(N151&lt;&gt;"",S151&lt;&gt;"")</f>
        <v/>
      </c>
      <c r="AG151">
        <f>OR(N151&lt;&gt;"",S151&lt;&gt;"")</f>
        <v/>
      </c>
      <c r="AH151">
        <f>AND(N151&lt;&gt;"",X151&lt;&gt;"")</f>
        <v/>
      </c>
      <c r="AI151">
        <f>OR(N151&lt;&gt;"",X151&lt;&gt;"")</f>
        <v/>
      </c>
      <c r="AJ151">
        <f>AND(S151&lt;&gt;"",X151&lt;&gt;"")</f>
        <v/>
      </c>
      <c r="AK151">
        <f>OR(S151&lt;&gt;"",X151&lt;&gt;"")</f>
        <v/>
      </c>
      <c r="AM151">
        <f>AND(I151&lt;&gt;"",N151&lt;&gt;"",B151="No")</f>
        <v/>
      </c>
      <c r="AN151">
        <f>AND(OR(I151&lt;&gt;"",N151&lt;&gt;""),B151="No")</f>
        <v/>
      </c>
      <c r="AO151">
        <f>AND(I151&lt;&gt;"",S151&lt;&gt;"",B151="No")</f>
        <v/>
      </c>
      <c r="AP151">
        <f>AND(OR(I151&lt;&gt;"",S151&lt;&gt;""),B151="No")</f>
        <v/>
      </c>
      <c r="AQ151">
        <f>AND(I151&lt;&gt;"",X151&lt;&gt;"",B151="No")</f>
        <v/>
      </c>
      <c r="AR151">
        <f>AND(OR(I151&lt;&gt;"",X151&lt;&gt;""),B151="No")</f>
        <v/>
      </c>
      <c r="AS151">
        <f>AND(N151&lt;&gt;"",S151&lt;&gt;"",B151="No")</f>
        <v/>
      </c>
      <c r="AT151">
        <f>AND(OR(N151&lt;&gt;"",S151&lt;&gt;""),B151="No")</f>
        <v/>
      </c>
      <c r="AU151">
        <f>AND(N151&lt;&gt;"",X151&lt;&gt;"",B151="No")</f>
        <v/>
      </c>
      <c r="AV151">
        <f>AND(OR(N151&lt;&gt;"",X151&lt;&gt;""),B151="No")</f>
        <v/>
      </c>
      <c r="AW151">
        <f>AND(S151&lt;&gt;"",X151&lt;&gt;"",B151="No")</f>
        <v/>
      </c>
      <c r="AX151">
        <f>AND(OR(S151&lt;&gt;"",X151&lt;&gt;""),B151="No")</f>
        <v/>
      </c>
    </row>
    <row r="152">
      <c r="A152" s="44" t="inlineStr">
        <is>
          <t>Q0_iii.10.2</t>
        </is>
      </c>
      <c r="B152" s="47" t="inlineStr">
        <is>
          <t>Yes</t>
        </is>
      </c>
      <c r="C152" t="inlineStr">
        <is>
          <t>Contextual misfit</t>
        </is>
      </c>
      <c r="I152" s="37">
        <f>IF(COUNTA(E152:H152)&gt;0,"X","")</f>
        <v/>
      </c>
      <c r="L152" s="27" t="inlineStr">
        <is>
          <t>X</t>
        </is>
      </c>
      <c r="N152" s="37">
        <f>IF(COUNTA(J152:M152)&gt;0,"X","")</f>
        <v/>
      </c>
      <c r="S152" s="37">
        <f>IF(COUNTA(O152:R152)&gt;0,"X","")</f>
        <v/>
      </c>
      <c r="X152" s="37">
        <f>IF(COUNTA(T152:W152)&gt;0,"X","")</f>
        <v/>
      </c>
      <c r="Z152">
        <f>AND(I152&lt;&gt;"",N152&lt;&gt;"")</f>
        <v/>
      </c>
      <c r="AA152">
        <f>OR(I152&lt;&gt;"",N152&lt;&gt;"")</f>
        <v/>
      </c>
      <c r="AB152">
        <f>AND(I152&lt;&gt;"",S152&lt;&gt;"")</f>
        <v/>
      </c>
      <c r="AC152">
        <f>OR(I152&lt;&gt;"",S152&lt;&gt;"")</f>
        <v/>
      </c>
      <c r="AD152">
        <f>AND(I152&lt;&gt;"",X152&lt;&gt;"")</f>
        <v/>
      </c>
      <c r="AE152">
        <f>OR(I152&lt;&gt;"",X152&lt;&gt;"")</f>
        <v/>
      </c>
      <c r="AF152">
        <f>AND(N152&lt;&gt;"",S152&lt;&gt;"")</f>
        <v/>
      </c>
      <c r="AG152">
        <f>OR(N152&lt;&gt;"",S152&lt;&gt;"")</f>
        <v/>
      </c>
      <c r="AH152">
        <f>AND(N152&lt;&gt;"",X152&lt;&gt;"")</f>
        <v/>
      </c>
      <c r="AI152">
        <f>OR(N152&lt;&gt;"",X152&lt;&gt;"")</f>
        <v/>
      </c>
      <c r="AJ152">
        <f>AND(S152&lt;&gt;"",X152&lt;&gt;"")</f>
        <v/>
      </c>
      <c r="AK152">
        <f>OR(S152&lt;&gt;"",X152&lt;&gt;"")</f>
        <v/>
      </c>
      <c r="AM152">
        <f>AND(I152&lt;&gt;"",N152&lt;&gt;"",B152="No")</f>
        <v/>
      </c>
      <c r="AN152">
        <f>AND(OR(I152&lt;&gt;"",N152&lt;&gt;""),B152="No")</f>
        <v/>
      </c>
      <c r="AO152">
        <f>AND(I152&lt;&gt;"",S152&lt;&gt;"",B152="No")</f>
        <v/>
      </c>
      <c r="AP152">
        <f>AND(OR(I152&lt;&gt;"",S152&lt;&gt;""),B152="No")</f>
        <v/>
      </c>
      <c r="AQ152">
        <f>AND(I152&lt;&gt;"",X152&lt;&gt;"",B152="No")</f>
        <v/>
      </c>
      <c r="AR152">
        <f>AND(OR(I152&lt;&gt;"",X152&lt;&gt;""),B152="No")</f>
        <v/>
      </c>
      <c r="AS152">
        <f>AND(N152&lt;&gt;"",S152&lt;&gt;"",B152="No")</f>
        <v/>
      </c>
      <c r="AT152">
        <f>AND(OR(N152&lt;&gt;"",S152&lt;&gt;""),B152="No")</f>
        <v/>
      </c>
      <c r="AU152">
        <f>AND(N152&lt;&gt;"",X152&lt;&gt;"",B152="No")</f>
        <v/>
      </c>
      <c r="AV152">
        <f>AND(OR(N152&lt;&gt;"",X152&lt;&gt;""),B152="No")</f>
        <v/>
      </c>
      <c r="AW152">
        <f>AND(S152&lt;&gt;"",X152&lt;&gt;"",B152="No")</f>
        <v/>
      </c>
      <c r="AX152">
        <f>AND(OR(S152&lt;&gt;"",X152&lt;&gt;""),B152="No")</f>
        <v/>
      </c>
    </row>
    <row r="153" ht="29.25" customHeight="1" s="54">
      <c r="A153" s="44" t="inlineStr">
        <is>
          <t>L0_iv.10.4; G0.10.1; G0_iii.10.3; G0_iv.10.2</t>
        </is>
      </c>
      <c r="B153" s="47" t="inlineStr">
        <is>
          <t>Yes</t>
        </is>
      </c>
      <c r="C153" t="inlineStr">
        <is>
          <t>Architectural infeasibility</t>
        </is>
      </c>
      <c r="H153" s="27" t="inlineStr">
        <is>
          <t>X</t>
        </is>
      </c>
      <c r="I153" s="37">
        <f>IF(COUNTA(E153:H153)&gt;0,"X","")</f>
        <v/>
      </c>
      <c r="N153" s="37">
        <f>IF(COUNTA(J153:M153)&gt;0,"X","")</f>
        <v/>
      </c>
      <c r="S153" s="37">
        <f>IF(COUNTA(O153:R153)&gt;0,"X","")</f>
        <v/>
      </c>
      <c r="T153" s="27" t="inlineStr">
        <is>
          <t>X</t>
        </is>
      </c>
      <c r="V153" s="27" t="inlineStr">
        <is>
          <t>X</t>
        </is>
      </c>
      <c r="W153" s="27" t="inlineStr">
        <is>
          <t>X</t>
        </is>
      </c>
      <c r="X153" s="37">
        <f>IF(COUNTA(T153:W153)&gt;0,"X","")</f>
        <v/>
      </c>
      <c r="Z153">
        <f>AND(I153&lt;&gt;"",N153&lt;&gt;"")</f>
        <v/>
      </c>
      <c r="AA153">
        <f>OR(I153&lt;&gt;"",N153&lt;&gt;"")</f>
        <v/>
      </c>
      <c r="AB153">
        <f>AND(I153&lt;&gt;"",S153&lt;&gt;"")</f>
        <v/>
      </c>
      <c r="AC153">
        <f>OR(I153&lt;&gt;"",S153&lt;&gt;"")</f>
        <v/>
      </c>
      <c r="AD153">
        <f>AND(I153&lt;&gt;"",X153&lt;&gt;"")</f>
        <v/>
      </c>
      <c r="AE153">
        <f>OR(I153&lt;&gt;"",X153&lt;&gt;"")</f>
        <v/>
      </c>
      <c r="AF153">
        <f>AND(N153&lt;&gt;"",S153&lt;&gt;"")</f>
        <v/>
      </c>
      <c r="AG153">
        <f>OR(N153&lt;&gt;"",S153&lt;&gt;"")</f>
        <v/>
      </c>
      <c r="AH153">
        <f>AND(N153&lt;&gt;"",X153&lt;&gt;"")</f>
        <v/>
      </c>
      <c r="AI153">
        <f>OR(N153&lt;&gt;"",X153&lt;&gt;"")</f>
        <v/>
      </c>
      <c r="AJ153">
        <f>AND(S153&lt;&gt;"",X153&lt;&gt;"")</f>
        <v/>
      </c>
      <c r="AK153">
        <f>OR(S153&lt;&gt;"",X153&lt;&gt;"")</f>
        <v/>
      </c>
      <c r="AM153">
        <f>AND(I153&lt;&gt;"",N153&lt;&gt;"",B153="No")</f>
        <v/>
      </c>
      <c r="AN153">
        <f>AND(OR(I153&lt;&gt;"",N153&lt;&gt;""),B153="No")</f>
        <v/>
      </c>
      <c r="AO153">
        <f>AND(I153&lt;&gt;"",S153&lt;&gt;"",B153="No")</f>
        <v/>
      </c>
      <c r="AP153">
        <f>AND(OR(I153&lt;&gt;"",S153&lt;&gt;""),B153="No")</f>
        <v/>
      </c>
      <c r="AQ153">
        <f>AND(I153&lt;&gt;"",X153&lt;&gt;"",B153="No")</f>
        <v/>
      </c>
      <c r="AR153">
        <f>AND(OR(I153&lt;&gt;"",X153&lt;&gt;""),B153="No")</f>
        <v/>
      </c>
      <c r="AS153">
        <f>AND(N153&lt;&gt;"",S153&lt;&gt;"",B153="No")</f>
        <v/>
      </c>
      <c r="AT153">
        <f>AND(OR(N153&lt;&gt;"",S153&lt;&gt;""),B153="No")</f>
        <v/>
      </c>
      <c r="AU153">
        <f>AND(N153&lt;&gt;"",X153&lt;&gt;"",B153="No")</f>
        <v/>
      </c>
      <c r="AV153">
        <f>AND(OR(N153&lt;&gt;"",X153&lt;&gt;""),B153="No")</f>
        <v/>
      </c>
      <c r="AW153">
        <f>AND(S153&lt;&gt;"",X153&lt;&gt;"",B153="No")</f>
        <v/>
      </c>
      <c r="AX153">
        <f>AND(OR(S153&lt;&gt;"",X153&lt;&gt;""),B153="No")</f>
        <v/>
      </c>
    </row>
    <row r="154">
      <c r="A154" t="inlineStr">
        <is>
          <t>G0_iii.10.1</t>
        </is>
      </c>
      <c r="B154" s="47" t="inlineStr">
        <is>
          <t>Yes</t>
        </is>
      </c>
      <c r="C154" t="inlineStr">
        <is>
          <t>Template drift</t>
        </is>
      </c>
      <c r="I154" s="37">
        <f>IF(COUNTA(E154:H154)&gt;0,"X","")</f>
        <v/>
      </c>
      <c r="N154" s="37">
        <f>IF(COUNTA(J154:M154)&gt;0,"X","")</f>
        <v/>
      </c>
      <c r="S154" s="37">
        <f>IF(COUNTA(O154:R154)&gt;0,"X","")</f>
        <v/>
      </c>
      <c r="V154" s="27" t="inlineStr">
        <is>
          <t>X</t>
        </is>
      </c>
      <c r="X154" s="37">
        <f>IF(COUNTA(T154:W154)&gt;0,"X","")</f>
        <v/>
      </c>
      <c r="Z154">
        <f>AND(I154&lt;&gt;"",N154&lt;&gt;"")</f>
        <v/>
      </c>
      <c r="AA154">
        <f>OR(I154&lt;&gt;"",N154&lt;&gt;"")</f>
        <v/>
      </c>
      <c r="AB154">
        <f>AND(I154&lt;&gt;"",S154&lt;&gt;"")</f>
        <v/>
      </c>
      <c r="AC154">
        <f>OR(I154&lt;&gt;"",S154&lt;&gt;"")</f>
        <v/>
      </c>
      <c r="AD154">
        <f>AND(I154&lt;&gt;"",X154&lt;&gt;"")</f>
        <v/>
      </c>
      <c r="AE154">
        <f>OR(I154&lt;&gt;"",X154&lt;&gt;"")</f>
        <v/>
      </c>
      <c r="AF154">
        <f>AND(N154&lt;&gt;"",S154&lt;&gt;"")</f>
        <v/>
      </c>
      <c r="AG154">
        <f>OR(N154&lt;&gt;"",S154&lt;&gt;"")</f>
        <v/>
      </c>
      <c r="AH154">
        <f>AND(N154&lt;&gt;"",X154&lt;&gt;"")</f>
        <v/>
      </c>
      <c r="AI154">
        <f>OR(N154&lt;&gt;"",X154&lt;&gt;"")</f>
        <v/>
      </c>
      <c r="AJ154">
        <f>AND(S154&lt;&gt;"",X154&lt;&gt;"")</f>
        <v/>
      </c>
      <c r="AK154">
        <f>OR(S154&lt;&gt;"",X154&lt;&gt;"")</f>
        <v/>
      </c>
      <c r="AM154">
        <f>AND(I154&lt;&gt;"",N154&lt;&gt;"",B154="No")</f>
        <v/>
      </c>
      <c r="AN154">
        <f>AND(OR(I154&lt;&gt;"",N154&lt;&gt;""),B154="No")</f>
        <v/>
      </c>
      <c r="AO154">
        <f>AND(I154&lt;&gt;"",S154&lt;&gt;"",B154="No")</f>
        <v/>
      </c>
      <c r="AP154">
        <f>AND(OR(I154&lt;&gt;"",S154&lt;&gt;""),B154="No")</f>
        <v/>
      </c>
      <c r="AQ154">
        <f>AND(I154&lt;&gt;"",X154&lt;&gt;"",B154="No")</f>
        <v/>
      </c>
      <c r="AR154">
        <f>AND(OR(I154&lt;&gt;"",X154&lt;&gt;""),B154="No")</f>
        <v/>
      </c>
      <c r="AS154">
        <f>AND(N154&lt;&gt;"",S154&lt;&gt;"",B154="No")</f>
        <v/>
      </c>
      <c r="AT154">
        <f>AND(OR(N154&lt;&gt;"",S154&lt;&gt;""),B154="No")</f>
        <v/>
      </c>
      <c r="AU154">
        <f>AND(N154&lt;&gt;"",X154&lt;&gt;"",B154="No")</f>
        <v/>
      </c>
      <c r="AV154">
        <f>AND(OR(N154&lt;&gt;"",X154&lt;&gt;""),B154="No")</f>
        <v/>
      </c>
      <c r="AW154">
        <f>AND(S154&lt;&gt;"",X154&lt;&gt;"",B154="No")</f>
        <v/>
      </c>
      <c r="AX154">
        <f>AND(OR(S154&lt;&gt;"",X154&lt;&gt;""),B154="No")</f>
        <v/>
      </c>
    </row>
    <row r="155">
      <c r="A155" t="inlineStr">
        <is>
          <t>G0_iv.10.3</t>
        </is>
      </c>
      <c r="B155" s="47" t="inlineStr">
        <is>
          <t>Yes</t>
        </is>
      </c>
      <c r="C155" t="inlineStr">
        <is>
          <t>Architectural infeasibility</t>
        </is>
      </c>
      <c r="I155" s="37">
        <f>IF(COUNTA(E155:H155)&gt;0,"X","")</f>
        <v/>
      </c>
      <c r="N155" s="37">
        <f>IF(COUNTA(J155:M155)&gt;0,"X","")</f>
        <v/>
      </c>
      <c r="S155" s="37">
        <f>IF(COUNTA(O155:R155)&gt;0,"X","")</f>
        <v/>
      </c>
      <c r="W155" s="27" t="inlineStr">
        <is>
          <t>X</t>
        </is>
      </c>
      <c r="X155" s="37">
        <f>IF(COUNTA(T155:W155)&gt;0,"X","")</f>
        <v/>
      </c>
      <c r="Z155">
        <f>AND(I155&lt;&gt;"",N155&lt;&gt;"")</f>
        <v/>
      </c>
      <c r="AA155">
        <f>OR(I155&lt;&gt;"",N155&lt;&gt;"")</f>
        <v/>
      </c>
      <c r="AB155">
        <f>AND(I155&lt;&gt;"",S155&lt;&gt;"")</f>
        <v/>
      </c>
      <c r="AC155">
        <f>OR(I155&lt;&gt;"",S155&lt;&gt;"")</f>
        <v/>
      </c>
      <c r="AD155">
        <f>AND(I155&lt;&gt;"",X155&lt;&gt;"")</f>
        <v/>
      </c>
      <c r="AE155">
        <f>OR(I155&lt;&gt;"",X155&lt;&gt;"")</f>
        <v/>
      </c>
      <c r="AF155">
        <f>AND(N155&lt;&gt;"",S155&lt;&gt;"")</f>
        <v/>
      </c>
      <c r="AG155">
        <f>OR(N155&lt;&gt;"",S155&lt;&gt;"")</f>
        <v/>
      </c>
      <c r="AH155">
        <f>AND(N155&lt;&gt;"",X155&lt;&gt;"")</f>
        <v/>
      </c>
      <c r="AI155">
        <f>OR(N155&lt;&gt;"",X155&lt;&gt;"")</f>
        <v/>
      </c>
      <c r="AJ155">
        <f>AND(S155&lt;&gt;"",X155&lt;&gt;"")</f>
        <v/>
      </c>
      <c r="AK155">
        <f>OR(S155&lt;&gt;"",X155&lt;&gt;"")</f>
        <v/>
      </c>
      <c r="AM155">
        <f>AND(I155&lt;&gt;"",N155&lt;&gt;"",B155="No")</f>
        <v/>
      </c>
      <c r="AN155">
        <f>AND(OR(I155&lt;&gt;"",N155&lt;&gt;""),B155="No")</f>
        <v/>
      </c>
      <c r="AO155">
        <f>AND(I155&lt;&gt;"",S155&lt;&gt;"",B155="No")</f>
        <v/>
      </c>
      <c r="AP155">
        <f>AND(OR(I155&lt;&gt;"",S155&lt;&gt;""),B155="No")</f>
        <v/>
      </c>
      <c r="AQ155">
        <f>AND(I155&lt;&gt;"",X155&lt;&gt;"",B155="No")</f>
        <v/>
      </c>
      <c r="AR155">
        <f>AND(OR(I155&lt;&gt;"",X155&lt;&gt;""),B155="No")</f>
        <v/>
      </c>
      <c r="AS155">
        <f>AND(N155&lt;&gt;"",S155&lt;&gt;"",B155="No")</f>
        <v/>
      </c>
      <c r="AT155">
        <f>AND(OR(N155&lt;&gt;"",S155&lt;&gt;""),B155="No")</f>
        <v/>
      </c>
      <c r="AU155">
        <f>AND(N155&lt;&gt;"",X155&lt;&gt;"",B155="No")</f>
        <v/>
      </c>
      <c r="AV155">
        <f>AND(OR(N155&lt;&gt;"",X155&lt;&gt;""),B155="No")</f>
        <v/>
      </c>
      <c r="AW155">
        <f>AND(S155&lt;&gt;"",X155&lt;&gt;"",B155="No")</f>
        <v/>
      </c>
      <c r="AX155">
        <f>AND(OR(S155&lt;&gt;"",X155&lt;&gt;""),B155="No")</f>
        <v/>
      </c>
    </row>
    <row r="156">
      <c r="B156" s="47" t="n"/>
      <c r="I156" s="37" t="n"/>
      <c r="N156" s="37" t="n"/>
      <c r="S156" s="37" t="n"/>
      <c r="X156" s="37" t="n"/>
    </row>
    <row r="157">
      <c r="B157" s="47" t="n"/>
      <c r="Y157" s="38" t="inlineStr">
        <is>
          <t>Count</t>
        </is>
      </c>
      <c r="Z157" s="53">
        <f>COUNTIF(Z2:Z153,TRUE())</f>
        <v/>
      </c>
      <c r="AA157" s="53">
        <f>COUNTIF(AA2:AA153,TRUE())</f>
        <v/>
      </c>
      <c r="AB157" s="53">
        <f>COUNTIF(AB2:AB153,TRUE())</f>
        <v/>
      </c>
      <c r="AC157" s="53">
        <f>COUNTIF(AC2:AC153,TRUE())</f>
        <v/>
      </c>
      <c r="AD157" s="53">
        <f>COUNTIF(AD2:AD153,TRUE())</f>
        <v/>
      </c>
      <c r="AE157" s="53">
        <f>COUNTIF(AE2:AE153,TRUE())</f>
        <v/>
      </c>
      <c r="AF157" s="53">
        <f>COUNTIF(AF2:AF153,TRUE())</f>
        <v/>
      </c>
      <c r="AG157" s="53">
        <f>COUNTIF(AG2:AG153,TRUE())</f>
        <v/>
      </c>
      <c r="AH157" s="53">
        <f>COUNTIF(AH2:AH153,TRUE())</f>
        <v/>
      </c>
      <c r="AI157" s="53">
        <f>COUNTIF(AI2:AI153,TRUE())</f>
        <v/>
      </c>
      <c r="AJ157" s="53">
        <f>COUNTIF(AJ2:AJ153,TRUE())</f>
        <v/>
      </c>
      <c r="AK157" s="53">
        <f>COUNTIF(AK2:AK153,TRUE())</f>
        <v/>
      </c>
      <c r="AL157" s="16" t="inlineStr">
        <is>
          <t>Avg</t>
        </is>
      </c>
      <c r="AM157" s="53">
        <f>COUNTIF(AM2:AM153,TRUE())</f>
        <v/>
      </c>
      <c r="AN157" s="53">
        <f>COUNTIF(AN2:AN153,TRUE())</f>
        <v/>
      </c>
      <c r="AO157" s="53">
        <f>COUNTIF(AO2:AO153,TRUE())</f>
        <v/>
      </c>
      <c r="AP157" s="53">
        <f>COUNTIF(AP2:AP153,TRUE())</f>
        <v/>
      </c>
      <c r="AQ157" s="53">
        <f>COUNTIF(AQ2:AQ153,TRUE())</f>
        <v/>
      </c>
      <c r="AR157" s="53">
        <f>COUNTIF(AR2:AR153,TRUE())</f>
        <v/>
      </c>
      <c r="AS157" s="53">
        <f>COUNTIF(AS2:AS153,TRUE())</f>
        <v/>
      </c>
      <c r="AT157" s="53">
        <f>COUNTIF(AT2:AT153,TRUE())</f>
        <v/>
      </c>
      <c r="AU157" s="53">
        <f>COUNTIF(AU2:AU153,TRUE())</f>
        <v/>
      </c>
      <c r="AV157" s="53">
        <f>COUNTIF(AV2:AV153,TRUE())</f>
        <v/>
      </c>
      <c r="AW157" s="53">
        <f>COUNTIF(AW2:AW153,TRUE())</f>
        <v/>
      </c>
      <c r="AX157" s="53">
        <f>COUNTIF(AX2:AX153,TRUE())</f>
        <v/>
      </c>
      <c r="AY157" s="16" t="inlineStr">
        <is>
          <t>Avg</t>
        </is>
      </c>
    </row>
    <row r="158">
      <c r="S158" s="27" t="n"/>
      <c r="Y158" s="16" t="inlineStr">
        <is>
          <t>J-index</t>
        </is>
      </c>
      <c r="Z158" s="56">
        <f>Z157/AA157</f>
        <v/>
      </c>
      <c r="AB158" s="56">
        <f>AB157/AC157</f>
        <v/>
      </c>
      <c r="AD158" s="56">
        <f>AD157/AE157</f>
        <v/>
      </c>
      <c r="AF158" s="56">
        <f>AF157/AG157</f>
        <v/>
      </c>
      <c r="AH158" s="56">
        <f>AH157/AI157</f>
        <v/>
      </c>
      <c r="AJ158" s="56">
        <f>AJ157/AK157</f>
        <v/>
      </c>
      <c r="AL158" s="39">
        <f>AVERAGE(Z158:AK158)</f>
        <v/>
      </c>
      <c r="AM158" s="56">
        <f>AM157/AN157</f>
        <v/>
      </c>
      <c r="AO158" s="56">
        <f>AO157/AP157</f>
        <v/>
      </c>
      <c r="AQ158" s="56">
        <f>AQ157/AR157</f>
        <v/>
      </c>
      <c r="AS158" s="56">
        <f>AS157/AT157</f>
        <v/>
      </c>
      <c r="AU158" s="56">
        <f>AU157/AV157</f>
        <v/>
      </c>
      <c r="AW158" s="56">
        <f>AW157/AX157</f>
        <v/>
      </c>
      <c r="AY158" s="39">
        <f>AVERAGE(AM158:AX158)</f>
        <v/>
      </c>
    </row>
    <row r="159" ht="14.45" customHeight="1" s="54">
      <c r="AL159" s="56">
        <f>GEOMEAN(Z158:AK158)</f>
        <v/>
      </c>
      <c r="AY159" s="56">
        <f>GEOMEAN(AM158:AX158)</f>
        <v/>
      </c>
    </row>
    <row r="160" ht="14.45" customHeight="1" s="54">
      <c r="D160" s="27" t="n"/>
    </row>
    <row r="161" ht="14.45" customHeight="1" s="54">
      <c r="D161" s="27" t="n"/>
    </row>
    <row r="162" ht="14.45" customHeight="1" s="54"/>
    <row r="163" ht="14.45" customHeight="1" s="54"/>
    <row r="164" ht="14.45" customHeight="1" s="54"/>
    <row r="165" ht="14.45" customHeight="1" s="54">
      <c r="D165" s="27" t="n"/>
    </row>
    <row r="166" ht="14.45" customHeight="1" s="54"/>
    <row r="167" ht="14.45" customHeight="1" s="54"/>
    <row r="168" ht="14.45" customHeight="1" s="54"/>
    <row r="169" ht="14.45" customHeight="1" s="54"/>
    <row r="170" ht="14.45" customHeight="1" s="54"/>
    <row r="171" ht="14.45" customHeight="1" s="54"/>
    <row r="172" ht="14.45" customHeight="1" s="54"/>
    <row r="173" ht="14.45" customHeight="1" s="54"/>
    <row r="174" ht="14.45" customHeight="1" s="54"/>
    <row r="175" ht="14.45" customHeight="1" s="54"/>
    <row r="176" ht="14.45" customHeight="1" s="54"/>
    <row r="177" ht="14.45" customHeight="1" s="54"/>
    <row r="178" ht="14.45" customHeight="1" s="54"/>
    <row r="179" ht="14.45" customHeight="1" s="54"/>
    <row r="180" ht="14.45" customHeight="1" s="54"/>
    <row r="181" ht="14.45" customHeight="1" s="54"/>
    <row r="182" ht="14.45" customHeight="1" s="54"/>
    <row r="183" ht="14.45" customHeight="1" s="54"/>
    <row r="184" ht="14.45" customHeight="1" s="54"/>
    <row r="185" ht="14.45" customHeight="1" s="54"/>
    <row r="186" ht="14.45" customHeight="1" s="54"/>
    <row r="187" ht="14.45" customHeight="1" s="54"/>
    <row r="188" ht="14.45" customHeight="1" s="54"/>
    <row r="189" ht="14.45" customHeight="1" s="54"/>
    <row r="190" ht="14.45" customHeight="1" s="54"/>
    <row r="191" ht="14.45" customHeight="1" s="54"/>
    <row r="192" ht="14.45" customHeight="1" s="54"/>
    <row r="193" ht="14.45" customHeight="1" s="54"/>
    <row r="194" ht="14.45" customHeight="1" s="54"/>
    <row r="195" ht="14.45" customHeight="1" s="54"/>
    <row r="196" ht="14.45" customHeight="1" s="54"/>
    <row r="197" ht="14.45" customHeight="1" s="54"/>
    <row r="198" ht="14.45" customHeight="1" s="54"/>
    <row r="199" ht="14.45" customHeight="1" s="54"/>
    <row r="200" ht="14.45" customHeight="1" s="54"/>
    <row r="201" ht="14.45" customHeight="1" s="54"/>
    <row r="202" ht="14.45" customHeight="1" s="54"/>
    <row r="203" ht="14.45" customHeight="1" s="54"/>
    <row r="204" ht="14.45" customHeight="1" s="54"/>
    <row r="205" ht="14.45" customHeight="1" s="54"/>
    <row r="206" ht="14.45" customHeight="1" s="54"/>
    <row r="207" ht="14.45" customHeight="1" s="54"/>
    <row r="208" ht="14.45" customHeight="1" s="54"/>
    <row r="209" ht="14.45" customHeight="1" s="54"/>
    <row r="210" ht="14.45" customHeight="1" s="54"/>
    <row r="211" ht="14.45" customHeight="1" s="54"/>
    <row r="212" ht="14.45" customHeight="1" s="54"/>
    <row r="213" ht="14.45" customHeight="1" s="54"/>
    <row r="214" ht="14.45" customHeight="1" s="54"/>
    <row r="215" ht="14.45" customHeight="1" s="54"/>
    <row r="216" ht="14.45" customHeight="1" s="54"/>
    <row r="217" ht="14.45" customHeight="1" s="54"/>
    <row r="218" ht="14.45" customHeight="1" s="54"/>
    <row r="219" ht="14.45" customHeight="1" s="54"/>
    <row r="220" ht="14.45" customHeight="1" s="54"/>
    <row r="221" ht="14.45" customHeight="1" s="54"/>
    <row r="222" ht="14.45" customHeight="1" s="54"/>
    <row r="223" ht="14.45" customHeight="1" s="54"/>
    <row r="224" ht="14.45" customHeight="1" s="54"/>
    <row r="225" ht="14.45" customHeight="1" s="54"/>
    <row r="226" ht="14.45" customHeight="1" s="54"/>
    <row r="227" ht="14.45" customHeight="1" s="54"/>
    <row r="228" ht="14.45" customHeight="1" s="54"/>
    <row r="229" ht="14.45" customHeight="1" s="54"/>
    <row r="230" ht="14.45" customHeight="1" s="54"/>
    <row r="231" ht="14.45" customHeight="1" s="54"/>
    <row r="232" ht="14.45" customHeight="1" s="54"/>
    <row r="233" ht="14.45" customHeight="1" s="54"/>
    <row r="234" ht="14.45" customHeight="1" s="54"/>
    <row r="235" ht="14.45" customHeight="1" s="54"/>
    <row r="236" ht="14.45" customHeight="1" s="54"/>
    <row r="237" ht="14.45" customHeight="1" s="54"/>
    <row r="238" ht="14.45" customHeight="1" s="54"/>
    <row r="239" ht="14.45" customHeight="1" s="54"/>
    <row r="240" ht="14.45" customHeight="1" s="54"/>
    <row r="241" ht="14.45" customHeight="1" s="54">
      <c r="B241" s="47" t="n"/>
    </row>
    <row r="242" ht="14.45" customHeight="1" s="54"/>
    <row r="243" ht="14.45" customHeight="1" s="54"/>
    <row r="244" ht="14.45" customHeight="1" s="54"/>
    <row r="245" ht="14.45" customHeight="1" s="54"/>
    <row r="246" ht="14.45" customHeight="1" s="54"/>
    <row r="247" ht="14.45" customHeight="1" s="54"/>
    <row r="248" ht="14.45" customHeight="1" s="54"/>
    <row r="249" ht="14.45" customHeight="1" s="54"/>
    <row r="250" ht="14.45" customHeight="1" s="54"/>
    <row r="251" ht="14.45" customHeight="1" s="54"/>
    <row r="252" ht="14.45" customHeight="1" s="54"/>
    <row r="253" ht="14.45" customHeight="1" s="54"/>
    <row r="254" ht="14.45" customHeight="1" s="54"/>
    <row r="255" ht="14.45" customHeight="1" s="54"/>
    <row r="256" ht="14.45" customHeight="1" s="54"/>
    <row r="257" ht="14.45" customHeight="1" s="54"/>
    <row r="258" ht="14.45" customHeight="1" s="54"/>
    <row r="259" ht="14.45" customHeight="1" s="54"/>
    <row r="260" ht="14.45" customHeight="1" s="54"/>
    <row r="261" ht="14.45" customHeight="1" s="54"/>
    <row r="262" ht="14.45" customHeight="1" s="54"/>
    <row r="263" ht="14.45" customHeight="1" s="54"/>
    <row r="264" ht="14.45" customHeight="1" s="54"/>
    <row r="265" ht="14.45" customHeight="1" s="54"/>
    <row r="266" ht="14.45" customHeight="1" s="54"/>
    <row r="267" ht="14.45" customHeight="1" s="54"/>
    <row r="268" ht="14.45" customHeight="1" s="54"/>
    <row r="269" ht="14.45" customHeight="1" s="54"/>
    <row r="270" ht="14.45" customHeight="1" s="54"/>
    <row r="271" ht="14.45" customHeight="1" s="54">
      <c r="B271" s="47" t="n"/>
      <c r="C271" s="47" t="n"/>
    </row>
  </sheetData>
  <autoFilter ref="A1:X155"/>
  <mergeCells count="12">
    <mergeCell ref="AJ158:AK158"/>
    <mergeCell ref="AO158:AP158"/>
    <mergeCell ref="AM158:AN158"/>
    <mergeCell ref="Z158:AA158"/>
    <mergeCell ref="AQ158:AR158"/>
    <mergeCell ref="AU158:AV158"/>
    <mergeCell ref="AS158:AT158"/>
    <mergeCell ref="AB158:AC158"/>
    <mergeCell ref="AW158:AX158"/>
    <mergeCell ref="AF158:AG158"/>
    <mergeCell ref="AD158:AE158"/>
    <mergeCell ref="AH158:AI158"/>
  </mergeCells>
  <conditionalFormatting sqref="B2:B143 B144:C144 B145:B157 B241:C241 B271:D271 C157 D178:D186 D188:D189 D191:D192 D194:D199 D201:D208 D210:D211 D213:D221 D248">
    <cfRule type="containsText" priority="96" operator="containsText" dxfId="1" text="No">
      <formula>NOT(ISERROR(SEARCH("No",B2)))</formula>
    </cfRule>
    <cfRule type="containsText" priority="97" operator="containsText" dxfId="0" text="Yes">
      <formula>NOT(ISERROR(SEARCH("Yes",B2)))</formula>
    </cfRule>
  </conditionalFormatting>
  <conditionalFormatting sqref="C67:C73">
    <cfRule type="containsText" priority="45" operator="containsText" dxfId="1" text="No">
      <formula>NOT(ISERROR(SEARCH("No",C67)))</formula>
    </cfRule>
    <cfRule type="containsText" priority="46" operator="containsText" dxfId="0" text="Yes">
      <formula>NOT(ISERROR(SEARCH("Yes",C67)))</formula>
    </cfRule>
  </conditionalFormatting>
  <conditionalFormatting sqref="C81:C82">
    <cfRule type="containsText" priority="41" operator="containsText" dxfId="1" text="No">
      <formula>NOT(ISERROR(SEARCH("No",C81)))</formula>
    </cfRule>
    <cfRule type="containsText" priority="42" operator="containsText" dxfId="0" text="Yes">
      <formula>NOT(ISERROR(SEARCH("Yes",C81)))</formula>
    </cfRule>
  </conditionalFormatting>
  <conditionalFormatting sqref="C89:C90">
    <cfRule type="containsText" priority="37" operator="containsText" dxfId="1" text="No">
      <formula>NOT(ISERROR(SEARCH("No",C89)))</formula>
    </cfRule>
    <cfRule type="containsText" priority="38" operator="containsText" dxfId="0" text="Yes">
      <formula>NOT(ISERROR(SEARCH("Yes",C89)))</formula>
    </cfRule>
  </conditionalFormatting>
  <conditionalFormatting sqref="C102:C105 C107:C110">
    <cfRule type="containsText" priority="31" operator="containsText" dxfId="1" text="No">
      <formula>NOT(ISERROR(SEARCH("No",C102)))</formula>
    </cfRule>
    <cfRule type="containsText" priority="32" operator="containsText" dxfId="0" text="Yes">
      <formula>NOT(ISERROR(SEARCH("Yes",C102)))</formula>
    </cfRule>
  </conditionalFormatting>
  <conditionalFormatting sqref="C114:C121">
    <cfRule type="containsText" priority="21" operator="containsText" dxfId="1" text="No">
      <formula>NOT(ISERROR(SEARCH("No",C114)))</formula>
    </cfRule>
    <cfRule type="containsText" priority="22" operator="containsText" dxfId="0" text="Yes">
      <formula>NOT(ISERROR(SEARCH("Yes",C114)))</formula>
    </cfRule>
  </conditionalFormatting>
  <conditionalFormatting sqref="C130:C131">
    <cfRule type="containsText" priority="17" operator="containsText" dxfId="1" text="No">
      <formula>NOT(ISERROR(SEARCH("No",C130)))</formula>
    </cfRule>
    <cfRule type="containsText" priority="18" operator="containsText" dxfId="0" text="Yes">
      <formula>NOT(ISERROR(SEARCH("Yes",C130)))</formula>
    </cfRule>
  </conditionalFormatting>
  <conditionalFormatting sqref="C145:C156">
    <cfRule type="containsText" priority="9" operator="containsText" dxfId="1" text="No">
      <formula>NOT(ISERROR(SEARCH("No",C145)))</formula>
    </cfRule>
    <cfRule type="containsText" priority="10" operator="containsText" dxfId="0" text="Yes">
      <formula>NOT(ISERROR(SEARCH("Yes",C145)))</formula>
    </cfRule>
  </conditionalFormatting>
  <conditionalFormatting sqref="D2:D159">
    <cfRule type="containsText" priority="88" operator="containsText" dxfId="1" text="No">
      <formula>NOT(ISERROR(SEARCH("No",D2)))</formula>
    </cfRule>
    <cfRule type="containsText" priority="89" operator="containsText" dxfId="0" text="Yes">
      <formula>NOT(ISERROR(SEARCH("Yes",D2)))</formula>
    </cfRule>
  </conditionalFormatting>
  <conditionalFormatting sqref="D162:D163">
    <cfRule type="containsText" priority="82" operator="containsText" dxfId="1" text="No">
      <formula>NOT(ISERROR(SEARCH("No",D162)))</formula>
    </cfRule>
    <cfRule type="containsText" priority="83" operator="containsText" dxfId="0" text="Yes">
      <formula>NOT(ISERROR(SEARCH("Yes",D162)))</formula>
    </cfRule>
  </conditionalFormatting>
  <conditionalFormatting sqref="D166:D176">
    <cfRule type="containsText" priority="62" operator="containsText" dxfId="1" text="No">
      <formula>NOT(ISERROR(SEARCH("No",D166)))</formula>
    </cfRule>
    <cfRule type="containsText" priority="63" operator="containsText" dxfId="0" text="Yes">
      <formula>NOT(ISERROR(SEARCH("Yes",D166)))</formula>
    </cfRule>
  </conditionalFormatting>
  <conditionalFormatting sqref="C106">
    <cfRule type="containsText" priority="3" operator="containsText" dxfId="1" text="No">
      <formula>NOT(ISERROR(SEARCH("No",C106)))</formula>
    </cfRule>
    <cfRule type="containsText" priority="4" operator="containsText" dxfId="0" text="Yes">
      <formula>NOT(ISERROR(SEARCH("Yes",C106)))</formula>
    </cfRule>
  </conditionalFormatting>
  <conditionalFormatting sqref="C83:C84">
    <cfRule type="containsText" priority="1" operator="containsText" dxfId="1" text="No">
      <formula>NOT(ISERROR(SEARCH("No",C83)))</formula>
    </cfRule>
    <cfRule type="containsText" priority="2" operator="containsText" dxfId="0" text="Yes">
      <formula>NOT(ISERROR(SEARCH("Yes",C83)))</formula>
    </cfRule>
  </conditionalFormatting>
  <dataValidations count="1">
    <dataValidation sqref="C8:C20 C28:C41 C62:C73 C81:C84 C89:C90 C102:C110 C114:C121 C130:C131 C144:C157 C229 C232 C235 C241:C242 C251 C254 D146:D163 D165:D176" showDropDown="0" showInputMessage="1" showErrorMessage="1" allowBlank="1" operator="equal">
      <formula1>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81"/>
  <sheetViews>
    <sheetView topLeftCell="A38" zoomScale="85" zoomScaleNormal="85" workbookViewId="0">
      <selection activeCell="D79" sqref="D79:AE79"/>
    </sheetView>
  </sheetViews>
  <sheetFormatPr baseColWidth="8" defaultColWidth="9.140625" defaultRowHeight="14.45"/>
  <cols>
    <col width="40.7109375" customWidth="1" style="54" min="1" max="1"/>
    <col width="9.5703125" customWidth="1" style="54" min="2" max="2"/>
    <col width="40.7109375" customWidth="1" style="54" min="3" max="3"/>
    <col width="8.7109375" customWidth="1" style="54" min="4" max="31"/>
  </cols>
  <sheetData>
    <row r="1" ht="16.35" customHeight="1" s="54">
      <c r="A1" s="48" t="inlineStr">
        <is>
          <t>Norm</t>
        </is>
      </c>
      <c r="B1" s="48" t="inlineStr">
        <is>
          <t>GS.#</t>
        </is>
      </c>
      <c r="C1" s="48" t="inlineStr">
        <is>
          <t>Human requirement name</t>
        </is>
      </c>
      <c r="D1" s="48" t="inlineStr">
        <is>
          <t>Relates</t>
        </is>
      </c>
    </row>
    <row r="2">
      <c r="D2" s="48" t="inlineStr">
        <is>
          <t>H</t>
        </is>
      </c>
      <c r="E2" s="48" t="inlineStr">
        <is>
          <t>L0</t>
        </is>
      </c>
      <c r="F2" s="48" t="inlineStr">
        <is>
          <t>L0_ii</t>
        </is>
      </c>
      <c r="G2" s="48" t="inlineStr">
        <is>
          <t>L0_iii</t>
        </is>
      </c>
      <c r="H2" s="48" t="inlineStr">
        <is>
          <t>L0_iv</t>
        </is>
      </c>
      <c r="I2" s="48" t="inlineStr">
        <is>
          <t>L1</t>
        </is>
      </c>
      <c r="J2" s="48" t="inlineStr">
        <is>
          <t>L2</t>
        </is>
      </c>
      <c r="K2" s="48" t="inlineStr">
        <is>
          <t>L3</t>
        </is>
      </c>
      <c r="L2" s="48" t="inlineStr">
        <is>
          <t>L4</t>
        </is>
      </c>
      <c r="M2" s="48" t="inlineStr">
        <is>
          <t>L5</t>
        </is>
      </c>
      <c r="N2" s="48" t="inlineStr">
        <is>
          <t>Q0</t>
        </is>
      </c>
      <c r="O2" s="48" t="inlineStr">
        <is>
          <t>Q0_ii</t>
        </is>
      </c>
      <c r="P2" s="48" t="inlineStr">
        <is>
          <t>Q0_iii</t>
        </is>
      </c>
      <c r="Q2" s="48" t="inlineStr">
        <is>
          <t>Q0_iv</t>
        </is>
      </c>
      <c r="R2" s="48" t="inlineStr">
        <is>
          <t>Q1</t>
        </is>
      </c>
      <c r="S2" s="48" t="inlineStr">
        <is>
          <t>Q2</t>
        </is>
      </c>
      <c r="T2" s="48" t="inlineStr">
        <is>
          <t>M0</t>
        </is>
      </c>
      <c r="U2" s="48" t="inlineStr">
        <is>
          <t>M0_ii</t>
        </is>
      </c>
      <c r="V2" s="48" t="inlineStr">
        <is>
          <t>M0_iii</t>
        </is>
      </c>
      <c r="W2" s="48" t="inlineStr">
        <is>
          <t>M0_iv</t>
        </is>
      </c>
      <c r="X2" s="48" t="inlineStr">
        <is>
          <t>M1</t>
        </is>
      </c>
      <c r="Y2" s="48" t="inlineStr">
        <is>
          <t>M2</t>
        </is>
      </c>
      <c r="Z2" s="48" t="inlineStr">
        <is>
          <t>G0</t>
        </is>
      </c>
      <c r="AA2" s="48" t="inlineStr">
        <is>
          <t>G0_ii</t>
        </is>
      </c>
      <c r="AB2" s="48" t="inlineStr">
        <is>
          <t>G0_iii</t>
        </is>
      </c>
      <c r="AC2" s="48" t="inlineStr">
        <is>
          <t>G0_iv</t>
        </is>
      </c>
      <c r="AD2" s="48" t="inlineStr">
        <is>
          <t>G1</t>
        </is>
      </c>
      <c r="AE2" s="48" t="inlineStr">
        <is>
          <t>G2</t>
        </is>
      </c>
    </row>
    <row r="3" ht="14.25" customHeight="1" s="54">
      <c r="A3" s="49" t="inlineStr">
        <is>
          <t>Help messages during the {log-on procedure} must not aid an unauthorized user, e.g., by indicating which {parts of the data} are correct or incorrect</t>
        </is>
      </c>
      <c r="B3" s="44" t="inlineStr">
        <is>
          <t>GS.1.1</t>
        </is>
      </c>
      <c r="C3" s="44" t="inlineStr">
        <is>
          <t>Employee Auth Info Masking</t>
        </is>
      </c>
      <c r="D3" s="44" t="inlineStr">
        <is>
          <t>H.1.1</t>
        </is>
      </c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  <c r="AE3" s="44" t="n"/>
    </row>
    <row r="4" ht="14.25" customHeight="1" s="54">
      <c r="B4" s="44" t="inlineStr">
        <is>
          <t>GS.1.2</t>
        </is>
      </c>
      <c r="C4" s="44" t="inlineStr">
        <is>
          <t>Dealer Auth Info Masking</t>
        </is>
      </c>
      <c r="D4" s="44" t="inlineStr">
        <is>
          <t>H.1.2</t>
        </is>
      </c>
      <c r="E4" s="44" t="n"/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</row>
    <row r="5">
      <c r="B5" s="44" t="inlineStr">
        <is>
          <t>GS.1.3</t>
        </is>
      </c>
      <c r="C5" s="44" t="inlineStr">
        <is>
          <t>Secure User Management Feedback</t>
        </is>
      </c>
      <c r="D5" s="44" t="n"/>
      <c r="E5" s="44" t="n"/>
      <c r="F5" s="44" t="n"/>
      <c r="G5" s="44" t="n"/>
      <c r="H5" s="44" t="n"/>
      <c r="I5" s="44" t="n"/>
      <c r="J5" s="44" t="n"/>
      <c r="K5" s="44" t="inlineStr">
        <is>
          <t>L3.1.4</t>
        </is>
      </c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  <c r="AD5" s="44" t="n"/>
      <c r="AE5" s="44" t="n"/>
    </row>
    <row r="6" ht="16.35" customHeight="1" s="54">
      <c r="A6" s="44" t="inlineStr">
        <is>
          <t>A security incident must be raised if a potential attempted or successful breach of {log-on controls} is detected, and, when the risk of the incident warrants it, the account shall be temporarily restricted, plus an alert shall be sent to the {account owner}, and to the {organization's system administrators}.</t>
        </is>
      </c>
      <c r="B6" s="44" t="inlineStr">
        <is>
          <t>GS.2.1</t>
        </is>
      </c>
      <c r="C6" s="44" t="inlineStr">
        <is>
          <t>Employee Abnormal Behavior Response</t>
        </is>
      </c>
      <c r="D6" s="44" t="inlineStr">
        <is>
          <t>H.2.1</t>
        </is>
      </c>
      <c r="E6" s="44" t="n"/>
      <c r="F6" s="44" t="n"/>
      <c r="G6" s="44" t="n"/>
      <c r="H6" s="44" t="n"/>
      <c r="I6" s="44" t="n"/>
      <c r="J6" s="44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  <c r="AD6" s="44" t="n"/>
      <c r="AE6" s="44" t="n"/>
    </row>
    <row r="7">
      <c r="B7" s="44" t="inlineStr">
        <is>
          <t>GS.2.2</t>
        </is>
      </c>
      <c r="C7" s="44" t="inlineStr">
        <is>
          <t>Dealer Abnormal Behavior Response</t>
        </is>
      </c>
      <c r="D7" s="44" t="inlineStr">
        <is>
          <t>H.2.2</t>
        </is>
      </c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  <c r="AD7" s="44" t="n"/>
      <c r="AE7" s="44" t="n"/>
    </row>
    <row r="8">
      <c r="B8" s="44" t="inlineStr">
        <is>
          <t>GS.2.3</t>
        </is>
      </c>
      <c r="C8" s="44" t="inlineStr">
        <is>
          <t>Security Event Logging</t>
        </is>
      </c>
      <c r="D8" s="44" t="n"/>
      <c r="E8" s="44" t="inlineStr">
        <is>
          <t>L0.2.3</t>
        </is>
      </c>
      <c r="F8" s="44" t="n"/>
      <c r="G8" s="44" t="n"/>
      <c r="H8" s="44" t="n"/>
      <c r="I8" s="44" t="n"/>
      <c r="J8" s="44" t="n"/>
      <c r="K8" s="44" t="n"/>
      <c r="L8" s="44" t="n"/>
      <c r="M8" s="44" t="n"/>
      <c r="N8" s="44" t="n"/>
      <c r="O8" s="44" t="n"/>
      <c r="P8" s="44" t="n"/>
      <c r="Q8" s="44" t="n"/>
      <c r="R8" s="44" t="n"/>
      <c r="S8" s="44" t="n"/>
      <c r="T8" s="44" t="n"/>
      <c r="U8" s="44" t="n"/>
      <c r="V8" s="44" t="n"/>
      <c r="W8" t="inlineStr">
        <is>
          <t>M0_iv.2.3</t>
        </is>
      </c>
      <c r="X8" s="44" t="n"/>
      <c r="Y8" s="44" t="n"/>
      <c r="Z8" s="44" t="n"/>
      <c r="AA8" s="44" t="n"/>
      <c r="AB8" s="44" t="n"/>
      <c r="AC8" s="44" t="n"/>
      <c r="AD8" s="44" t="n"/>
      <c r="AE8" s="44" t="n"/>
    </row>
    <row r="9" ht="16.35" customHeight="1" s="54">
      <c r="A9" s="44" t="inlineStr">
        <is>
          <t>Physical or logical access controls must be implemented to isolate {sensitive applications, data, or systems}.</t>
        </is>
      </c>
      <c r="B9" s="44" t="inlineStr">
        <is>
          <t>GS.3.1</t>
        </is>
      </c>
      <c r="C9" s="44" t="inlineStr">
        <is>
          <t>Logical Access Control - Data Isolation</t>
        </is>
      </c>
      <c r="D9" s="44" t="inlineStr">
        <is>
          <t>H.3.1</t>
        </is>
      </c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  <c r="O9" s="44" t="n"/>
      <c r="P9" s="44" t="n"/>
      <c r="Q9" s="44" t="n"/>
      <c r="R9" s="44" t="n"/>
      <c r="S9" s="44" t="n"/>
      <c r="T9" s="44" t="n"/>
      <c r="U9" s="44" t="n"/>
      <c r="V9" s="44" t="n"/>
      <c r="W9" s="44" t="n"/>
      <c r="X9" s="44" t="n"/>
      <c r="Y9" s="44" t="n"/>
      <c r="Z9" s="44" t="n"/>
      <c r="AA9" s="44" t="n"/>
      <c r="AB9" s="44" t="n"/>
      <c r="AC9" s="44" t="n"/>
      <c r="AD9" s="44" t="n"/>
      <c r="AE9" s="44" t="n"/>
    </row>
    <row r="10">
      <c r="B10" s="44" t="inlineStr">
        <is>
          <t>GS.3.2</t>
        </is>
      </c>
      <c r="C10" s="44" t="inlineStr">
        <is>
          <t>Physical Access Control</t>
        </is>
      </c>
      <c r="D10" s="44" t="inlineStr">
        <is>
          <t>H.3.2</t>
        </is>
      </c>
      <c r="E10" s="44" t="n"/>
      <c r="F10" s="44" t="n"/>
      <c r="G10" s="44" t="n"/>
      <c r="H10" s="44" t="n"/>
      <c r="I10" s="44" t="n"/>
      <c r="J10" s="44" t="n"/>
      <c r="K10" s="44" t="n"/>
      <c r="L10" s="44" t="n"/>
      <c r="M10" s="44" t="n"/>
      <c r="N10" s="44" t="n"/>
      <c r="O10" s="44" t="n"/>
      <c r="P10" s="44" t="n"/>
      <c r="Q10" s="44" t="n"/>
      <c r="R10" s="44" t="n"/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  <c r="AE10" s="44" t="n"/>
    </row>
    <row r="11">
      <c r="B11" s="44" t="inlineStr">
        <is>
          <t>GS.3.3</t>
        </is>
      </c>
      <c r="C11" s="44" t="inlineStr">
        <is>
          <t>Local Access Control</t>
        </is>
      </c>
      <c r="D11" s="44" t="inlineStr">
        <is>
          <t>H.3.3</t>
        </is>
      </c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  <c r="O11" s="44" t="n"/>
      <c r="P11" s="44" t="n"/>
      <c r="Q11" s="44" t="n"/>
      <c r="R11" s="44" t="n"/>
      <c r="S11" s="44" t="n"/>
      <c r="T11" s="44" t="n"/>
      <c r="U11" s="44" t="n"/>
      <c r="V11" s="44" t="n"/>
      <c r="W11" s="44" t="n"/>
      <c r="X11" s="44" t="n"/>
      <c r="Y11" s="44" t="n"/>
      <c r="Z11" s="44" t="n"/>
      <c r="AA11" s="44" t="n"/>
      <c r="AB11" s="44" t="n"/>
      <c r="AC11" s="44" t="n"/>
      <c r="AD11" s="44" t="n"/>
      <c r="AE11" s="44" t="n"/>
    </row>
    <row r="12">
      <c r="B12" s="44" t="inlineStr">
        <is>
          <t>GS.3.4</t>
        </is>
      </c>
      <c r="C12" s="44" t="inlineStr">
        <is>
          <t>Frontend Access Control</t>
        </is>
      </c>
      <c r="D12" s="44" t="inlineStr">
        <is>
          <t>H.3.4</t>
        </is>
      </c>
      <c r="E12" s="44" t="n"/>
      <c r="F12" s="44" t="n"/>
      <c r="G12" s="44" t="n"/>
      <c r="H12" s="44" t="n"/>
      <c r="I12" s="44" t="n"/>
      <c r="J12" s="44" t="n"/>
      <c r="K12" s="44" t="n"/>
      <c r="L12" s="44" t="n"/>
      <c r="M12" s="44" t="n"/>
      <c r="N12" s="44" t="n"/>
      <c r="O12" s="44" t="n"/>
      <c r="P12" s="44" t="n"/>
      <c r="Q12" s="44" t="n"/>
      <c r="R12" s="44" t="n"/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  <c r="AC12" s="44" t="n"/>
      <c r="AD12" s="44" t="n"/>
      <c r="AE12" s="44" t="n"/>
    </row>
    <row r="13">
      <c r="B13" s="44" t="inlineStr">
        <is>
          <t>GS.3.5</t>
        </is>
      </c>
      <c r="C13" s="44" t="inlineStr">
        <is>
          <t>Actuator Access Control</t>
        </is>
      </c>
      <c r="D13" s="44" t="inlineStr">
        <is>
          <t>H.3.5</t>
        </is>
      </c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  <c r="O13" s="44" t="n"/>
      <c r="P13" s="44" t="n"/>
      <c r="Q13" s="44" t="n"/>
      <c r="R13" s="44" t="n"/>
      <c r="S13" s="44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  <c r="AE13" s="44" t="n"/>
    </row>
    <row r="14">
      <c r="B14" s="44" t="inlineStr">
        <is>
          <t>GS.3.6</t>
        </is>
      </c>
      <c r="C14" s="44" t="inlineStr">
        <is>
          <t>IoT Middleware Platform Isolation</t>
        </is>
      </c>
      <c r="D14" s="44" t="n"/>
      <c r="E14" s="44" t="n"/>
      <c r="F14" s="44" t="n"/>
      <c r="G14" s="44" t="n"/>
      <c r="H14" s="44" t="n"/>
      <c r="I14" s="44" t="inlineStr">
        <is>
          <t>L1.3.3</t>
        </is>
      </c>
      <c r="J14" s="44" t="n"/>
      <c r="K14" s="44" t="n"/>
      <c r="L14" s="44" t="n"/>
      <c r="M14" s="44" t="n"/>
      <c r="N14" s="44" t="inlineStr">
        <is>
          <t>Q0.3.6</t>
        </is>
      </c>
      <c r="O14" s="44" t="n"/>
      <c r="P14" s="44" t="n"/>
      <c r="Q14" s="44" t="n"/>
      <c r="R14" s="44" t="inlineStr">
        <is>
          <t>Q1.3.8</t>
        </is>
      </c>
      <c r="S14" s="44" t="inlineStr">
        <is>
          <t>Q2.3.4</t>
        </is>
      </c>
      <c r="T14" s="44" t="n"/>
      <c r="U14" s="44" t="n"/>
      <c r="V14" s="44" t="n"/>
      <c r="W14" s="44" t="n"/>
      <c r="X14" s="44" t="inlineStr">
        <is>
          <t>M1.3.5</t>
        </is>
      </c>
      <c r="Y14" s="44" t="n"/>
      <c r="Z14" s="44" t="n"/>
      <c r="AA14" s="44" t="n"/>
      <c r="AB14" t="inlineStr">
        <is>
          <t>G0_iii.3.3</t>
        </is>
      </c>
      <c r="AC14" s="44" t="n"/>
      <c r="AD14" s="44" t="inlineStr">
        <is>
          <t>G1.3.3</t>
        </is>
      </c>
      <c r="AE14" s="44" t="inlineStr">
        <is>
          <t>G2.3.6</t>
        </is>
      </c>
    </row>
    <row r="15">
      <c r="B15" s="44" t="inlineStr">
        <is>
          <t>GS.3.8</t>
        </is>
      </c>
      <c r="C15" s="44" t="inlineStr">
        <is>
          <t>Access Control for System Administration</t>
        </is>
      </c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  <c r="O15" s="44" t="n"/>
      <c r="P15" s="44" t="n"/>
      <c r="Q15" s="44" t="n"/>
      <c r="R15" s="44" t="n"/>
      <c r="S15" s="44" t="n"/>
      <c r="T15" s="44" t="n"/>
      <c r="U15" s="44" t="n"/>
      <c r="V15" s="44" t="n"/>
      <c r="W15" s="44" t="n"/>
      <c r="X15" s="44" t="inlineStr">
        <is>
          <t>M1.3.4</t>
        </is>
      </c>
      <c r="Y15" s="44" t="n"/>
      <c r="Z15" s="44" t="n"/>
      <c r="AA15" s="44" t="n"/>
      <c r="AB15" s="44" t="n"/>
      <c r="AC15" s="44" t="n"/>
      <c r="AD15" s="44" t="n"/>
      <c r="AE15" s="44" t="n"/>
    </row>
    <row r="16" ht="14.25" customHeight="1" s="54">
      <c r="A16" s="44" t="inlineStr">
        <is>
          <t>{Access to data} must be controlled based on {user identity, group membership, and assigned roles}</t>
        </is>
      </c>
      <c r="B16" s="44" t="inlineStr">
        <is>
          <t>GS.4.1</t>
        </is>
      </c>
      <c r="C16" s="44" t="inlineStr">
        <is>
          <t>Access Control for Vehicle &amp; Material Data</t>
        </is>
      </c>
      <c r="D16" s="44" t="inlineStr">
        <is>
          <t>H.4.1</t>
        </is>
      </c>
      <c r="E16" s="44" t="n"/>
      <c r="F16" s="44" t="n"/>
      <c r="G16" s="44" t="n"/>
      <c r="H16" s="44" t="n"/>
      <c r="I16" s="44" t="n"/>
      <c r="J16" s="44" t="n"/>
      <c r="K16" s="44" t="n"/>
      <c r="L16" s="44" t="n"/>
      <c r="M16" s="44" t="n"/>
      <c r="N16" s="44" t="n"/>
      <c r="O16" s="44" t="n"/>
      <c r="P16" s="44" t="n"/>
      <c r="Q16" s="44" t="n"/>
      <c r="R16" s="44" t="n"/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  <c r="AC16" s="44" t="n"/>
      <c r="AD16" s="44" t="n"/>
      <c r="AE16" s="44" t="n"/>
    </row>
    <row r="17" ht="14.25" customHeight="1" s="54">
      <c r="B17" s="44" t="inlineStr">
        <is>
          <t>GS.4.2</t>
        </is>
      </c>
      <c r="C17" s="44" t="inlineStr">
        <is>
          <t>Access Control for Requisitions Data</t>
        </is>
      </c>
      <c r="D17" s="44" t="inlineStr">
        <is>
          <t>H.4.2</t>
        </is>
      </c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  <c r="O17" s="44" t="n"/>
      <c r="P17" s="44" t="n"/>
      <c r="Q17" s="44" t="n"/>
      <c r="R17" s="44" t="n"/>
      <c r="S17" s="44" t="n"/>
      <c r="T17" s="44" t="n"/>
      <c r="U17" s="44" t="n"/>
      <c r="V17" s="44" t="n"/>
      <c r="W17" s="44" t="n"/>
      <c r="X17" s="44" t="n"/>
      <c r="Y17" s="44" t="n"/>
      <c r="Z17" s="44" t="n"/>
      <c r="AA17" s="44" t="n"/>
      <c r="AB17" s="44" t="n"/>
      <c r="AC17" s="44" t="n"/>
      <c r="AD17" s="44" t="n"/>
      <c r="AE17" s="44" t="n"/>
    </row>
    <row r="18">
      <c r="B18" s="44" t="inlineStr">
        <is>
          <t>GS.4.3</t>
        </is>
      </c>
      <c r="C18" s="44" t="inlineStr">
        <is>
          <t>Vehicle Registry Access</t>
        </is>
      </c>
      <c r="D18" s="44" t="inlineStr">
        <is>
          <t>H.4.3</t>
        </is>
      </c>
      <c r="E18" s="44" t="n"/>
      <c r="F18" s="44" t="n"/>
      <c r="G18" s="44" t="n"/>
      <c r="H18" s="44" t="n"/>
      <c r="I18" s="44" t="n"/>
      <c r="J18" s="44" t="n"/>
      <c r="K18" s="44" t="n"/>
      <c r="L18" s="44" t="n"/>
      <c r="M18" s="44" t="n"/>
      <c r="N18" s="44" t="n"/>
      <c r="O18" s="44" t="n"/>
      <c r="P18" s="44" t="n"/>
      <c r="Q18" s="44" t="n"/>
      <c r="R18" s="44" t="n"/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4" t="n"/>
      <c r="AE18" s="44" t="n"/>
    </row>
    <row r="19" ht="14.25" customHeight="1" s="54">
      <c r="B19" s="44" t="inlineStr">
        <is>
          <t>GS.4.4</t>
        </is>
      </c>
      <c r="C19" s="44" t="inlineStr">
        <is>
          <t>Dock Manager Role for Dock Data</t>
        </is>
      </c>
      <c r="D19" s="44" t="inlineStr">
        <is>
          <t>H.4.4</t>
        </is>
      </c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  <c r="O19" s="44" t="n"/>
      <c r="P19" s="44" t="n"/>
      <c r="Q19" s="44" t="n"/>
      <c r="R19" s="44" t="n"/>
      <c r="S19" s="44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  <c r="AE19" s="44" t="n"/>
    </row>
    <row r="20" ht="14.25" customHeight="1" s="54">
      <c r="B20" s="44" t="inlineStr">
        <is>
          <t>GS.4.5</t>
        </is>
      </c>
      <c r="C20" s="44" t="inlineStr">
        <is>
          <t>Dock Manager Role for Warehouse Inventory</t>
        </is>
      </c>
      <c r="D20" s="44" t="inlineStr">
        <is>
          <t>H.4.5</t>
        </is>
      </c>
      <c r="E20" s="44" t="n"/>
      <c r="F20" s="44" t="n"/>
      <c r="G20" s="44" t="n"/>
      <c r="H20" s="44" t="n"/>
      <c r="I20" s="44" t="n"/>
      <c r="J20" s="44" t="n"/>
      <c r="K20" s="44" t="n"/>
      <c r="L20" s="44" t="n"/>
      <c r="M20" s="44" t="n"/>
      <c r="N20" s="44" t="n"/>
      <c r="O20" s="44" t="n"/>
      <c r="P20" s="44" t="n"/>
      <c r="Q20" s="44" t="n"/>
      <c r="R20" s="44" t="n"/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  <c r="AE20" s="44" t="n"/>
    </row>
    <row r="21" ht="14.25" customHeight="1" s="54">
      <c r="B21" s="44" t="inlineStr">
        <is>
          <t>GS.4.6</t>
        </is>
      </c>
      <c r="C21" s="44" t="inlineStr">
        <is>
          <t>Role-based Access to AIDC Carriers</t>
        </is>
      </c>
      <c r="D21" s="44" t="inlineStr">
        <is>
          <t>H.4.6</t>
        </is>
      </c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  <c r="O21" s="44" t="n"/>
      <c r="P21" s="44" t="n"/>
      <c r="Q21" s="44" t="n"/>
      <c r="R21" s="44" t="n"/>
      <c r="S21" s="44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  <c r="AE21" s="44" t="n"/>
    </row>
    <row r="22" ht="14.25" customHeight="1" s="54">
      <c r="B22" s="44" t="inlineStr">
        <is>
          <t>GS.4.7</t>
        </is>
      </c>
      <c r="C22" s="44" t="inlineStr">
        <is>
          <t>Role-based Data Access Control</t>
        </is>
      </c>
      <c r="D22" s="44" t="inlineStr">
        <is>
          <t>H.4.7</t>
        </is>
      </c>
      <c r="E22" s="44" t="n"/>
      <c r="F22" s="44" t="n"/>
      <c r="G22" s="44" t="n"/>
      <c r="H22" s="44" t="n"/>
      <c r="I22" s="44" t="n"/>
      <c r="J22" s="44" t="n"/>
      <c r="K22" s="44" t="n"/>
      <c r="L22" s="44" t="n"/>
      <c r="M22" s="44" t="n"/>
      <c r="N22" s="44" t="n"/>
      <c r="O22" s="44" t="n"/>
      <c r="P22" s="44" t="n"/>
      <c r="Q22" s="44" t="n"/>
      <c r="R22" s="44" t="n"/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  <c r="AC22" s="44" t="n"/>
      <c r="AD22" s="44" t="n"/>
      <c r="AE22" s="44" t="n"/>
    </row>
    <row r="23" ht="14.25" customHeight="1" s="54">
      <c r="B23" s="44" t="inlineStr">
        <is>
          <t>GS.4.8</t>
        </is>
      </c>
      <c r="C23" s="44" t="inlineStr">
        <is>
          <t>Employee User Management Function</t>
        </is>
      </c>
      <c r="D23" s="44" t="inlineStr">
        <is>
          <t>H.4.8</t>
        </is>
      </c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  <c r="O23" s="44" t="n"/>
      <c r="P23" s="44" t="n"/>
      <c r="Q23" s="44" t="n"/>
      <c r="R23" s="44" t="n"/>
      <c r="S23" s="44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  <c r="AE23" s="44" t="n"/>
    </row>
    <row r="24" ht="14.25" customHeight="1" s="54">
      <c r="B24" s="44" t="inlineStr">
        <is>
          <t>GS.4.9</t>
        </is>
      </c>
      <c r="C24" s="44" t="inlineStr">
        <is>
          <t>Role-Based Access Control for External Entities</t>
        </is>
      </c>
      <c r="D24" s="44" t="n"/>
      <c r="E24" s="44" t="inlineStr">
        <is>
          <t>L0.4.3</t>
        </is>
      </c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44" t="n"/>
      <c r="P24" s="44" t="n"/>
      <c r="Q24" s="44" t="n"/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  <c r="AE24" s="44" t="n"/>
    </row>
    <row r="25" ht="14.25" customHeight="1" s="54">
      <c r="B25" s="44" t="inlineStr">
        <is>
          <t>GS.4.10</t>
        </is>
      </c>
      <c r="C25" s="44" t="inlineStr">
        <is>
          <t>System Admin Access Control</t>
        </is>
      </c>
      <c r="D25" s="44" t="n"/>
      <c r="E25" s="44" t="inlineStr">
        <is>
          <t>L0.4.4</t>
        </is>
      </c>
      <c r="F25" s="44" t="n"/>
      <c r="G25" s="44" t="n"/>
      <c r="H25" s="44" t="n"/>
      <c r="I25" s="44" t="inlineStr">
        <is>
          <t>L1.4.2</t>
        </is>
      </c>
      <c r="J25" s="44" t="n"/>
      <c r="K25" s="44" t="inlineStr">
        <is>
          <t>L3.4.7</t>
        </is>
      </c>
      <c r="L25" s="44" t="inlineStr">
        <is>
          <t>L4.4.2</t>
        </is>
      </c>
      <c r="M25" s="44" t="n"/>
      <c r="N25" s="44" t="n"/>
      <c r="O25" s="44" t="n"/>
      <c r="P25" s="44" t="n"/>
      <c r="Q25" s="44" t="n"/>
      <c r="R25" s="44" t="n"/>
      <c r="S25" s="44" t="n"/>
      <c r="T25" s="44" t="inlineStr">
        <is>
          <t>M0.4.3p</t>
        </is>
      </c>
      <c r="U25" t="inlineStr">
        <is>
          <t>M0_ii.4.1p</t>
        </is>
      </c>
      <c r="V25" t="inlineStr">
        <is>
          <t>M0_iii.4.3p</t>
        </is>
      </c>
      <c r="W25" t="inlineStr">
        <is>
          <t>M0_iv.4.4</t>
        </is>
      </c>
      <c r="X25" s="44" t="n"/>
      <c r="Y25" s="44" t="n"/>
      <c r="Z25" s="44" t="n"/>
      <c r="AA25" s="44" t="n"/>
      <c r="AB25" s="44" t="n"/>
      <c r="AC25" s="44" t="n"/>
      <c r="AD25" s="44" t="n"/>
      <c r="AE25" s="44" t="n"/>
    </row>
    <row r="26" ht="14.25" customHeight="1" s="54">
      <c r="B26" s="44" t="inlineStr">
        <is>
          <t>GS.4.11</t>
        </is>
      </c>
      <c r="C26" s="44" t="inlineStr">
        <is>
          <t>Operations Manager Access Control</t>
        </is>
      </c>
      <c r="D26" s="44" t="n"/>
      <c r="E26" s="44" t="inlineStr">
        <is>
          <t>L0.4.5</t>
        </is>
      </c>
      <c r="F26" s="44" t="n"/>
      <c r="G26" s="44" t="n"/>
      <c r="H26" s="44" t="n"/>
      <c r="I26" s="44" t="n"/>
      <c r="J26" s="44" t="n"/>
      <c r="K26" s="44" t="n"/>
      <c r="L26" s="44" t="n"/>
      <c r="M26" s="44" t="n"/>
      <c r="N26" s="44" t="n"/>
      <c r="O26" s="44" t="n"/>
      <c r="P26" s="44" t="n"/>
      <c r="Q26" s="44" t="n"/>
      <c r="R26" s="44" t="n"/>
      <c r="S26" s="44" t="n"/>
      <c r="T26" s="44" t="inlineStr">
        <is>
          <t>M0.4.3p</t>
        </is>
      </c>
      <c r="U26" t="inlineStr">
        <is>
          <t>M0_ii.4.1p</t>
        </is>
      </c>
      <c r="V26" t="inlineStr">
        <is>
          <t>M0_iii.4.3p</t>
        </is>
      </c>
      <c r="W26" t="inlineStr">
        <is>
          <t>M0_iv.4.5</t>
        </is>
      </c>
      <c r="X26" s="44" t="n"/>
      <c r="Y26" s="44" t="n"/>
      <c r="Z26" s="44" t="n"/>
      <c r="AA26" s="44" t="n"/>
      <c r="AB26" s="44" t="n"/>
      <c r="AC26" s="44" t="n"/>
      <c r="AD26" s="44" t="n"/>
      <c r="AE26" s="44" t="n"/>
    </row>
    <row r="27" ht="14.25" customHeight="1" s="54">
      <c r="B27" s="44" t="inlineStr">
        <is>
          <t>GS.4.12</t>
        </is>
      </c>
      <c r="C27" s="44" t="inlineStr">
        <is>
          <t>Security Manager Access Control</t>
        </is>
      </c>
      <c r="D27" s="44" t="n"/>
      <c r="E27" s="44" t="inlineStr">
        <is>
          <t>L0.4.6</t>
        </is>
      </c>
      <c r="F27" s="44" t="n"/>
      <c r="G27" s="44" t="n"/>
      <c r="H27" s="44" t="n"/>
      <c r="I27" s="44" t="inlineStr">
        <is>
          <t>L1.4.3</t>
        </is>
      </c>
      <c r="J27" s="44" t="n"/>
      <c r="K27" s="44" t="n"/>
      <c r="L27" s="44" t="n"/>
      <c r="M27" s="44" t="n"/>
      <c r="N27" s="44" t="n"/>
      <c r="O27" s="44" t="n"/>
      <c r="P27" s="44" t="n"/>
      <c r="Q27" s="44" t="n"/>
      <c r="R27" s="44" t="n"/>
      <c r="S27" s="44" t="n"/>
      <c r="T27" s="44" t="inlineStr">
        <is>
          <t>M0.4.3p</t>
        </is>
      </c>
      <c r="U27" t="inlineStr">
        <is>
          <t>M0_ii.4.1p</t>
        </is>
      </c>
      <c r="V27" t="inlineStr">
        <is>
          <t>M0_iii.4.3p</t>
        </is>
      </c>
      <c r="W27" t="inlineStr">
        <is>
          <t>M0_iv.4.6</t>
        </is>
      </c>
      <c r="X27" s="44" t="n"/>
      <c r="Y27" s="44" t="n"/>
      <c r="Z27" s="44" t="n"/>
      <c r="AA27" s="44" t="n"/>
      <c r="AB27" s="44" t="n"/>
      <c r="AC27" s="44" t="n"/>
      <c r="AD27" s="44" t="n"/>
      <c r="AE27" s="44" t="n"/>
    </row>
    <row r="28" ht="14.25" customHeight="1" s="54">
      <c r="B28" s="44" t="inlineStr">
        <is>
          <t>GS.4.14</t>
        </is>
      </c>
      <c r="C28" s="44" t="inlineStr">
        <is>
          <t>Logistics Terminal Car Registry Access Control</t>
        </is>
      </c>
      <c r="D28" s="44" t="n"/>
      <c r="E28" s="44" t="n"/>
      <c r="F28" s="44" t="n"/>
      <c r="G28" s="44" t="n"/>
      <c r="H28" s="44" t="n"/>
      <c r="I28" s="44" t="n"/>
      <c r="J28" s="44" t="inlineStr">
        <is>
          <t>L2.4.4</t>
        </is>
      </c>
      <c r="K28" s="44" t="inlineStr">
        <is>
          <t>L3.4.8</t>
        </is>
      </c>
      <c r="L28" s="44" t="n"/>
      <c r="M28" s="44" t="inlineStr">
        <is>
          <t>L5.4.6</t>
        </is>
      </c>
      <c r="N28" s="44" t="n"/>
      <c r="O28" s="44" t="n"/>
      <c r="P28" s="44" t="n"/>
      <c r="Q28" s="44" t="n"/>
      <c r="R28" s="44" t="n"/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  <c r="AC28" s="44" t="n"/>
      <c r="AD28" s="44" t="n"/>
      <c r="AE28" s="44" t="n"/>
    </row>
    <row r="29" ht="14.25" customHeight="1" s="54">
      <c r="B29" s="44" t="inlineStr">
        <is>
          <t>GS.4.15</t>
        </is>
      </c>
      <c r="C29" s="44" t="inlineStr">
        <is>
          <t>Plant_Manager_Permissions</t>
        </is>
      </c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inlineStr">
        <is>
          <t>Q0.4.6</t>
        </is>
      </c>
      <c r="O29" t="inlineStr">
        <is>
          <t>Q0_ii.4.1p</t>
        </is>
      </c>
      <c r="P29" t="inlineStr">
        <is>
          <t>Q0_iii.4.1p</t>
        </is>
      </c>
      <c r="Q29" t="inlineStr">
        <is>
          <t>Q0_iv.4.1p</t>
        </is>
      </c>
      <c r="R29" s="44" t="n"/>
      <c r="S29" s="44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B29" s="44" t="n"/>
      <c r="AC29" s="44" t="n"/>
      <c r="AD29" s="44" t="n"/>
      <c r="AE29" s="44" t="n"/>
    </row>
    <row r="30" ht="14.25" customHeight="1" s="54">
      <c r="B30" s="44" t="inlineStr">
        <is>
          <t>GS.4.16</t>
        </is>
      </c>
      <c r="C30" s="44" t="inlineStr">
        <is>
          <t>Finished_Car_Yard_Manager_Permissions</t>
        </is>
      </c>
      <c r="D30" s="44" t="n"/>
      <c r="E30" s="44" t="n"/>
      <c r="F30" s="44" t="n"/>
      <c r="G30" s="44" t="n"/>
      <c r="H30" s="44" t="n"/>
      <c r="I30" s="44" t="n"/>
      <c r="J30" s="44" t="n"/>
      <c r="K30" s="44" t="n"/>
      <c r="L30" s="44" t="n"/>
      <c r="M30" s="44" t="n"/>
      <c r="N30" s="44" t="inlineStr">
        <is>
          <t>Q0.4.8</t>
        </is>
      </c>
      <c r="O30" t="inlineStr">
        <is>
          <t>Q0_ii.4.1p</t>
        </is>
      </c>
      <c r="P30" t="inlineStr">
        <is>
          <t>Q0_iii.4.1p</t>
        </is>
      </c>
      <c r="Q30" t="inlineStr">
        <is>
          <t>Q0_iv.4.1p</t>
        </is>
      </c>
      <c r="R30" s="44" t="n"/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  <c r="AC30" s="44" t="n"/>
      <c r="AD30" s="44" t="n"/>
      <c r="AE30" s="44" t="n"/>
    </row>
    <row r="31" ht="14.25" customHeight="1" s="54">
      <c r="B31" s="44" t="inlineStr">
        <is>
          <t>GS.4.17</t>
        </is>
      </c>
      <c r="C31" s="44" t="inlineStr">
        <is>
          <t>Shipping_Manager_Permissions</t>
        </is>
      </c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inlineStr">
        <is>
          <t>Q0.4.9</t>
        </is>
      </c>
      <c r="O31" t="inlineStr">
        <is>
          <t>Q0_ii.4.1p</t>
        </is>
      </c>
      <c r="P31" t="inlineStr">
        <is>
          <t>Q0_iii.4.1p</t>
        </is>
      </c>
      <c r="Q31" t="inlineStr">
        <is>
          <t>Q0_iv.4.1p</t>
        </is>
      </c>
      <c r="R31" s="44" t="n"/>
      <c r="S31" s="44" t="n"/>
      <c r="T31" s="44" t="n"/>
      <c r="U31" s="44" t="n"/>
      <c r="V31" s="44" t="n"/>
      <c r="W31" s="44" t="n"/>
      <c r="X31" s="44" t="n"/>
      <c r="Y31" s="44" t="n"/>
      <c r="Z31" s="44" t="n"/>
      <c r="AA31" s="44" t="n"/>
      <c r="AB31" s="44" t="n"/>
      <c r="AC31" s="44" t="n"/>
      <c r="AD31" s="44" t="n"/>
      <c r="AE31" s="44" t="n"/>
    </row>
    <row r="32" ht="14.25" customHeight="1" s="54">
      <c r="B32" s="44" t="inlineStr">
        <is>
          <t>GS.4.18</t>
        </is>
      </c>
      <c r="C32" s="44" t="inlineStr">
        <is>
          <t>IoT Middleware Platform Access Control</t>
        </is>
      </c>
      <c r="D32" s="44" t="n"/>
      <c r="E32" s="44" t="n"/>
      <c r="F32" s="44" t="n"/>
      <c r="G32" s="44" t="n"/>
      <c r="H32" s="44" t="n"/>
      <c r="I32" s="44" t="n"/>
      <c r="J32" s="44" t="n"/>
      <c r="K32" s="44" t="n"/>
      <c r="L32" s="44" t="n"/>
      <c r="M32" s="44" t="n"/>
      <c r="N32" s="44" t="n"/>
      <c r="O32" s="44" t="n"/>
      <c r="P32" s="44" t="n"/>
      <c r="Q32" t="inlineStr">
        <is>
          <t>Q0_iv.4.3</t>
        </is>
      </c>
      <c r="R32" s="44" t="n"/>
      <c r="S32" s="44" t="inlineStr">
        <is>
          <t>Q2.4.4</t>
        </is>
      </c>
      <c r="T32" s="44" t="n"/>
      <c r="U32" s="44" t="n"/>
      <c r="V32" s="44" t="inlineStr">
        <is>
          <t>M0_iii.4.4</t>
        </is>
      </c>
      <c r="W32" s="44" t="n"/>
      <c r="X32" s="44" t="n"/>
      <c r="Y32" s="44" t="n"/>
      <c r="Z32" s="44" t="n"/>
      <c r="AA32" s="44" t="n"/>
      <c r="AB32" s="44" t="n"/>
      <c r="AC32" s="44" t="n"/>
      <c r="AD32" s="44" t="n"/>
      <c r="AE32" s="44" t="n"/>
    </row>
    <row r="33">
      <c r="B33" s="44" t="inlineStr">
        <is>
          <t>GS.4.19</t>
        </is>
      </c>
      <c r="C33" s="44" t="inlineStr">
        <is>
          <t>Role-Based Access Control Security</t>
        </is>
      </c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  <c r="O33" s="44" t="n"/>
      <c r="P33" s="44" t="n"/>
      <c r="Q33" s="44" t="n"/>
      <c r="R33" s="44" t="n"/>
      <c r="S33" s="44" t="n"/>
      <c r="T33" s="44" t="n"/>
      <c r="U33" s="44" t="n"/>
      <c r="V33" s="44" t="n"/>
      <c r="W33" s="44" t="n"/>
      <c r="X33" s="44" t="n"/>
      <c r="Y33" s="44" t="n"/>
      <c r="Z33" s="44" t="inlineStr">
        <is>
          <t>G0.4.3</t>
        </is>
      </c>
      <c r="AA33" s="44" t="n"/>
      <c r="AB33" t="inlineStr">
        <is>
          <t>G0_iii.4.1</t>
        </is>
      </c>
      <c r="AC33" t="inlineStr">
        <is>
          <t>G0_iv.4.1</t>
        </is>
      </c>
      <c r="AD33" s="44" t="n"/>
      <c r="AE33" s="44" t="n"/>
    </row>
    <row r="34">
      <c r="B34" s="44" t="inlineStr">
        <is>
          <t>GS.4.20</t>
        </is>
      </c>
      <c r="C34" s="44" t="inlineStr">
        <is>
          <t>Production Plan Data Store Access Control</t>
        </is>
      </c>
      <c r="D34" s="44" t="n"/>
      <c r="E34" s="44" t="n"/>
      <c r="F34" s="44" t="n"/>
      <c r="G34" s="44" t="n"/>
      <c r="H34" s="44" t="n"/>
      <c r="I34" s="44" t="n"/>
      <c r="J34" s="44" t="n"/>
      <c r="K34" t="inlineStr">
        <is>
          <t>L3.4.4</t>
        </is>
      </c>
      <c r="L34" s="44" t="n"/>
      <c r="M34" t="inlineStr">
        <is>
          <t>L5.4.3</t>
        </is>
      </c>
      <c r="R34" s="44" t="n"/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  <c r="AC34" s="44" t="n"/>
      <c r="AD34" s="44" t="n"/>
      <c r="AE34" s="44" t="n"/>
    </row>
    <row r="35">
      <c r="B35" s="44" t="inlineStr">
        <is>
          <t>GS.4.21</t>
        </is>
      </c>
      <c r="C35" s="44" t="inlineStr">
        <is>
          <t>Factory Employee Data Access Control</t>
        </is>
      </c>
      <c r="D35" s="44" t="n"/>
      <c r="E35" s="44" t="n"/>
      <c r="F35" s="44" t="n"/>
      <c r="G35" s="44" t="n"/>
      <c r="H35" s="44" t="n"/>
      <c r="I35" s="44" t="n"/>
      <c r="J35" s="44" t="n"/>
      <c r="K35" t="inlineStr">
        <is>
          <t>L3.4.10</t>
        </is>
      </c>
      <c r="L35" s="44" t="n"/>
      <c r="M35" s="44" t="n"/>
      <c r="N35" s="44" t="n"/>
      <c r="O35" s="44" t="n"/>
      <c r="P35" s="44" t="n"/>
      <c r="Q35" s="44" t="n"/>
      <c r="R35" s="44" t="n"/>
      <c r="S35" s="44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  <c r="AE35" s="44" t="n"/>
    </row>
    <row r="36" ht="16.35" customHeight="1" s="54">
      <c r="A36" s="44" t="inlineStr">
        <is>
          <t>The {organization} shall maintain a record of {all privileges allocated}</t>
        </is>
      </c>
      <c r="B36" s="44" t="inlineStr">
        <is>
          <t>GS.5.1</t>
        </is>
      </c>
      <c r="C36" s="44" t="inlineStr">
        <is>
          <t>Employee Privileges Record</t>
        </is>
      </c>
      <c r="D36" s="44" t="inlineStr">
        <is>
          <t>H.5.1</t>
        </is>
      </c>
      <c r="E36" s="44" t="n"/>
      <c r="F36" s="44" t="n"/>
      <c r="G36" s="44" t="n"/>
      <c r="H36" s="44" t="n"/>
      <c r="I36" s="44" t="n"/>
      <c r="J36" s="44" t="n"/>
      <c r="K36" s="44" t="n"/>
      <c r="L36" s="44" t="n"/>
      <c r="M36" s="44" t="n"/>
      <c r="N36" s="44" t="n"/>
      <c r="O36" s="44" t="n"/>
      <c r="P36" s="44" t="n"/>
      <c r="Q36" s="44" t="n"/>
      <c r="R36" s="44" t="n"/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  <c r="AE36" s="44" t="n"/>
    </row>
    <row r="37">
      <c r="B37" s="44" t="inlineStr">
        <is>
          <t>GS.5.2</t>
        </is>
      </c>
      <c r="C37" s="44" t="inlineStr">
        <is>
          <t>Employee Privileges Record Maintenance</t>
        </is>
      </c>
      <c r="D37" s="44" t="inlineStr">
        <is>
          <t>H.5.2</t>
        </is>
      </c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  <c r="O37" s="44" t="n"/>
      <c r="P37" s="44" t="n"/>
      <c r="Q37" s="44" t="n"/>
      <c r="R37" s="44" t="n"/>
      <c r="S37" s="44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  <c r="AE37" s="44" t="n"/>
    </row>
    <row r="38">
      <c r="B38" s="44" t="inlineStr">
        <is>
          <t>GS.5.3</t>
        </is>
      </c>
      <c r="C38" s="44" t="inlineStr">
        <is>
          <t>Record of Privileges for Factory System Admins</t>
        </is>
      </c>
      <c r="D38" s="44" t="n"/>
      <c r="E38" s="44" t="inlineStr">
        <is>
          <t>L0.5.2</t>
        </is>
      </c>
      <c r="F38" t="inlineStr">
        <is>
          <t>L0_ii.5.1</t>
        </is>
      </c>
      <c r="G38" t="inlineStr">
        <is>
          <t>L0_iii.5.1</t>
        </is>
      </c>
      <c r="H38" t="inlineStr">
        <is>
          <t>L0_iv.5.1</t>
        </is>
      </c>
      <c r="I38" s="44" t="inlineStr">
        <is>
          <t>L1.5.3</t>
        </is>
      </c>
      <c r="J38" s="44" t="inlineStr">
        <is>
          <t>L2.5.3</t>
        </is>
      </c>
      <c r="K38" s="44" t="inlineStr">
        <is>
          <t>L3.5.3</t>
        </is>
      </c>
      <c r="L38" s="44" t="n"/>
      <c r="M38" s="44" t="n"/>
      <c r="N38" s="44" t="n"/>
      <c r="O38" s="44" t="n"/>
      <c r="P38" s="44" t="n"/>
      <c r="Q38" s="44" t="n"/>
      <c r="R38" s="44" t="n"/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  <c r="AE38" s="44" t="n"/>
    </row>
    <row r="39" ht="29.1" customHeight="1" s="54">
      <c r="B39" s="44" t="inlineStr">
        <is>
          <t>GS.5.4</t>
        </is>
      </c>
      <c r="C39" s="44" t="inlineStr">
        <is>
          <t>Car Manufacturer Access Control Record [external entities]</t>
        </is>
      </c>
      <c r="D39" s="44" t="n"/>
      <c r="E39" s="44" t="n"/>
      <c r="F39" s="44" t="n"/>
      <c r="G39" s="44" t="n"/>
      <c r="H39" s="44" t="n"/>
      <c r="I39" s="44" t="n"/>
      <c r="J39" s="44" t="inlineStr">
        <is>
          <t>L2.5.2</t>
        </is>
      </c>
      <c r="K39" s="44" t="n"/>
      <c r="L39" s="44" t="n"/>
      <c r="M39" s="44" t="n"/>
      <c r="N39" s="44" t="n"/>
      <c r="O39" s="44" t="n"/>
      <c r="P39" s="44" t="n"/>
      <c r="Q39" s="44" t="n"/>
      <c r="R39" s="44" t="n"/>
      <c r="S39" s="4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</row>
    <row r="40">
      <c r="B40" s="44" t="inlineStr">
        <is>
          <t>GS.5.5</t>
        </is>
      </c>
      <c r="C40" s="44" t="inlineStr">
        <is>
          <t>Record of AGV Access Privileges</t>
        </is>
      </c>
      <c r="D40" s="44" t="n"/>
      <c r="E40" s="44" t="n"/>
      <c r="F40" s="44" t="n"/>
      <c r="G40" s="44" t="n"/>
      <c r="H40" s="44" t="n"/>
      <c r="I40" s="44" t="n"/>
      <c r="J40" s="44" t="n"/>
      <c r="K40" s="44" t="inlineStr">
        <is>
          <t>L3.5.2</t>
        </is>
      </c>
      <c r="L40" s="44" t="n"/>
      <c r="M40" s="44" t="n"/>
      <c r="N40" s="44" t="n"/>
      <c r="O40" s="44" t="n"/>
      <c r="P40" s="44" t="n"/>
      <c r="Q40" s="44" t="n"/>
      <c r="R40" s="44" t="n"/>
      <c r="S40" s="44" t="n"/>
      <c r="T40" s="44" t="inlineStr">
        <is>
          <t>M0.5.2</t>
        </is>
      </c>
      <c r="U40" s="44" t="n"/>
      <c r="V40" s="44" t="n"/>
      <c r="W40" t="inlineStr">
        <is>
          <t>M0_iv.5.2</t>
        </is>
      </c>
      <c r="X40" s="44" t="n"/>
      <c r="Y40" s="44" t="n"/>
      <c r="Z40" s="44" t="n"/>
      <c r="AA40" s="44" t="n"/>
      <c r="AB40" s="44" t="n"/>
      <c r="AC40" s="44" t="n"/>
      <c r="AD40" s="44" t="n"/>
      <c r="AE40" s="44" t="n"/>
    </row>
    <row r="41">
      <c r="B41" s="44" t="inlineStr">
        <is>
          <t>GS.5.6</t>
        </is>
      </c>
      <c r="C41" s="44" t="inlineStr">
        <is>
          <t>Audit Trail for Access and Privilege Changes</t>
        </is>
      </c>
      <c r="D41" s="44" t="n"/>
      <c r="E41" s="44" t="n"/>
      <c r="F41" s="44" t="n"/>
      <c r="G41" s="44" t="n"/>
      <c r="H41" s="44" t="n"/>
      <c r="I41" s="44" t="n"/>
      <c r="J41" s="44" t="n"/>
      <c r="K41" s="44" t="n"/>
      <c r="L41" t="inlineStr">
        <is>
          <t>L4.5.1</t>
        </is>
      </c>
      <c r="M41" t="inlineStr">
        <is>
          <t>L5.5.2</t>
        </is>
      </c>
      <c r="N41" s="44" t="n"/>
      <c r="O41" t="inlineStr">
        <is>
          <t>Q0_ii.5.2</t>
        </is>
      </c>
      <c r="P41" t="inlineStr">
        <is>
          <t>Q0_iii.5.2</t>
        </is>
      </c>
      <c r="Q41" s="44" t="n"/>
      <c r="R41" s="44" t="n"/>
      <c r="S41" s="4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t="inlineStr">
        <is>
          <t>G0_iii.5.3</t>
        </is>
      </c>
      <c r="AC41" s="44" t="n"/>
      <c r="AD41" s="44" t="inlineStr">
        <is>
          <t>G1.5.3</t>
        </is>
      </c>
      <c r="AE41" s="44" t="n"/>
    </row>
    <row r="42" ht="16.35" customHeight="1" s="54">
      <c r="A42" s="44" t="inlineStr">
        <is>
          <t>The {organization} shall regularly review {users} with privileged access rights to ensure that their {duties}, {roles}, {responsibilities}, and {competence} still justify such access</t>
        </is>
      </c>
      <c r="B42" s="44" t="inlineStr">
        <is>
          <t>GS.6.1</t>
        </is>
      </c>
      <c r="C42" s="44" t="inlineStr">
        <is>
          <t>Privileged Access Review</t>
        </is>
      </c>
      <c r="D42" s="44" t="inlineStr">
        <is>
          <t>H.6.1</t>
        </is>
      </c>
      <c r="E42" s="44" t="n"/>
      <c r="F42" s="44" t="n"/>
      <c r="G42" s="44" t="n"/>
      <c r="H42" s="44" t="n"/>
      <c r="I42" s="44" t="n"/>
      <c r="J42" s="44" t="n"/>
      <c r="K42" s="44" t="n"/>
      <c r="L42" s="44" t="n"/>
      <c r="M42" s="44" t="n"/>
      <c r="N42" s="44" t="n"/>
      <c r="O42" s="44" t="n"/>
      <c r="P42" s="44" t="n"/>
      <c r="Q42" s="44" t="n"/>
      <c r="R42" s="44" t="n"/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</row>
    <row r="43" ht="15" customHeight="1" s="54">
      <c r="B43" s="44" t="inlineStr">
        <is>
          <t>GS.6.2</t>
        </is>
      </c>
      <c r="C43" s="44" t="inlineStr">
        <is>
          <t>Justification of Privileged Access Rights</t>
        </is>
      </c>
      <c r="D43" s="44" t="n"/>
      <c r="E43" s="44" t="inlineStr">
        <is>
          <t>L0.6.2</t>
        </is>
      </c>
      <c r="F43" t="inlineStr">
        <is>
          <t>L0_ii.6.2</t>
        </is>
      </c>
      <c r="G43" t="inlineStr">
        <is>
          <t>L0_iii.6.1; L0_iii.6.2; L0_iii.6.3</t>
        </is>
      </c>
      <c r="H43" t="inlineStr">
        <is>
          <t>L0_iv.6.1; L0_iv.6.2; L0_iv.6.3</t>
        </is>
      </c>
      <c r="I43" s="44" t="n"/>
      <c r="J43" s="44" t="n"/>
      <c r="K43" s="44" t="n"/>
      <c r="L43" s="44" t="n"/>
      <c r="M43" s="44" t="n"/>
      <c r="N43" s="44" t="n"/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</row>
    <row r="44" ht="29.1" customHeight="1" s="54">
      <c r="B44" s="44" t="inlineStr">
        <is>
          <t>GS.6.3</t>
        </is>
      </c>
      <c r="C44" s="44" t="inlineStr">
        <is>
          <t>Regular Review of Privileged Access for Logistics Terminal Employees</t>
        </is>
      </c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n"/>
      <c r="P44" s="44" t="n"/>
      <c r="Q44" s="44" t="n"/>
      <c r="R44" s="44" t="n"/>
      <c r="S44" s="44" t="n"/>
      <c r="T44" s="44" t="inlineStr">
        <is>
          <t>M0.6.2</t>
        </is>
      </c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</row>
    <row r="45">
      <c r="B45" s="44" t="inlineStr">
        <is>
          <t>GS.6.4</t>
        </is>
      </c>
      <c r="C45" s="44" t="inlineStr">
        <is>
          <t>Competency Validation for Cybersecurity Roles</t>
        </is>
      </c>
      <c r="D45" s="44" t="n"/>
      <c r="E45" s="44" t="n"/>
      <c r="F45" s="44" t="n"/>
      <c r="G45" s="44" t="n"/>
      <c r="H45" s="44" t="n"/>
      <c r="I45" s="44" t="n"/>
      <c r="J45" s="44" t="n"/>
      <c r="K45" t="inlineStr">
        <is>
          <t>L3.6.8</t>
        </is>
      </c>
      <c r="L45" s="44" t="n"/>
      <c r="M45" s="44" t="n"/>
      <c r="N45" s="44" t="n"/>
      <c r="O45" s="44" t="n"/>
      <c r="P45" s="44" t="n"/>
      <c r="Q45" s="44" t="n"/>
      <c r="R45" s="44" t="n"/>
      <c r="S45" s="44" t="n"/>
      <c r="T45" s="44" t="n"/>
      <c r="U45" s="44" t="n"/>
      <c r="V45" s="44" t="n"/>
      <c r="W45" s="44" t="n"/>
      <c r="X45" s="44" t="n"/>
      <c r="Y45" s="44" t="n"/>
      <c r="Z45" s="44" t="inlineStr">
        <is>
          <t>G0.6.2</t>
        </is>
      </c>
      <c r="AA45" s="44" t="n"/>
      <c r="AB45" t="inlineStr">
        <is>
          <t>G0_iii.6.2</t>
        </is>
      </c>
      <c r="AC45" s="44" t="n"/>
      <c r="AD45" s="44" t="n"/>
      <c r="AE45" s="44" t="n"/>
    </row>
    <row r="46" ht="16.35" customHeight="1" s="54">
      <c r="A46" s="44" t="inlineStr">
        <is>
          <t>{Connection} of {systems} to the {network} must be restricted and filtered, e.g., using firewalls.</t>
        </is>
      </c>
      <c r="B46" s="44" t="inlineStr">
        <is>
          <t>GS.7.1</t>
        </is>
      </c>
      <c r="C46" s="44" t="inlineStr">
        <is>
          <t>Internal Network Trust</t>
        </is>
      </c>
      <c r="D46" s="44" t="inlineStr">
        <is>
          <t>H.7.1</t>
        </is>
      </c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  <c r="O46" s="44" t="n"/>
      <c r="P46" s="44" t="n"/>
      <c r="Q46" s="44" t="n"/>
      <c r="R46" s="4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</row>
    <row r="47">
      <c r="B47" s="44" t="inlineStr">
        <is>
          <t>GS.7.2</t>
        </is>
      </c>
      <c r="C47" s="44" t="inlineStr">
        <is>
          <t>Firewall for Perimeter Network Access</t>
        </is>
      </c>
      <c r="D47" s="44" t="inlineStr">
        <is>
          <t>H.7.2</t>
        </is>
      </c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  <c r="O47" s="44" t="n"/>
      <c r="P47" s="44" t="n"/>
      <c r="Q47" s="44" t="n"/>
      <c r="R47" s="44" t="n"/>
      <c r="S47" s="4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</row>
    <row r="48">
      <c r="B48" s="44" t="inlineStr">
        <is>
          <t>GS.7.3</t>
        </is>
      </c>
      <c r="C48" s="44" t="inlineStr">
        <is>
          <t>Limited Access from Perimeter Networks</t>
        </is>
      </c>
      <c r="D48" s="44" t="inlineStr">
        <is>
          <t>H.7.3</t>
        </is>
      </c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  <c r="O48" s="44" t="n"/>
      <c r="P48" s="44" t="n"/>
      <c r="Q48" s="44" t="n"/>
      <c r="R48" s="4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</row>
    <row r="49">
      <c r="B49" s="44" t="inlineStr">
        <is>
          <t>GS.7.4</t>
        </is>
      </c>
      <c r="C49" s="44" t="inlineStr">
        <is>
          <t>Secure IT Infrastructure Configuration</t>
        </is>
      </c>
      <c r="D49" s="44" t="n"/>
      <c r="E49" s="44" t="inlineStr">
        <is>
          <t>L0.7.2</t>
        </is>
      </c>
      <c r="F49" s="44" t="n"/>
      <c r="G49" s="44" t="n"/>
      <c r="H49" s="44" t="inlineStr">
        <is>
          <t>L0_iv.7.5</t>
        </is>
      </c>
      <c r="I49" s="44" t="n"/>
      <c r="J49" s="44" t="n"/>
      <c r="K49" s="44" t="n"/>
      <c r="L49" s="44" t="n"/>
      <c r="M49" s="44" t="n"/>
      <c r="N49" s="44" t="n"/>
      <c r="O49" s="44" t="n"/>
      <c r="P49" s="44" t="n"/>
      <c r="Q49" s="44" t="n"/>
      <c r="R49" s="44" t="n"/>
      <c r="S49" s="4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</row>
    <row r="50" ht="29.1" customHeight="1" s="54">
      <c r="B50" s="44" t="inlineStr">
        <is>
          <t>GS.7.5</t>
        </is>
      </c>
      <c r="C50" s="44" t="inlineStr">
        <is>
          <t>Filtered Network Access for IoT Middleware Platforms</t>
        </is>
      </c>
      <c r="D50" s="44" t="n"/>
      <c r="E50" s="44" t="inlineStr">
        <is>
          <t>L0.7.3</t>
        </is>
      </c>
      <c r="F50" s="44" t="n"/>
      <c r="G50" s="44" t="n"/>
      <c r="H50" s="44" t="n"/>
      <c r="I50" s="44" t="n"/>
      <c r="J50" s="44" t="inlineStr">
        <is>
          <t>L2.7.3</t>
        </is>
      </c>
      <c r="K50" t="inlineStr">
        <is>
          <t>L3.7.8</t>
        </is>
      </c>
      <c r="L50" s="44" t="n"/>
      <c r="M50" s="44" t="inlineStr">
        <is>
          <t>L5.7.2</t>
        </is>
      </c>
      <c r="N50" s="44" t="n"/>
      <c r="O50" s="44" t="n"/>
      <c r="P50" s="44" t="n"/>
      <c r="Q50" s="44" t="n"/>
      <c r="R50" s="44" t="n"/>
      <c r="S50" s="44" t="n"/>
      <c r="T50" s="44" t="inlineStr">
        <is>
          <t>M0.7.1</t>
        </is>
      </c>
      <c r="U50" t="inlineStr">
        <is>
          <t>M0_ii.7.2</t>
        </is>
      </c>
      <c r="V50" s="44" t="n"/>
      <c r="W50" s="44" t="n"/>
      <c r="X50" s="44" t="inlineStr">
        <is>
          <t>M1.7.1</t>
        </is>
      </c>
      <c r="Y50" s="44" t="inlineStr">
        <is>
          <t>M2.7.2</t>
        </is>
      </c>
      <c r="Z50" s="44" t="n"/>
      <c r="AA50" s="44" t="n"/>
      <c r="AB50" s="44" t="n"/>
      <c r="AC50" s="44" t="n"/>
      <c r="AD50" s="44" t="n"/>
      <c r="AE50" s="44" t="n"/>
    </row>
    <row r="51">
      <c r="B51" s="44" t="inlineStr">
        <is>
          <t>GS.7.6</t>
        </is>
      </c>
      <c r="C51" s="44" t="inlineStr">
        <is>
          <t>Secure Network Access for AGVs and Robots</t>
        </is>
      </c>
      <c r="D51" s="44" t="n"/>
      <c r="E51" s="44" t="inlineStr">
        <is>
          <t>L0.7.4</t>
        </is>
      </c>
      <c r="F51" s="44" t="n"/>
      <c r="G51" t="inlineStr">
        <is>
          <t>L0_iii.7.6</t>
        </is>
      </c>
      <c r="H51" s="44" t="inlineStr">
        <is>
          <t>L0_iv.7.2</t>
        </is>
      </c>
      <c r="I51" s="44" t="n"/>
      <c r="J51" s="44" t="n"/>
      <c r="K51" t="inlineStr">
        <is>
          <t>L3.7.4</t>
        </is>
      </c>
      <c r="L51" s="44" t="n"/>
      <c r="M51" s="44" t="n"/>
      <c r="N51" s="44" t="n"/>
      <c r="O51" s="44" t="n"/>
      <c r="P51" s="44" t="n"/>
      <c r="Q51" s="44" t="n"/>
      <c r="R51" s="4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</row>
    <row r="52">
      <c r="B52" s="44" t="inlineStr">
        <is>
          <t>GS.7.7</t>
        </is>
      </c>
      <c r="C52" s="44" t="inlineStr">
        <is>
          <t>Secure Logistics Terminal Connections</t>
        </is>
      </c>
      <c r="D52" s="44" t="n"/>
      <c r="E52" s="44" t="n"/>
      <c r="F52" s="44" t="n"/>
      <c r="G52" s="44" t="n"/>
      <c r="H52" s="44" t="n"/>
      <c r="I52" s="44" t="inlineStr">
        <is>
          <t>L1.7.2</t>
        </is>
      </c>
      <c r="J52" s="44" t="n"/>
      <c r="K52" s="44" t="n"/>
      <c r="L52" s="44" t="n"/>
      <c r="M52" s="44" t="n"/>
      <c r="N52" s="44" t="n"/>
      <c r="O52" s="44" t="n"/>
      <c r="P52" s="44" t="n"/>
      <c r="Q52" s="44" t="n"/>
      <c r="R52" s="4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</row>
    <row r="53">
      <c r="B53" s="44" t="inlineStr">
        <is>
          <t>GS.7.8</t>
        </is>
      </c>
      <c r="C53" s="44" t="inlineStr">
        <is>
          <t>Security Manager Oversight</t>
        </is>
      </c>
      <c r="D53" s="44" t="n"/>
      <c r="E53" s="44" t="n"/>
      <c r="F53" s="44" t="n"/>
      <c r="G53" s="44" t="n"/>
      <c r="H53" s="44" t="n"/>
      <c r="I53" s="44" t="inlineStr">
        <is>
          <t>L1.7.5</t>
        </is>
      </c>
      <c r="J53" s="44" t="n"/>
      <c r="K53" s="44" t="n"/>
      <c r="L53" s="44" t="n"/>
      <c r="M53" s="44" t="n"/>
      <c r="N53" s="44" t="n"/>
      <c r="O53" s="44" t="n"/>
      <c r="P53" s="44" t="n"/>
      <c r="Q53" s="44" t="n"/>
      <c r="R53" s="4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</row>
    <row r="54">
      <c r="B54" s="44" t="inlineStr">
        <is>
          <t>GS.7.9</t>
        </is>
      </c>
      <c r="C54" t="inlineStr">
        <is>
          <t>Restricted IoT Device Connections</t>
        </is>
      </c>
      <c r="D54" s="44" t="n"/>
      <c r="E54" s="44" t="n"/>
      <c r="F54" s="44" t="n"/>
      <c r="G54" t="inlineStr">
        <is>
          <t>L0_iii.7.6</t>
        </is>
      </c>
      <c r="H54" s="44" t="n"/>
      <c r="I54" s="44" t="n"/>
      <c r="J54" s="44" t="n"/>
      <c r="K54" s="44" t="inlineStr">
        <is>
          <t>L3.7.5</t>
        </is>
      </c>
      <c r="L54" s="44" t="n"/>
      <c r="M54" s="44" t="n"/>
      <c r="N54" s="44" t="n"/>
      <c r="O54" s="44" t="n"/>
      <c r="P54" s="44" t="n"/>
      <c r="Q54" s="44" t="n"/>
      <c r="R54" s="44" t="n"/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  <c r="AC54" s="44" t="n"/>
      <c r="AD54" s="44" t="n"/>
      <c r="AE54" s="44" t="n"/>
    </row>
    <row r="55">
      <c r="B55" s="44" t="inlineStr">
        <is>
          <t>GS.7.10</t>
        </is>
      </c>
      <c r="C55" t="inlineStr">
        <is>
          <t>Secured Administration System Network Access</t>
        </is>
      </c>
      <c r="D55" s="44" t="n"/>
      <c r="E55" s="44" t="n"/>
      <c r="F55" s="44" t="n"/>
      <c r="G55" s="44" t="n"/>
      <c r="H55" s="44" t="n"/>
      <c r="I55" s="44" t="n"/>
      <c r="J55" s="44" t="n"/>
      <c r="K55" s="44" t="inlineStr">
        <is>
          <t>L3.7.6</t>
        </is>
      </c>
      <c r="L55" s="44" t="n"/>
      <c r="M55" s="44" t="n"/>
      <c r="N55" s="44" t="n"/>
      <c r="O55" s="44" t="n"/>
      <c r="P55" s="44" t="n"/>
      <c r="Q55" s="44" t="n"/>
      <c r="R55" s="44" t="n"/>
      <c r="S55" s="44" t="n"/>
      <c r="T55" s="44" t="n"/>
      <c r="U55" s="44" t="n"/>
      <c r="V55" s="44" t="n"/>
      <c r="W55" s="44" t="n"/>
      <c r="X55" s="44" t="n"/>
      <c r="Y55" s="44" t="n"/>
      <c r="Z55" s="44" t="n"/>
      <c r="AA55" s="44" t="n"/>
      <c r="AB55" s="44" t="n"/>
      <c r="AC55" s="44" t="n"/>
      <c r="AD55" s="44" t="n"/>
      <c r="AE55" s="44" t="n"/>
    </row>
    <row r="56">
      <c r="B56" s="44" t="inlineStr">
        <is>
          <t>GS.7.11</t>
        </is>
      </c>
      <c r="C56" t="inlineStr">
        <is>
          <t>Factory Network Access Restriction</t>
        </is>
      </c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inlineStr">
        <is>
          <t>L4.7.1</t>
        </is>
      </c>
      <c r="M56" s="44" t="inlineStr">
        <is>
          <t>L5.7.1</t>
        </is>
      </c>
      <c r="N56" s="44" t="n"/>
      <c r="O56" s="44" t="n"/>
      <c r="P56" s="44" t="n"/>
      <c r="Q56" s="44" t="n"/>
      <c r="R56" s="44" t="n"/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  <c r="AC56" s="44" t="n"/>
      <c r="AD56" s="44" t="n"/>
      <c r="AE56" s="44" t="n"/>
    </row>
    <row r="57" ht="16.35" customHeight="1" s="54">
      <c r="A57" s="44" t="inlineStr">
        <is>
          <t>{Network administration channels} must be segregated from {other network traffic}</t>
        </is>
      </c>
      <c r="B57" s="44" t="inlineStr">
        <is>
          <t>GS.8.1</t>
        </is>
      </c>
      <c r="C57" s="44" t="inlineStr">
        <is>
          <t>Maintenance Network Segregation</t>
        </is>
      </c>
      <c r="D57" s="44" t="inlineStr">
        <is>
          <t>H.8.1</t>
        </is>
      </c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  <c r="O57" s="44" t="n"/>
      <c r="P57" s="44" t="n"/>
      <c r="Q57" s="44" t="n"/>
      <c r="R57" s="44" t="n"/>
      <c r="S57" s="44" t="n"/>
      <c r="T57" s="44" t="n"/>
      <c r="U57" s="44" t="n"/>
      <c r="V57" s="44" t="n"/>
      <c r="W57" s="44" t="n"/>
      <c r="X57" s="44" t="n"/>
      <c r="Y57" s="44" t="n"/>
      <c r="Z57" s="44" t="n"/>
      <c r="AA57" s="44" t="n"/>
      <c r="AB57" s="44" t="n"/>
      <c r="AC57" s="44" t="n"/>
      <c r="AD57" s="44" t="n"/>
      <c r="AE57" s="44" t="n"/>
    </row>
    <row r="58" ht="28.35" customHeight="1" s="54">
      <c r="B58" s="44" t="inlineStr">
        <is>
          <t>GS.8.2</t>
        </is>
      </c>
      <c r="C58" s="44" t="inlineStr">
        <is>
          <t>Isolation of Network Administration from Logistics Network Traffic</t>
        </is>
      </c>
      <c r="D58" s="44" t="n"/>
      <c r="E58" s="44" t="inlineStr">
        <is>
          <t>L0.8.2</t>
        </is>
      </c>
      <c r="F58" s="44" t="inlineStr">
        <is>
          <t>L0_ii.8.1</t>
        </is>
      </c>
      <c r="G58" t="inlineStr">
        <is>
          <t>L0_iii.8.3</t>
        </is>
      </c>
      <c r="H58" s="44" t="inlineStr">
        <is>
          <t>L0_iv.8.2</t>
        </is>
      </c>
      <c r="I58" s="44" t="n"/>
      <c r="J58" s="44" t="n"/>
      <c r="K58" t="inlineStr">
        <is>
          <t>L3.8.2</t>
        </is>
      </c>
      <c r="L58" s="44" t="n"/>
      <c r="M58" s="44" t="n"/>
      <c r="N58" s="44" t="n"/>
      <c r="O58" s="44" t="n"/>
      <c r="P58" s="44" t="n"/>
      <c r="Q58" s="44" t="n"/>
      <c r="R58" s="44" t="n"/>
      <c r="S58" s="44" t="n"/>
      <c r="T58" s="44" t="n"/>
      <c r="U58" s="44" t="n"/>
      <c r="V58" s="44" t="n"/>
      <c r="W58" s="44" t="n"/>
      <c r="X58" s="44" t="n"/>
      <c r="Y58" s="44" t="n"/>
      <c r="Z58" s="44" t="n"/>
      <c r="AA58" s="44" t="n"/>
      <c r="AB58" s="44" t="n"/>
      <c r="AC58" s="44" t="n"/>
      <c r="AD58" s="44" t="n"/>
      <c r="AE58" s="44" t="n"/>
    </row>
    <row r="59" ht="14.85" customHeight="1" s="54">
      <c r="B59" s="44" t="inlineStr">
        <is>
          <t>GS.8.3</t>
        </is>
      </c>
      <c r="C59" t="inlineStr">
        <is>
          <t>Protection of Administration Channels</t>
        </is>
      </c>
      <c r="D59" s="44" t="n"/>
      <c r="E59" s="44" t="n"/>
      <c r="F59" s="44" t="n"/>
      <c r="G59" s="44" t="n"/>
      <c r="H59" s="44" t="n"/>
      <c r="I59" s="44" t="n"/>
      <c r="J59" s="44" t="n"/>
      <c r="K59" s="44" t="inlineStr">
        <is>
          <t>L3.8.4</t>
        </is>
      </c>
      <c r="L59" s="44" t="n"/>
      <c r="M59" s="44" t="n"/>
      <c r="N59" s="44" t="n"/>
      <c r="O59" s="44" t="n"/>
      <c r="P59" s="44" t="n"/>
      <c r="Q59" s="44" t="n"/>
      <c r="R59" s="44" t="n"/>
      <c r="S59" s="44" t="n"/>
      <c r="T59" s="44" t="n"/>
      <c r="U59" s="44" t="n"/>
      <c r="V59" s="44" t="n"/>
      <c r="W59" s="44" t="n"/>
      <c r="X59" s="44" t="n"/>
      <c r="Y59" s="44" t="n"/>
      <c r="Z59" s="44" t="n"/>
      <c r="AA59" s="44" t="n"/>
      <c r="AB59" s="44" t="n"/>
      <c r="AC59" s="44" t="n"/>
      <c r="AD59" s="44" t="n"/>
      <c r="AE59" s="44" t="n"/>
    </row>
    <row r="60" ht="16.35" customHeight="1" s="54">
      <c r="A60" s="44" t="inlineStr">
        <is>
          <t>Implement cryptographic measures to safeguard {information stored} on {mobile user} {endpoint devices} or {storage media} and transmitted over {networks}</t>
        </is>
      </c>
      <c r="B60" s="44" t="inlineStr">
        <is>
          <t>GS.9.1</t>
        </is>
      </c>
      <c r="C60" s="44" t="inlineStr">
        <is>
          <t>Cryptographic Safeguarding of Data Stores</t>
        </is>
      </c>
      <c r="D60" s="44" t="inlineStr">
        <is>
          <t>H.9.1</t>
        </is>
      </c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  <c r="O60" s="44" t="n"/>
      <c r="P60" s="44" t="n"/>
      <c r="Q60" s="44" t="n"/>
      <c r="R60" s="44" t="n"/>
      <c r="S60" s="44" t="n"/>
      <c r="T60" s="44" t="n"/>
      <c r="U60" s="44" t="n"/>
      <c r="V60" s="44" t="n"/>
      <c r="W60" s="44" t="n"/>
      <c r="X60" s="44" t="n"/>
      <c r="Y60" s="44" t="n"/>
      <c r="Z60" s="44" t="n"/>
      <c r="AA60" s="44" t="n"/>
      <c r="AB60" s="44" t="n"/>
      <c r="AC60" s="44" t="n"/>
      <c r="AD60" s="44" t="n"/>
      <c r="AE60" s="44" t="n"/>
    </row>
    <row r="61">
      <c r="B61" s="44" t="inlineStr">
        <is>
          <t>GS.9.2</t>
        </is>
      </c>
      <c r="C61" s="44" t="inlineStr">
        <is>
          <t>Cryptographic Safeguarding of RFID Data</t>
        </is>
      </c>
      <c r="D61" s="44" t="inlineStr">
        <is>
          <t>H.9.2</t>
        </is>
      </c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  <c r="O61" s="44" t="n"/>
      <c r="P61" s="44" t="n"/>
      <c r="Q61" s="44" t="n"/>
      <c r="R61" s="44" t="n"/>
      <c r="S61" s="44" t="n"/>
      <c r="T61" s="44" t="n"/>
      <c r="U61" s="44" t="n"/>
      <c r="V61" s="44" t="n"/>
      <c r="W61" s="44" t="n"/>
      <c r="X61" s="44" t="n"/>
      <c r="Y61" s="44" t="n"/>
      <c r="Z61" s="44" t="n"/>
      <c r="AA61" s="44" t="n"/>
      <c r="AB61" s="44" t="n"/>
      <c r="AC61" s="44" t="n"/>
      <c r="AD61" s="44" t="n"/>
      <c r="AE61" s="44" t="n"/>
    </row>
    <row r="62">
      <c r="B62" s="44" t="inlineStr">
        <is>
          <t>GS.9.3</t>
        </is>
      </c>
      <c r="C62" s="44" t="inlineStr">
        <is>
          <t>Network Data Encryption</t>
        </is>
      </c>
      <c r="D62" s="44" t="inlineStr">
        <is>
          <t>H.9.3</t>
        </is>
      </c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  <c r="O62" s="44" t="n"/>
      <c r="P62" s="44" t="n"/>
      <c r="Q62" s="44" t="n"/>
      <c r="R62" s="44" t="n"/>
      <c r="S62" s="44" t="n"/>
      <c r="T62" s="44" t="n"/>
      <c r="U62" s="44" t="n"/>
      <c r="V62" s="44" t="n"/>
      <c r="W62" s="44" t="n"/>
      <c r="X62" s="44" t="n"/>
      <c r="Y62" s="44" t="n"/>
      <c r="Z62" s="44" t="n"/>
      <c r="AA62" s="44" t="n"/>
      <c r="AB62" s="44" t="n"/>
      <c r="AC62" s="44" t="n"/>
      <c r="AD62" s="44" t="n"/>
      <c r="AE62" s="44" t="n"/>
    </row>
    <row r="63" ht="29.1" customHeight="1" s="54">
      <c r="B63" s="44" t="inlineStr">
        <is>
          <t>GS.9.4</t>
        </is>
      </c>
      <c r="C63" s="44" t="inlineStr">
        <is>
          <t>Secure Transmission and Storage of Production Plans</t>
        </is>
      </c>
      <c r="D63" s="44" t="n"/>
      <c r="E63" s="44" t="inlineStr">
        <is>
          <t>L0.9.4</t>
        </is>
      </c>
      <c r="F63" s="44" t="inlineStr">
        <is>
          <t>L0_ii.9.1</t>
        </is>
      </c>
      <c r="G63" t="inlineStr">
        <is>
          <t>L0_iii.9.2</t>
        </is>
      </c>
      <c r="H63" s="44" t="inlineStr">
        <is>
          <t>L0_iv.9.1</t>
        </is>
      </c>
      <c r="I63" s="44" t="n"/>
      <c r="J63" s="44" t="n"/>
      <c r="K63" t="inlineStr">
        <is>
          <t>L3.9.12</t>
        </is>
      </c>
      <c r="L63" s="44" t="n"/>
      <c r="M63" s="44" t="n"/>
      <c r="N63" s="44" t="n"/>
      <c r="O63" s="44" t="n"/>
      <c r="P63" s="44" t="n"/>
      <c r="Q63" s="44" t="n"/>
      <c r="R63" s="44" t="n"/>
      <c r="S63" s="44" t="n"/>
      <c r="T63" s="44" t="n"/>
      <c r="U63" s="44" t="n"/>
      <c r="V63" s="44" t="n"/>
      <c r="W63" s="44" t="n"/>
      <c r="X63" s="44" t="n"/>
      <c r="Y63" s="44" t="n"/>
      <c r="Z63" s="44" t="n"/>
      <c r="AA63" s="44" t="n"/>
      <c r="AB63" s="44" t="n"/>
      <c r="AC63" s="44" t="n"/>
      <c r="AD63" s="44" t="n"/>
      <c r="AE63" s="44" t="n"/>
    </row>
    <row r="64">
      <c r="B64" s="44" t="inlineStr">
        <is>
          <t>GS.9.5</t>
        </is>
      </c>
      <c r="C64" s="44" t="inlineStr">
        <is>
          <t>Supply Chain Interaction Security</t>
        </is>
      </c>
      <c r="D64" s="44" t="n"/>
      <c r="E64" s="44" t="n"/>
      <c r="F64" s="44" t="n"/>
      <c r="G64" s="44" t="n"/>
      <c r="H64" s="44" t="n"/>
      <c r="I64" s="44" t="n"/>
      <c r="J64" s="44" t="inlineStr">
        <is>
          <t>L2.9.3</t>
        </is>
      </c>
      <c r="K64" s="44" t="n"/>
      <c r="L64" s="44" t="n"/>
      <c r="M64" s="44" t="n"/>
      <c r="N64" s="44" t="n"/>
      <c r="O64" s="44" t="n"/>
      <c r="P64" s="44" t="n"/>
      <c r="Q64" s="44" t="n"/>
      <c r="R64" s="44" t="n"/>
      <c r="S64" s="44" t="n"/>
      <c r="T64" s="44" t="n"/>
      <c r="U64" s="44" t="n"/>
      <c r="V64" s="44" t="n"/>
      <c r="W64" s="44" t="n"/>
      <c r="X64" s="44" t="n"/>
      <c r="Y64" s="44" t="n"/>
      <c r="Z64" s="44" t="n"/>
      <c r="AA64" s="44" t="n"/>
      <c r="AB64" s="44" t="n"/>
      <c r="AC64" s="44" t="n"/>
      <c r="AD64" s="44" t="n"/>
      <c r="AE64" s="44" t="n"/>
    </row>
    <row r="65" ht="15" customHeight="1" s="54">
      <c r="B65" s="44" t="inlineStr">
        <is>
          <t>GS.9.6</t>
        </is>
      </c>
      <c r="C65" s="44" t="inlineStr">
        <is>
          <t>EndpointDeviceDataProtection</t>
        </is>
      </c>
      <c r="D65" s="44" t="n"/>
      <c r="E65" s="44" t="n"/>
      <c r="F65" s="44" t="n"/>
      <c r="G65" s="44" t="n"/>
      <c r="H65" s="44" t="n"/>
      <c r="I65" s="44" t="n"/>
      <c r="J65" s="44" t="n"/>
      <c r="K65" t="inlineStr">
        <is>
          <t>L3.9.11</t>
        </is>
      </c>
      <c r="L65" s="44" t="n"/>
      <c r="M65" s="44" t="inlineStr">
        <is>
          <t>L5.9.5</t>
        </is>
      </c>
      <c r="N65" s="44" t="n"/>
      <c r="O65" s="44" t="n"/>
      <c r="P65" s="44" t="n"/>
      <c r="Q65" s="44" t="n"/>
      <c r="R65" s="44" t="n"/>
      <c r="S65" s="44" t="inlineStr">
        <is>
          <t>Q2.9.1</t>
        </is>
      </c>
      <c r="T65" s="44" t="n"/>
      <c r="U65" s="44" t="n"/>
      <c r="V65" s="44" t="n"/>
      <c r="W65" s="44" t="n"/>
      <c r="X65" s="44" t="n"/>
      <c r="Y65" s="44" t="inlineStr">
        <is>
          <t>M2.9.2</t>
        </is>
      </c>
      <c r="Z65" s="44" t="inlineStr">
        <is>
          <t>G0.9.2</t>
        </is>
      </c>
      <c r="AA65" t="inlineStr">
        <is>
          <t>G0_ii.9.1</t>
        </is>
      </c>
      <c r="AB65" t="inlineStr">
        <is>
          <t>G0_iii.9.3</t>
        </is>
      </c>
      <c r="AC65" t="inlineStr">
        <is>
          <t>G0_iv.9.3</t>
        </is>
      </c>
      <c r="AD65" s="44" t="n"/>
      <c r="AE65" s="44" t="n"/>
    </row>
    <row r="66">
      <c r="B66" s="44" t="inlineStr">
        <is>
          <t>GS.9.7</t>
        </is>
      </c>
      <c r="C66" s="44" t="inlineStr">
        <is>
          <t>IoTMiddlewareSecurity</t>
        </is>
      </c>
      <c r="D66" s="44" t="n"/>
      <c r="E66" s="44" t="n"/>
      <c r="F66" s="44" t="n"/>
      <c r="G66" s="44" t="n"/>
      <c r="H66" s="44" t="n"/>
      <c r="I66" s="44" t="n"/>
      <c r="J66" s="44" t="n"/>
      <c r="K66" s="44" t="inlineStr">
        <is>
          <t>L3.9.7</t>
        </is>
      </c>
      <c r="L66" s="44" t="n"/>
      <c r="M66" s="44" t="n"/>
      <c r="N66" s="44" t="n"/>
      <c r="O66" s="44" t="n"/>
      <c r="P66" s="44" t="n"/>
      <c r="Q66" s="44" t="n"/>
      <c r="R66" s="44" t="n"/>
      <c r="S66" s="44" t="inlineStr">
        <is>
          <t>Q2.9.5</t>
        </is>
      </c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4" t="n"/>
      <c r="AC66" s="44" t="n"/>
      <c r="AD66" s="44" t="n"/>
      <c r="AE66" s="44" t="n"/>
    </row>
    <row r="67">
      <c r="B67" s="44" t="inlineStr">
        <is>
          <t>GS.9.8</t>
        </is>
      </c>
      <c r="C67" s="44" t="inlineStr">
        <is>
          <t>External Network Communication Security</t>
        </is>
      </c>
      <c r="D67" s="44" t="n"/>
      <c r="E67" s="44" t="n"/>
      <c r="F67" t="inlineStr">
        <is>
          <t>L0_ii.9.3</t>
        </is>
      </c>
      <c r="G67" t="inlineStr">
        <is>
          <t>L0_iii.9.3</t>
        </is>
      </c>
      <c r="H67" s="44" t="n"/>
      <c r="I67" s="44" t="n"/>
      <c r="J67" s="44" t="n"/>
      <c r="K67" s="44" t="n"/>
      <c r="L67" s="44" t="n"/>
      <c r="M67" s="44" t="n"/>
      <c r="N67" s="44" t="n"/>
      <c r="O67" s="44" t="n"/>
      <c r="P67" s="44" t="n"/>
      <c r="Q67" s="44" t="n"/>
      <c r="R67" s="44" t="n"/>
      <c r="S67" s="44" t="n"/>
      <c r="T67" s="44" t="n"/>
      <c r="U67" s="44" t="n"/>
      <c r="V67" s="44" t="n"/>
      <c r="W67" s="44" t="n"/>
      <c r="X67" s="44" t="n"/>
      <c r="Y67" s="44" t="n"/>
      <c r="Z67" s="44" t="inlineStr">
        <is>
          <t>G0.9.3</t>
        </is>
      </c>
      <c r="AA67" s="44" t="n"/>
      <c r="AB67" s="44" t="n"/>
      <c r="AC67" s="44" t="n"/>
      <c r="AD67" s="44" t="n"/>
      <c r="AE67" s="44" t="n"/>
    </row>
    <row r="68" ht="16.35" customHeight="1" s="54">
      <c r="A68" s="44" t="inlineStr">
        <is>
          <t>Establish a comprehensive key management system, including procedures for generating and protecting {cryptographic keys} and recovering {encrypted data} in case of lost, compromised, or damaged {keys}</t>
        </is>
      </c>
      <c r="B68" s="44" t="inlineStr">
        <is>
          <t>GS.10.1</t>
        </is>
      </c>
      <c r="C68" s="44" t="inlineStr">
        <is>
          <t>Key Management for AIDC Carriers</t>
        </is>
      </c>
      <c r="D68" s="44" t="inlineStr">
        <is>
          <t>H.10.1</t>
        </is>
      </c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  <c r="O68" s="44" t="n"/>
      <c r="P68" s="44" t="n"/>
      <c r="Q68" s="44" t="n"/>
      <c r="R68" s="44" t="n"/>
      <c r="S68" s="44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  <c r="AC68" s="44" t="n"/>
      <c r="AD68" s="44" t="n"/>
      <c r="AE68" s="44" t="n"/>
    </row>
    <row r="69" ht="14.85" customHeight="1" s="54">
      <c r="B69" s="44" t="inlineStr">
        <is>
          <t>GS.10.2</t>
        </is>
      </c>
      <c r="C69" s="44" t="inlineStr">
        <is>
          <t>Key Management for Employee Access</t>
        </is>
      </c>
      <c r="D69" s="44" t="inlineStr">
        <is>
          <t>H.10.2</t>
        </is>
      </c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  <c r="O69" s="44" t="n"/>
      <c r="P69" s="44" t="n"/>
      <c r="Q69" s="44" t="n"/>
      <c r="R69" s="44" t="n"/>
      <c r="S69" s="44" t="n"/>
      <c r="T69" s="44" t="n"/>
      <c r="U69" s="44" t="n"/>
      <c r="V69" s="44" t="n"/>
      <c r="W69" s="44" t="n"/>
      <c r="X69" s="44" t="n"/>
      <c r="Y69" s="44" t="n"/>
      <c r="Z69" s="44" t="n"/>
      <c r="AA69" s="44" t="n"/>
      <c r="AB69" s="44" t="n"/>
      <c r="AC69" s="44" t="n"/>
      <c r="AD69" s="44" t="n"/>
      <c r="AE69" s="44" t="n"/>
    </row>
    <row r="70" ht="14.85" customHeight="1" s="54">
      <c r="B70" s="44" t="inlineStr">
        <is>
          <t>GS.10.3</t>
        </is>
      </c>
      <c r="C70" s="44" t="inlineStr">
        <is>
          <t>Security Manager for Key Management</t>
        </is>
      </c>
      <c r="D70" s="44" t="inlineStr">
        <is>
          <t>H.10.3</t>
        </is>
      </c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  <c r="O70" s="44" t="n"/>
      <c r="P70" s="44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  <c r="AC70" s="44" t="n"/>
      <c r="AD70" s="44" t="n"/>
      <c r="AE70" s="44" t="n"/>
    </row>
    <row r="71" ht="14.45" customHeight="1" s="54">
      <c r="B71" s="44" t="inlineStr">
        <is>
          <t>GS.10.4</t>
        </is>
      </c>
      <c r="C71" t="inlineStr">
        <is>
          <t>Secure Key Management for Automated Systems</t>
        </is>
      </c>
      <c r="D71" s="44" t="n"/>
      <c r="E71" s="44" t="inlineStr">
        <is>
          <t>L0.10.2</t>
        </is>
      </c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  <c r="O71" s="44" t="n"/>
      <c r="P71" s="44" t="n"/>
      <c r="Q71" s="44" t="n"/>
      <c r="R71" s="44" t="n"/>
      <c r="S71" s="44" t="n"/>
      <c r="T71" s="44" t="n"/>
      <c r="U71" s="44" t="n"/>
      <c r="V71" s="44" t="n"/>
      <c r="W71" s="44" t="n"/>
      <c r="X71" s="44" t="n"/>
      <c r="Y71" s="44" t="n"/>
      <c r="Z71" s="44" t="n"/>
      <c r="AA71" s="44" t="n"/>
      <c r="AB71" s="44" t="n"/>
      <c r="AC71" s="44" t="n"/>
      <c r="AD71" s="44" t="n"/>
      <c r="AE71" s="44" t="n"/>
    </row>
    <row r="72" ht="14.1" customHeight="1" s="54">
      <c r="B72" s="44" t="inlineStr">
        <is>
          <t>GS.10.5</t>
        </is>
      </c>
      <c r="C72" s="44" t="inlineStr">
        <is>
          <t>Key Recovery</t>
        </is>
      </c>
      <c r="D72" s="44" t="n"/>
      <c r="E72" s="44" t="n"/>
      <c r="F72" s="44" t="inlineStr">
        <is>
          <t>L0_ii.10.3</t>
        </is>
      </c>
      <c r="G72" s="44" t="inlineStr">
        <is>
          <t>L0_iii.10.5</t>
        </is>
      </c>
      <c r="H72" s="44" t="inlineStr">
        <is>
          <t>L0_iv.10.2</t>
        </is>
      </c>
      <c r="I72" s="44" t="n"/>
      <c r="J72" s="44" t="inlineStr">
        <is>
          <t>L2.10.3p</t>
        </is>
      </c>
      <c r="K72" t="inlineStr">
        <is>
          <t>L3.10.4</t>
        </is>
      </c>
      <c r="L72" s="44" t="n"/>
      <c r="M72" s="44" t="n"/>
      <c r="N72" s="44" t="n"/>
      <c r="O72" s="44" t="n"/>
      <c r="P72" s="44" t="n"/>
      <c r="Q72" s="44" t="n"/>
      <c r="R72" s="44" t="inlineStr">
        <is>
          <t>Q1.10.2</t>
        </is>
      </c>
      <c r="S72" s="44" t="n"/>
      <c r="T72" s="44" t="n"/>
      <c r="U72" s="44" t="n"/>
      <c r="V72" s="44" t="n"/>
      <c r="W72" s="44" t="n"/>
      <c r="X72" s="44" t="n"/>
      <c r="Y72" s="44" t="n"/>
      <c r="Z72" s="44" t="inlineStr">
        <is>
          <t>G0.10.2</t>
        </is>
      </c>
      <c r="AA72" t="inlineStr">
        <is>
          <t>G0_ii.10.2</t>
        </is>
      </c>
      <c r="AB72" t="inlineStr">
        <is>
          <t>G0_iii.10.4</t>
        </is>
      </c>
      <c r="AC72" t="inlineStr">
        <is>
          <t>G0_iv.10.4</t>
        </is>
      </c>
      <c r="AD72" s="44" t="n"/>
      <c r="AE72" s="44" t="n"/>
    </row>
    <row r="73" ht="14.85" customHeight="1" s="54">
      <c r="B73" s="44" t="inlineStr">
        <is>
          <t>GS.10.6</t>
        </is>
      </c>
      <c r="C73" s="44" t="inlineStr">
        <is>
          <t>Key Revocation</t>
        </is>
      </c>
      <c r="D73" s="44" t="n"/>
      <c r="E73" s="44" t="n"/>
      <c r="F73" s="44" t="n"/>
      <c r="G73" s="44" t="inlineStr">
        <is>
          <t>L0_iii.10.5</t>
        </is>
      </c>
      <c r="H73" s="44" t="n"/>
      <c r="I73" s="44" t="n"/>
      <c r="J73" s="44" t="inlineStr">
        <is>
          <t>L2.10.3p</t>
        </is>
      </c>
      <c r="K73" s="44" t="n"/>
      <c r="L73" s="44" t="n"/>
      <c r="M73" s="44" t="n"/>
      <c r="N73" s="44" t="n"/>
      <c r="O73" s="44" t="n"/>
      <c r="P73" s="44" t="n"/>
      <c r="Q73" s="44" t="n"/>
      <c r="R73" s="44" t="n"/>
      <c r="S73" s="44" t="n"/>
      <c r="T73" s="44" t="inlineStr">
        <is>
          <t>M0.10.3p</t>
        </is>
      </c>
      <c r="U73" s="44" t="n"/>
      <c r="V73" s="44" t="n"/>
      <c r="W73" s="44" t="n"/>
      <c r="X73" s="44" t="n"/>
      <c r="Y73" s="44" t="n"/>
      <c r="Z73" s="44" t="n"/>
      <c r="AA73" s="44" t="n"/>
      <c r="AB73" s="44" t="n"/>
      <c r="AC73" s="44" t="n"/>
      <c r="AD73" s="44" t="n"/>
      <c r="AE73" s="44" t="n"/>
    </row>
    <row r="74" ht="14.85" customHeight="1" s="54">
      <c r="B74" s="44" t="inlineStr">
        <is>
          <t>GS.10.7</t>
        </is>
      </c>
      <c r="C74" s="44" t="inlineStr">
        <is>
          <t>Access-Controlled Key Management</t>
        </is>
      </c>
      <c r="D74" s="44" t="n"/>
      <c r="E74" s="44" t="n"/>
      <c r="F74" s="44" t="n"/>
      <c r="G74" s="44" t="n"/>
      <c r="H74" s="44" t="n"/>
      <c r="I74" s="44" t="n"/>
      <c r="J74" s="44" t="inlineStr">
        <is>
          <t>L2.10.4</t>
        </is>
      </c>
      <c r="K74" s="44" t="n"/>
      <c r="L74" s="44" t="n"/>
      <c r="M74" s="44" t="n"/>
      <c r="N74" s="44" t="n"/>
      <c r="O74" s="44" t="n"/>
      <c r="P74" s="44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  <c r="AC74" s="44" t="n"/>
      <c r="AD74" s="44" t="n"/>
      <c r="AE74" s="44" t="n"/>
    </row>
    <row r="75" ht="14.85" customHeight="1" s="54">
      <c r="B75" s="44" t="inlineStr">
        <is>
          <t>GS.10.8</t>
        </is>
      </c>
      <c r="C75" s="44" t="inlineStr">
        <is>
          <t>Key-Driven Data Recovery Protocol</t>
        </is>
      </c>
      <c r="D75" s="44" t="n"/>
      <c r="E75" s="44" t="n"/>
      <c r="F75" s="44" t="n"/>
      <c r="G75" s="44" t="n"/>
      <c r="H75" s="44" t="n"/>
      <c r="I75" s="44" t="n"/>
      <c r="J75" s="44" t="n"/>
      <c r="K75" s="44" t="n"/>
      <c r="L75" s="44" t="n"/>
      <c r="M75" t="inlineStr">
        <is>
          <t>L5.10.3</t>
        </is>
      </c>
      <c r="N75" s="44" t="n"/>
      <c r="O75" s="44" t="n"/>
      <c r="P75" s="44" t="n"/>
      <c r="Q75" s="44" t="n"/>
      <c r="R75" s="44" t="n"/>
      <c r="S75" s="44" t="inlineStr">
        <is>
          <t>Q2.10.3</t>
        </is>
      </c>
      <c r="T75" s="44" t="n"/>
      <c r="U75" s="44" t="n"/>
      <c r="V75" s="44" t="n"/>
      <c r="W75" s="44" t="n"/>
      <c r="X75" s="44" t="n"/>
      <c r="Y75" s="44" t="n"/>
      <c r="Z75" s="44" t="n"/>
      <c r="AA75" s="44" t="n"/>
      <c r="AB75" s="44" t="n"/>
      <c r="AC75" s="44" t="n"/>
      <c r="AD75" s="44" t="n"/>
      <c r="AE75" s="44" t="n"/>
    </row>
    <row r="76" ht="14.85" customHeight="1" s="54">
      <c r="B76" s="44" t="inlineStr">
        <is>
          <t>GS.10.9</t>
        </is>
      </c>
      <c r="C76" s="44" t="inlineStr">
        <is>
          <t>Automatic Key Rotation</t>
        </is>
      </c>
      <c r="D76" s="44" t="n"/>
      <c r="E76" s="44" t="n"/>
      <c r="F76" s="44" t="n"/>
      <c r="G76" s="44" t="n"/>
      <c r="H76" s="44" t="n"/>
      <c r="I76" s="44" t="n"/>
      <c r="J76" s="44" t="n"/>
      <c r="K76" s="44" t="n"/>
      <c r="L76" s="44" t="n"/>
      <c r="M76" s="44" t="n"/>
      <c r="N76" s="44" t="n"/>
      <c r="O76" s="44" t="n"/>
      <c r="P76" s="44" t="n"/>
      <c r="Q76" s="44" t="n"/>
      <c r="R76" s="44" t="n"/>
      <c r="S76" s="44" t="n"/>
      <c r="T76" s="44" t="inlineStr">
        <is>
          <t>M0.10.3p</t>
        </is>
      </c>
      <c r="U76" s="44" t="n"/>
      <c r="V76" s="44" t="n"/>
      <c r="W76" s="44" t="n"/>
      <c r="X76" s="44" t="n"/>
      <c r="Y76" s="44" t="n"/>
      <c r="Z76" s="44" t="n"/>
      <c r="AA76" s="44" t="n"/>
      <c r="AB76" s="44" t="n"/>
      <c r="AC76" s="44" t="n"/>
      <c r="AD76" s="44" t="n"/>
      <c r="AE76" s="44" t="n"/>
    </row>
    <row r="77" ht="14.45" customFormat="1" customHeight="1" s="53">
      <c r="B77" s="44" t="inlineStr">
        <is>
          <t>GS.10.10</t>
        </is>
      </c>
      <c r="C77" s="44" t="inlineStr">
        <is>
          <t>Key Usage Monitoring and Reporting</t>
        </is>
      </c>
      <c r="D77" s="44" t="n"/>
      <c r="E77" s="44" t="n"/>
      <c r="F77" s="44" t="n"/>
      <c r="G77" s="44" t="n"/>
      <c r="H77" s="44" t="n"/>
      <c r="I77" s="44" t="n"/>
      <c r="J77" s="44" t="n"/>
      <c r="K77" s="44" t="n"/>
      <c r="L77" s="44" t="n"/>
      <c r="M77" s="44" t="n"/>
      <c r="N77" s="44" t="n"/>
      <c r="O77" s="44" t="n"/>
      <c r="P77" s="44" t="n"/>
      <c r="Q77" s="44" t="n"/>
      <c r="R77" s="44" t="n"/>
      <c r="S77" s="44" t="n"/>
      <c r="T77" s="44" t="inlineStr">
        <is>
          <t>M0.10.5</t>
        </is>
      </c>
      <c r="U77" s="44" t="n"/>
      <c r="V77" s="44" t="n"/>
      <c r="W77" s="44" t="n"/>
      <c r="X77" s="44" t="n"/>
      <c r="Y77" s="44" t="n"/>
      <c r="Z77" s="44" t="n"/>
      <c r="AA77" s="44" t="n"/>
      <c r="AB77" s="44" t="n"/>
      <c r="AC77" s="44" t="n"/>
      <c r="AD77" s="44" t="n"/>
      <c r="AE77" s="44" t="n"/>
    </row>
    <row r="78" customFormat="1" s="53">
      <c r="B78" s="44" t="inlineStr">
        <is>
          <t>GS.10.11</t>
        </is>
      </c>
      <c r="C78" s="44" t="inlineStr">
        <is>
          <t>Key Management for Data Encryption</t>
        </is>
      </c>
      <c r="D78" s="44" t="n"/>
      <c r="E78" s="44" t="inlineStr">
        <is>
          <t>L0.10.1</t>
        </is>
      </c>
      <c r="F78" t="inlineStr">
        <is>
          <t>L0_ii.10.2; L0_ii.10.3; L0_ii.10.4; L0_ii.10.5; L0_ii.10.6</t>
        </is>
      </c>
      <c r="G78" t="inlineStr">
        <is>
          <t>L0_iii.10.1</t>
        </is>
      </c>
      <c r="H78" t="inlineStr">
        <is>
          <t>L0_iv.10.1</t>
        </is>
      </c>
      <c r="I78" s="44" t="n"/>
      <c r="J78" s="44" t="n"/>
      <c r="K78" s="44" t="n"/>
      <c r="L78" s="44" t="n"/>
      <c r="M78" s="44" t="n"/>
      <c r="N78" s="44" t="n"/>
      <c r="O78" s="44" t="n"/>
      <c r="P78" s="44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  <c r="AC78" s="44" t="n"/>
      <c r="AD78" s="44" t="n"/>
      <c r="AE78" s="44" t="n"/>
    </row>
    <row r="79" customFormat="1" s="53">
      <c r="A79" s="16" t="inlineStr">
        <is>
          <t>Total GS requirements</t>
        </is>
      </c>
      <c r="B79" s="53">
        <f>COUNTA(B3:B78)-COUNTIF(B3:B78,"GS'*")</f>
        <v/>
      </c>
      <c r="C79" s="50" t="inlineStr">
        <is>
          <t>Total discoveries</t>
        </is>
      </c>
      <c r="D79" s="53">
        <f>COUNTA(D3:D78)</f>
        <v/>
      </c>
      <c r="E79" s="53">
        <f>COUNTA(E3:E78)</f>
        <v/>
      </c>
      <c r="F79" s="53">
        <f>COUNTA(F3:F78)</f>
        <v/>
      </c>
      <c r="G79" s="53">
        <f>COUNTA(G3:G78)</f>
        <v/>
      </c>
      <c r="H79" s="53">
        <f>COUNTA(H3:H78)</f>
        <v/>
      </c>
      <c r="I79" s="53">
        <f>COUNTA(I3:I78)</f>
        <v/>
      </c>
      <c r="J79" s="53">
        <f>COUNTA(J3:J78)</f>
        <v/>
      </c>
      <c r="K79" s="53">
        <f>COUNTA(K3:K78)</f>
        <v/>
      </c>
      <c r="L79" s="53">
        <f>COUNTA(L3:L78)</f>
        <v/>
      </c>
      <c r="M79" s="53">
        <f>COUNTA(M3:M78)</f>
        <v/>
      </c>
      <c r="N79" s="53">
        <f>COUNTA(N3:N78)</f>
        <v/>
      </c>
      <c r="O79" s="53">
        <f>COUNTA(O3:O78)</f>
        <v/>
      </c>
      <c r="P79" s="53">
        <f>COUNTA(P3:P78)</f>
        <v/>
      </c>
      <c r="Q79" s="53">
        <f>COUNTA(Q3:Q78)</f>
        <v/>
      </c>
      <c r="R79" s="53">
        <f>COUNTA(R3:R78)</f>
        <v/>
      </c>
      <c r="S79" s="53">
        <f>COUNTA(S3:S78)</f>
        <v/>
      </c>
      <c r="T79" s="53">
        <f>COUNTA(T3:T78)</f>
        <v/>
      </c>
      <c r="U79" s="53">
        <f>COUNTA(U3:U78)</f>
        <v/>
      </c>
      <c r="V79" s="53">
        <f>COUNTA(V3:V78)</f>
        <v/>
      </c>
      <c r="W79" s="53">
        <f>COUNTA(W3:W78)</f>
        <v/>
      </c>
      <c r="X79" s="53">
        <f>COUNTA(X3:X78)</f>
        <v/>
      </c>
      <c r="Y79" s="53">
        <f>COUNTA(Y3:Y78)</f>
        <v/>
      </c>
      <c r="Z79" s="53">
        <f>COUNTA(Z3:Z78)</f>
        <v/>
      </c>
      <c r="AA79" s="53">
        <f>COUNTA(AA3:AA78)</f>
        <v/>
      </c>
      <c r="AB79" s="53">
        <f>COUNTA(AB3:AB78)</f>
        <v/>
      </c>
      <c r="AC79" s="53">
        <f>COUNTA(AC3:AC78)</f>
        <v/>
      </c>
      <c r="AD79" s="53">
        <f>COUNTA(AD3:AD78)</f>
        <v/>
      </c>
      <c r="AE79" s="53">
        <f>COUNTA(AE3:AE78)</f>
        <v/>
      </c>
    </row>
    <row r="80">
      <c r="C80" s="50" t="inlineStr">
        <is>
          <t>Discoveries over total (%)</t>
        </is>
      </c>
      <c r="D80" s="29">
        <f>D79/$B$79</f>
        <v/>
      </c>
      <c r="E80" s="29">
        <f>E79/$B$79</f>
        <v/>
      </c>
      <c r="F80" s="29">
        <f>F79/$B$79</f>
        <v/>
      </c>
      <c r="G80" s="29">
        <f>G79/$B$79</f>
        <v/>
      </c>
      <c r="H80" s="29">
        <f>H79/$B$79</f>
        <v/>
      </c>
      <c r="I80" s="29">
        <f>I79/$B$79</f>
        <v/>
      </c>
      <c r="J80" s="29">
        <f>J79/$B$79</f>
        <v/>
      </c>
      <c r="K80" s="29">
        <f>K79/$B$79</f>
        <v/>
      </c>
      <c r="L80" s="29">
        <f>L79/$B$79</f>
        <v/>
      </c>
      <c r="M80" s="29">
        <f>M79/$B$79</f>
        <v/>
      </c>
      <c r="N80" s="29">
        <f>N79/$B$79</f>
        <v/>
      </c>
      <c r="O80" s="29">
        <f>O79/$B$79</f>
        <v/>
      </c>
      <c r="P80" s="29">
        <f>P79/$B$79</f>
        <v/>
      </c>
      <c r="Q80" s="29">
        <f>Q79/$B$79</f>
        <v/>
      </c>
      <c r="R80" s="29">
        <f>R79/$B$79</f>
        <v/>
      </c>
      <c r="S80" s="29">
        <f>S79/$B$79</f>
        <v/>
      </c>
      <c r="T80" s="29">
        <f>T79/$B$79</f>
        <v/>
      </c>
      <c r="U80" s="29">
        <f>U79/$B$79</f>
        <v/>
      </c>
      <c r="V80" s="29">
        <f>V79/$B$79</f>
        <v/>
      </c>
      <c r="W80" s="29">
        <f>W79/$B$79</f>
        <v/>
      </c>
      <c r="X80" s="29">
        <f>X79/$B$79</f>
        <v/>
      </c>
      <c r="Y80" s="29">
        <f>Y79/$B$79</f>
        <v/>
      </c>
      <c r="Z80" s="29">
        <f>Z79/$B$79</f>
        <v/>
      </c>
      <c r="AA80" s="29">
        <f>AA79/$B$79</f>
        <v/>
      </c>
      <c r="AB80" s="29">
        <f>AB79/$B$79</f>
        <v/>
      </c>
      <c r="AC80" s="29">
        <f>AC79/$B$79</f>
        <v/>
      </c>
      <c r="AD80" s="29">
        <f>AD79/$B$79</f>
        <v/>
      </c>
      <c r="AE80" s="29">
        <f>AE79/$B$79</f>
        <v/>
      </c>
    </row>
    <row r="81">
      <c r="A81" s="16" t="n"/>
      <c r="B81" s="53" t="n"/>
      <c r="C81" s="53" t="n"/>
      <c r="D81" s="53" t="n"/>
    </row>
  </sheetData>
  <mergeCells count="14">
    <mergeCell ref="D1:AE1"/>
    <mergeCell ref="A57:A59"/>
    <mergeCell ref="A9:A15"/>
    <mergeCell ref="A16:A35"/>
    <mergeCell ref="A46:A56"/>
    <mergeCell ref="A3:A5"/>
    <mergeCell ref="A42:A45"/>
    <mergeCell ref="C1:C2"/>
    <mergeCell ref="B1:B2"/>
    <mergeCell ref="A68:A78"/>
    <mergeCell ref="A36:A41"/>
    <mergeCell ref="A6:A8"/>
    <mergeCell ref="A60:A67"/>
    <mergeCell ref="A1:A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Y72"/>
  <sheetViews>
    <sheetView zoomScale="84" zoomScaleNormal="85" workbookViewId="0">
      <pane xSplit="3" ySplit="2" topLeftCell="D22" activePane="bottomRight" state="frozen"/>
      <selection pane="bottomRight" activeCell="A36" sqref="A36:XFD36"/>
      <selection pane="bottomLeft" activeCell="A19" sqref="A19"/>
      <selection pane="topRight" activeCell="A1" sqref="A1"/>
    </sheetView>
  </sheetViews>
  <sheetFormatPr baseColWidth="8" defaultColWidth="9.140625" defaultRowHeight="15" customHeight="1"/>
  <cols>
    <col width="40.7109375" customWidth="1" style="44" min="1" max="1"/>
    <col width="9.140625" customWidth="1" style="44" min="2" max="2"/>
    <col width="40.7109375" customWidth="1" style="44" min="3" max="3"/>
    <col width="9.140625" customWidth="1" style="44" min="4" max="4"/>
    <col width="14.7109375" customWidth="1" style="44" min="5" max="5"/>
    <col width="9.140625" customWidth="1" style="44" min="6" max="6"/>
    <col width="14.7109375" customWidth="1" style="44" min="7" max="7"/>
    <col width="8.7109375" customWidth="1" style="44" min="8" max="8"/>
    <col width="14.7109375" customWidth="1" style="44" min="9" max="9"/>
    <col width="8.7109375" customWidth="1" style="44" min="10" max="10"/>
    <col width="14.7109375" customWidth="1" style="44" min="11" max="11"/>
    <col width="8.7109375" customWidth="1" style="44" min="12" max="12"/>
    <col width="14.7109375" customWidth="1" style="44" min="13" max="13"/>
    <col width="8.7109375" customWidth="1" style="44" min="14" max="14"/>
    <col width="14.7109375" customWidth="1" style="44" min="15" max="15"/>
    <col width="8.7109375" customWidth="1" style="44" min="16" max="16"/>
    <col width="14.7109375" customWidth="1" style="44" min="17" max="17"/>
    <col hidden="1" width="14.7109375" customWidth="1" style="44" min="18" max="18"/>
    <col width="8.7109375" customWidth="1" style="44" min="19" max="19"/>
    <col width="14.7109375" customWidth="1" style="44" min="20" max="20"/>
    <col width="8.7109375" customWidth="1" style="44" min="21" max="21"/>
    <col width="14.7109375" customWidth="1" style="44" min="22" max="22"/>
    <col width="8.7109375" customWidth="1" style="44" min="23" max="23"/>
    <col width="14.7109375" customWidth="1" style="44" min="24" max="24"/>
    <col width="8.7109375" customWidth="1" style="44" min="25" max="25"/>
    <col width="14.7109375" customWidth="1" style="44" min="26" max="26"/>
    <col width="8.7109375" customWidth="1" style="44" min="27" max="27"/>
    <col width="14.7109375" customWidth="1" style="44" min="28" max="28"/>
    <col width="8.7109375" customWidth="1" style="44" min="29" max="29"/>
    <col width="14.7109375" customWidth="1" style="44" min="30" max="30"/>
    <col width="8.7109375" customWidth="1" style="44" min="31" max="31"/>
    <col width="14.7109375" customWidth="1" style="44" min="32" max="32"/>
    <col width="8.7109375" customWidth="1" style="44" min="33" max="33"/>
    <col width="14.7109375" customWidth="1" style="44" min="34" max="34"/>
    <col width="8.7109375" customWidth="1" style="44" min="35" max="35"/>
    <col width="14.7109375" customWidth="1" style="44" min="36" max="36"/>
    <col width="8.7109375" customWidth="1" style="44" min="37" max="37"/>
    <col width="14.7109375" customWidth="1" style="44" min="38" max="38"/>
    <col width="8.7109375" customWidth="1" style="44" min="39" max="39"/>
    <col width="14.7109375" customWidth="1" style="44" min="40" max="40"/>
    <col width="8.7109375" customWidth="1" style="44" min="41" max="41"/>
    <col width="14.7109375" customWidth="1" style="44" min="42" max="42"/>
    <col width="8.7109375" customWidth="1" style="44" min="43" max="43"/>
    <col width="14.7109375" customWidth="1" style="44" min="44" max="44"/>
    <col width="8.7109375" customWidth="1" style="44" min="45" max="45"/>
    <col width="14.7109375" customWidth="1" style="44" min="46" max="46"/>
    <col width="8.7109375" customWidth="1" style="44" min="47" max="47"/>
    <col width="14.7109375" customWidth="1" style="44" min="48" max="48"/>
    <col width="8.7109375" customWidth="1" style="44" min="49" max="49"/>
    <col width="14.7109375" customWidth="1" style="44" min="50" max="50"/>
    <col width="8.7109375" customWidth="1" style="44" min="51" max="51"/>
    <col width="14.7109375" customWidth="1" style="44" min="52" max="52"/>
    <col width="8.7109375" customWidth="1" style="44" min="53" max="53"/>
    <col width="14.7109375" customWidth="1" style="44" min="54" max="54"/>
    <col width="8.7109375" customWidth="1" style="44" min="55" max="55"/>
    <col width="14.7109375" customWidth="1" style="44" min="56" max="56"/>
    <col width="8.7109375" customWidth="1" style="44" min="57" max="57"/>
    <col width="14.7109375" customWidth="1" style="44" min="58" max="58"/>
    <col width="8.7109375" customWidth="1" style="44" min="59" max="59"/>
    <col width="14.7109375" customWidth="1" style="44" min="60" max="60"/>
    <col width="8.7109375" customWidth="1" style="44" min="61" max="61"/>
    <col width="14.7109375" customWidth="1" style="44" min="62" max="62"/>
    <col width="8.7109375" customWidth="1" style="44" min="63" max="70"/>
    <col width="9.140625" customWidth="1" style="44" min="78" max="16384"/>
  </cols>
  <sheetData>
    <row r="1" ht="16.35" customFormat="1" customHeight="1" s="48">
      <c r="A1" s="48" t="inlineStr">
        <is>
          <t>Norm</t>
        </is>
      </c>
      <c r="B1" s="48" t="inlineStr">
        <is>
          <t>H.#</t>
        </is>
      </c>
      <c r="C1" s="48" t="inlineStr">
        <is>
          <t>Human requirement name</t>
        </is>
      </c>
      <c r="D1" s="51" t="inlineStr">
        <is>
          <t>L0</t>
        </is>
      </c>
      <c r="F1" s="51" t="inlineStr">
        <is>
          <t>L0_ii</t>
        </is>
      </c>
      <c r="H1" s="51" t="inlineStr">
        <is>
          <t>L0_iii</t>
        </is>
      </c>
      <c r="J1" s="51" t="inlineStr">
        <is>
          <t>L0_iv</t>
        </is>
      </c>
      <c r="L1" s="51" t="inlineStr">
        <is>
          <t>L1</t>
        </is>
      </c>
      <c r="N1" s="51" t="inlineStr">
        <is>
          <t>L2</t>
        </is>
      </c>
      <c r="P1" s="51" t="inlineStr">
        <is>
          <t>L3</t>
        </is>
      </c>
      <c r="R1" s="51" t="n"/>
      <c r="S1" s="51" t="inlineStr">
        <is>
          <t>L4</t>
        </is>
      </c>
      <c r="U1" s="51" t="inlineStr">
        <is>
          <t>L5</t>
        </is>
      </c>
      <c r="W1" s="51" t="inlineStr">
        <is>
          <t>Q0</t>
        </is>
      </c>
      <c r="Y1" s="51" t="inlineStr">
        <is>
          <t>Q0_ii</t>
        </is>
      </c>
      <c r="AA1" s="51" t="inlineStr">
        <is>
          <t>Q0_iii</t>
        </is>
      </c>
      <c r="AC1" s="51" t="inlineStr">
        <is>
          <t>Q0_iv</t>
        </is>
      </c>
      <c r="AE1" s="51" t="inlineStr">
        <is>
          <t>Q1</t>
        </is>
      </c>
      <c r="AG1" s="51" t="inlineStr">
        <is>
          <t>Q2</t>
        </is>
      </c>
      <c r="AI1" s="51" t="inlineStr">
        <is>
          <t>M0</t>
        </is>
      </c>
      <c r="AK1" s="51" t="inlineStr">
        <is>
          <t>M0_ii</t>
        </is>
      </c>
      <c r="AM1" s="51" t="inlineStr">
        <is>
          <t>M0_iii</t>
        </is>
      </c>
      <c r="AO1" s="51" t="inlineStr">
        <is>
          <t>M0_iv</t>
        </is>
      </c>
      <c r="AQ1" s="51" t="inlineStr">
        <is>
          <t>M1</t>
        </is>
      </c>
      <c r="AS1" s="51" t="inlineStr">
        <is>
          <t>M2</t>
        </is>
      </c>
      <c r="AU1" s="51" t="inlineStr">
        <is>
          <t>G0</t>
        </is>
      </c>
      <c r="AW1" s="51" t="inlineStr">
        <is>
          <t>G0_ii</t>
        </is>
      </c>
      <c r="AY1" s="51" t="inlineStr">
        <is>
          <t>G0_iii</t>
        </is>
      </c>
      <c r="BA1" s="51" t="inlineStr">
        <is>
          <t>G0_iv</t>
        </is>
      </c>
      <c r="BC1" s="51" t="inlineStr">
        <is>
          <t>G1</t>
        </is>
      </c>
      <c r="BE1" s="51" t="inlineStr">
        <is>
          <t>G2</t>
        </is>
      </c>
      <c r="BG1" s="51" t="inlineStr">
        <is>
          <t>L0a</t>
        </is>
      </c>
      <c r="BI1" s="51" t="inlineStr">
        <is>
          <t>L0b</t>
        </is>
      </c>
      <c r="BK1" s="51" t="n"/>
      <c r="BL1" s="48" t="inlineStr">
        <is>
          <t>TOTAL</t>
        </is>
      </c>
      <c r="BP1" s="53" t="inlineStr">
        <is>
          <t>Exc. L3-L5, L0a, L0b</t>
        </is>
      </c>
    </row>
    <row r="2" customFormat="1" s="48">
      <c r="D2" s="48" t="inlineStr">
        <is>
          <t>Present</t>
        </is>
      </c>
      <c r="E2" s="48" t="inlineStr">
        <is>
          <t>Support</t>
        </is>
      </c>
      <c r="F2" s="48" t="inlineStr">
        <is>
          <t>Present</t>
        </is>
      </c>
      <c r="G2" s="48" t="inlineStr">
        <is>
          <t>Support</t>
        </is>
      </c>
      <c r="H2" s="48" t="inlineStr">
        <is>
          <t>Present</t>
        </is>
      </c>
      <c r="I2" s="48" t="inlineStr">
        <is>
          <t>Support</t>
        </is>
      </c>
      <c r="J2" s="48" t="inlineStr">
        <is>
          <t>Present</t>
        </is>
      </c>
      <c r="K2" s="48" t="inlineStr">
        <is>
          <t>Support</t>
        </is>
      </c>
      <c r="L2" s="48" t="inlineStr">
        <is>
          <t>Present</t>
        </is>
      </c>
      <c r="M2" s="48" t="inlineStr">
        <is>
          <t>Support</t>
        </is>
      </c>
      <c r="N2" s="48" t="inlineStr">
        <is>
          <t>Present</t>
        </is>
      </c>
      <c r="O2" s="48" t="inlineStr">
        <is>
          <t>Support</t>
        </is>
      </c>
      <c r="P2" s="48" t="inlineStr">
        <is>
          <t>Present</t>
        </is>
      </c>
      <c r="Q2" s="48" t="inlineStr">
        <is>
          <t>Support</t>
        </is>
      </c>
      <c r="R2" s="48" t="inlineStr">
        <is>
          <t>Support</t>
        </is>
      </c>
      <c r="S2" s="48" t="inlineStr">
        <is>
          <t>Present</t>
        </is>
      </c>
      <c r="T2" s="48" t="inlineStr">
        <is>
          <t>Support</t>
        </is>
      </c>
      <c r="U2" s="48" t="inlineStr">
        <is>
          <t>Present</t>
        </is>
      </c>
      <c r="V2" s="48" t="inlineStr">
        <is>
          <t>Support</t>
        </is>
      </c>
      <c r="W2" s="48" t="inlineStr">
        <is>
          <t>Present</t>
        </is>
      </c>
      <c r="X2" s="48" t="inlineStr">
        <is>
          <t>Support</t>
        </is>
      </c>
      <c r="Y2" s="48" t="inlineStr">
        <is>
          <t>Present</t>
        </is>
      </c>
      <c r="Z2" s="48" t="inlineStr">
        <is>
          <t>Support</t>
        </is>
      </c>
      <c r="AA2" s="48" t="inlineStr">
        <is>
          <t>Present</t>
        </is>
      </c>
      <c r="AB2" s="48" t="inlineStr">
        <is>
          <t>Support</t>
        </is>
      </c>
      <c r="AC2" s="48" t="inlineStr">
        <is>
          <t>Present</t>
        </is>
      </c>
      <c r="AD2" s="48" t="inlineStr">
        <is>
          <t>Support</t>
        </is>
      </c>
      <c r="AE2" s="48" t="inlineStr">
        <is>
          <t>Present</t>
        </is>
      </c>
      <c r="AF2" s="48" t="inlineStr">
        <is>
          <t>Support</t>
        </is>
      </c>
      <c r="AG2" s="48" t="inlineStr">
        <is>
          <t>Present</t>
        </is>
      </c>
      <c r="AH2" s="48" t="inlineStr">
        <is>
          <t>Support</t>
        </is>
      </c>
      <c r="AI2" s="48" t="inlineStr">
        <is>
          <t>Present</t>
        </is>
      </c>
      <c r="AJ2" s="48" t="inlineStr">
        <is>
          <t>Support</t>
        </is>
      </c>
      <c r="AK2" s="48" t="inlineStr">
        <is>
          <t>Present</t>
        </is>
      </c>
      <c r="AL2" s="48" t="inlineStr">
        <is>
          <t>Support</t>
        </is>
      </c>
      <c r="AM2" s="48" t="inlineStr">
        <is>
          <t>Present</t>
        </is>
      </c>
      <c r="AN2" s="48" t="inlineStr">
        <is>
          <t>Support</t>
        </is>
      </c>
      <c r="AO2" s="48" t="inlineStr">
        <is>
          <t>Present</t>
        </is>
      </c>
      <c r="AP2" s="48" t="inlineStr">
        <is>
          <t>Support</t>
        </is>
      </c>
      <c r="AQ2" s="48" t="inlineStr">
        <is>
          <t>Present</t>
        </is>
      </c>
      <c r="AR2" s="48" t="inlineStr">
        <is>
          <t>Support</t>
        </is>
      </c>
      <c r="AS2" s="48" t="inlineStr">
        <is>
          <t>Present</t>
        </is>
      </c>
      <c r="AT2" s="48" t="inlineStr">
        <is>
          <t>Support</t>
        </is>
      </c>
      <c r="AU2" s="48" t="inlineStr">
        <is>
          <t>Present</t>
        </is>
      </c>
      <c r="AV2" s="48" t="inlineStr">
        <is>
          <t>Support</t>
        </is>
      </c>
      <c r="AW2" s="48" t="inlineStr">
        <is>
          <t>Present</t>
        </is>
      </c>
      <c r="AX2" s="48" t="inlineStr">
        <is>
          <t>Support</t>
        </is>
      </c>
      <c r="AY2" s="48" t="inlineStr">
        <is>
          <t>Present</t>
        </is>
      </c>
      <c r="AZ2" s="48" t="inlineStr">
        <is>
          <t>Support</t>
        </is>
      </c>
      <c r="BA2" s="48" t="inlineStr">
        <is>
          <t>Present</t>
        </is>
      </c>
      <c r="BB2" s="48" t="inlineStr">
        <is>
          <t>Support</t>
        </is>
      </c>
      <c r="BC2" s="48" t="inlineStr">
        <is>
          <t>Present</t>
        </is>
      </c>
      <c r="BD2" s="48" t="inlineStr">
        <is>
          <t>Support</t>
        </is>
      </c>
      <c r="BE2" s="48" t="inlineStr">
        <is>
          <t>Present</t>
        </is>
      </c>
      <c r="BF2" s="48" t="inlineStr">
        <is>
          <t>Support</t>
        </is>
      </c>
      <c r="BG2" s="48" t="inlineStr">
        <is>
          <t>Present</t>
        </is>
      </c>
      <c r="BH2" s="48" t="inlineStr">
        <is>
          <t>Support</t>
        </is>
      </c>
      <c r="BI2" s="48" t="inlineStr">
        <is>
          <t>Present</t>
        </is>
      </c>
      <c r="BJ2" s="48" t="inlineStr">
        <is>
          <t>Support</t>
        </is>
      </c>
      <c r="BL2" s="48" t="inlineStr">
        <is>
          <t>Yes</t>
        </is>
      </c>
      <c r="BM2" s="48" t="inlineStr">
        <is>
          <t>No</t>
        </is>
      </c>
      <c r="BN2" s="48" t="inlineStr">
        <is>
          <t>Partial</t>
        </is>
      </c>
      <c r="BP2" s="48" t="inlineStr">
        <is>
          <t>Yes</t>
        </is>
      </c>
      <c r="BQ2" s="48" t="inlineStr">
        <is>
          <t>No</t>
        </is>
      </c>
      <c r="BR2" s="48" t="inlineStr">
        <is>
          <t>Partial</t>
        </is>
      </c>
    </row>
    <row r="3" ht="76.15000000000001" customHeight="1" s="54">
      <c r="A3" s="49" t="inlineStr">
        <is>
          <t>Help messages during the {log-on procedure} must not aid an unauthorized user, e.g., by indicating which {parts of the data} are correct or incorrect</t>
        </is>
      </c>
      <c r="B3" s="44" t="inlineStr">
        <is>
          <t>H.1.1</t>
        </is>
      </c>
      <c r="C3" s="44" t="inlineStr">
        <is>
          <t>Employee Auth Info Masking</t>
        </is>
      </c>
      <c r="D3" s="44" t="inlineStr">
        <is>
          <t>Yes</t>
        </is>
      </c>
      <c r="E3" s="44" t="inlineStr">
        <is>
          <t>L0.1.1; L0.1.2</t>
        </is>
      </c>
      <c r="F3" s="44" t="inlineStr">
        <is>
          <t>Yes</t>
        </is>
      </c>
      <c r="G3" s="44" t="inlineStr">
        <is>
          <t>L0_ii.1.1; L0_ii.1.2</t>
        </is>
      </c>
      <c r="H3" s="44" t="inlineStr">
        <is>
          <t>Yes</t>
        </is>
      </c>
      <c r="I3" s="44" t="inlineStr">
        <is>
          <t>L0_iii.1.1; L0_iii.1.2</t>
        </is>
      </c>
      <c r="J3" s="44" t="inlineStr">
        <is>
          <t>Yes</t>
        </is>
      </c>
      <c r="K3" s="44" t="inlineStr">
        <is>
          <t>L0_iv.1.1; L0_iv.1.2; L0_iv.1.3</t>
        </is>
      </c>
      <c r="L3" s="44" t="inlineStr">
        <is>
          <t>Yes</t>
        </is>
      </c>
      <c r="M3" s="44" t="inlineStr">
        <is>
          <t>L1.1.1; L1.1.2</t>
        </is>
      </c>
      <c r="N3" s="44" t="inlineStr">
        <is>
          <t>Yes</t>
        </is>
      </c>
      <c r="O3" s="44" t="inlineStr">
        <is>
          <t>L2.1.1</t>
        </is>
      </c>
      <c r="P3" s="44" t="inlineStr">
        <is>
          <t>Yes</t>
        </is>
      </c>
      <c r="Q3" s="44" t="inlineStr">
        <is>
          <t>L3.1.1; L3.1.3</t>
        </is>
      </c>
      <c r="S3" s="44" t="inlineStr">
        <is>
          <t>Yes</t>
        </is>
      </c>
      <c r="T3" s="44" t="inlineStr">
        <is>
          <t>L4.1.2</t>
        </is>
      </c>
      <c r="U3" s="44" t="inlineStr">
        <is>
          <t>Yes</t>
        </is>
      </c>
      <c r="V3" s="44" t="inlineStr">
        <is>
          <t>L.5.1.1; L.5.1.2; L.5.1.3</t>
        </is>
      </c>
      <c r="W3" s="44" t="inlineStr">
        <is>
          <t>Yes</t>
        </is>
      </c>
      <c r="X3" s="44" t="inlineStr">
        <is>
          <t>Q0.1.1; Q0.1.2</t>
        </is>
      </c>
      <c r="Y3" s="44" t="inlineStr">
        <is>
          <t>Yes</t>
        </is>
      </c>
      <c r="Z3" s="44" t="inlineStr">
        <is>
          <t>Q0_ii.1.1</t>
        </is>
      </c>
      <c r="AA3" s="44" t="inlineStr">
        <is>
          <t>Yes</t>
        </is>
      </c>
      <c r="AB3" s="44" t="inlineStr">
        <is>
          <t>Q0_iii.1.1</t>
        </is>
      </c>
      <c r="AC3" s="44" t="inlineStr">
        <is>
          <t>Yes</t>
        </is>
      </c>
      <c r="AD3" s="44" t="inlineStr">
        <is>
          <t>Q0_iv.1.1</t>
        </is>
      </c>
      <c r="AE3" s="44" t="inlineStr">
        <is>
          <t>Yes</t>
        </is>
      </c>
      <c r="AF3" s="44" t="inlineStr">
        <is>
          <t>Q1.1.1</t>
        </is>
      </c>
      <c r="AG3" s="44" t="inlineStr">
        <is>
          <t>Yes</t>
        </is>
      </c>
      <c r="AH3" s="44" t="inlineStr">
        <is>
          <t>Q2.1.1</t>
        </is>
      </c>
      <c r="AI3" s="44" t="inlineStr">
        <is>
          <t>Yes</t>
        </is>
      </c>
      <c r="AJ3" s="44" t="inlineStr">
        <is>
          <t>M0.1.1; M0.1.2; M0.1.3; M0.1.4; M0.1.5; M0.1.6; M0.1.7; M0.1.8; M0.1.9; M0.1.10</t>
        </is>
      </c>
      <c r="AK3" s="44" t="inlineStr">
        <is>
          <t>Yes</t>
        </is>
      </c>
      <c r="AL3" s="44" t="inlineStr">
        <is>
          <t>M0_ii.1.1</t>
        </is>
      </c>
      <c r="AM3" s="44" t="inlineStr">
        <is>
          <t>Yes</t>
        </is>
      </c>
      <c r="AN3" s="44" t="inlineStr">
        <is>
          <t>M0_iii.1.1; M0_iii.1.2</t>
        </is>
      </c>
      <c r="AO3" s="44" t="inlineStr">
        <is>
          <t>Yes</t>
        </is>
      </c>
      <c r="AP3" s="44" t="inlineStr">
        <is>
          <t>M0_iv.1.1</t>
        </is>
      </c>
      <c r="AQ3" s="44" t="inlineStr">
        <is>
          <t>Yes</t>
        </is>
      </c>
      <c r="AR3" s="44" t="inlineStr">
        <is>
          <t>M1.1.1</t>
        </is>
      </c>
      <c r="AS3" s="44" t="inlineStr">
        <is>
          <t>Yes</t>
        </is>
      </c>
      <c r="AT3" s="44" t="inlineStr">
        <is>
          <t>M2.1.1; M2.1.2; M2.1.3</t>
        </is>
      </c>
      <c r="AU3" s="44" t="inlineStr">
        <is>
          <t>Partial</t>
        </is>
      </c>
      <c r="AV3" s="44" t="inlineStr">
        <is>
          <t>G0.1.1</t>
        </is>
      </c>
      <c r="AW3" s="44" t="inlineStr">
        <is>
          <t>Yes</t>
        </is>
      </c>
      <c r="AX3" s="44" t="inlineStr">
        <is>
          <t>G0_ii.1.1; G0_ii.1.2; G0_ii.1.3</t>
        </is>
      </c>
      <c r="AY3" s="44" t="inlineStr">
        <is>
          <t>Yes</t>
        </is>
      </c>
      <c r="AZ3" s="44" t="inlineStr">
        <is>
          <t>G0_iii.1.1; G0_iii.1.2; G0_iii.1.3</t>
        </is>
      </c>
      <c r="BA3" s="44" t="inlineStr">
        <is>
          <t>Yes</t>
        </is>
      </c>
      <c r="BB3" s="44" t="inlineStr">
        <is>
          <t>G0_iv.1.1</t>
        </is>
      </c>
      <c r="BC3" s="44" t="inlineStr">
        <is>
          <t>Yes</t>
        </is>
      </c>
      <c r="BD3" s="44" t="inlineStr">
        <is>
          <t>G1.1.1</t>
        </is>
      </c>
      <c r="BE3" s="44" t="inlineStr">
        <is>
          <t>Yes</t>
        </is>
      </c>
      <c r="BF3" s="44" t="inlineStr">
        <is>
          <t>G2.1.1</t>
        </is>
      </c>
      <c r="BG3" s="44" t="inlineStr">
        <is>
          <t>Yes</t>
        </is>
      </c>
      <c r="BH3" s="44" t="inlineStr">
        <is>
          <t>L0a.1.1; L0a.1.2; L0a.1.3</t>
        </is>
      </c>
      <c r="BI3" s="44" t="inlineStr">
        <is>
          <t>Yes</t>
        </is>
      </c>
      <c r="BJ3" s="44" t="inlineStr">
        <is>
          <t>L0b.1.1</t>
        </is>
      </c>
      <c r="BL3" s="44">
        <f>COUNTIF(D3:BJ3,"Yes")</f>
        <v/>
      </c>
      <c r="BM3" s="44">
        <f>COUNTIF(D3:BJ3,"No")</f>
        <v/>
      </c>
      <c r="BN3" s="44">
        <f>COUNTIF(D3:BJ3,"Partial")</f>
        <v/>
      </c>
      <c r="BP3" s="44">
        <f>COUNTIF(D3:BF3,"Yes")-COUNTIF(P3:V3,"Yes")</f>
        <v/>
      </c>
      <c r="BQ3" s="44">
        <f>COUNTIF(D3:BF3,"No")-COUNTIF(P3:V3,"No")</f>
        <v/>
      </c>
      <c r="BR3" s="44">
        <f>COUNTIF(D3:BF3,"Partial")-COUNTIF(P3:V3,"Partial")</f>
        <v/>
      </c>
    </row>
    <row r="4">
      <c r="B4" s="44" t="inlineStr">
        <is>
          <t>H.1.2</t>
        </is>
      </c>
      <c r="C4" s="44" t="inlineStr">
        <is>
          <t>Dealer Auth Info Masking</t>
        </is>
      </c>
      <c r="D4" s="44" t="inlineStr">
        <is>
          <t>No</t>
        </is>
      </c>
      <c r="F4" s="44" t="inlineStr">
        <is>
          <t>No</t>
        </is>
      </c>
      <c r="H4" s="44" t="inlineStr">
        <is>
          <t>No</t>
        </is>
      </c>
      <c r="J4" s="44" t="inlineStr">
        <is>
          <t>No</t>
        </is>
      </c>
      <c r="L4" s="44" t="inlineStr">
        <is>
          <t>No</t>
        </is>
      </c>
      <c r="N4" s="44" t="inlineStr">
        <is>
          <t>No</t>
        </is>
      </c>
      <c r="P4" s="44" t="inlineStr">
        <is>
          <t>No</t>
        </is>
      </c>
      <c r="S4" s="44" t="inlineStr">
        <is>
          <t>No</t>
        </is>
      </c>
      <c r="U4" s="44" t="inlineStr">
        <is>
          <t>No</t>
        </is>
      </c>
      <c r="W4" s="44" t="inlineStr">
        <is>
          <t>No</t>
        </is>
      </c>
      <c r="Y4" s="44" t="inlineStr">
        <is>
          <t>No</t>
        </is>
      </c>
      <c r="AA4" s="44" t="inlineStr">
        <is>
          <t>No</t>
        </is>
      </c>
      <c r="AC4" s="44" t="inlineStr">
        <is>
          <t>Partial</t>
        </is>
      </c>
      <c r="AD4" s="44" t="inlineStr">
        <is>
          <t>Q0_iv.1.2</t>
        </is>
      </c>
      <c r="AE4" s="44" t="inlineStr">
        <is>
          <t>No</t>
        </is>
      </c>
      <c r="AG4" s="44" t="inlineStr">
        <is>
          <t>No</t>
        </is>
      </c>
      <c r="AI4" s="44" t="inlineStr">
        <is>
          <t>No</t>
        </is>
      </c>
      <c r="AK4" s="44" t="inlineStr">
        <is>
          <t>No</t>
        </is>
      </c>
      <c r="AM4" s="44" t="inlineStr">
        <is>
          <t>No</t>
        </is>
      </c>
      <c r="AO4" s="44" t="inlineStr">
        <is>
          <t>No</t>
        </is>
      </c>
      <c r="AQ4" s="44" t="inlineStr">
        <is>
          <t>No</t>
        </is>
      </c>
      <c r="AS4" s="44" t="inlineStr">
        <is>
          <t>No</t>
        </is>
      </c>
      <c r="AU4" s="44" t="inlineStr">
        <is>
          <t>No</t>
        </is>
      </c>
      <c r="AW4" s="44" t="inlineStr">
        <is>
          <t>No</t>
        </is>
      </c>
      <c r="AY4" s="44" t="inlineStr">
        <is>
          <t>No</t>
        </is>
      </c>
      <c r="BA4" s="44" t="inlineStr">
        <is>
          <t>No</t>
        </is>
      </c>
      <c r="BC4" s="44" t="inlineStr">
        <is>
          <t>No</t>
        </is>
      </c>
      <c r="BE4" s="44" t="inlineStr">
        <is>
          <t>No</t>
        </is>
      </c>
      <c r="BG4" s="44" t="inlineStr">
        <is>
          <t>No</t>
        </is>
      </c>
      <c r="BI4" s="44" t="inlineStr">
        <is>
          <t>No</t>
        </is>
      </c>
      <c r="BL4" s="44">
        <f>COUNTIF(D4:BJ4,"Yes")</f>
        <v/>
      </c>
      <c r="BM4" s="44">
        <f>COUNTIF(D4:BJ4,"No")</f>
        <v/>
      </c>
      <c r="BN4" s="44">
        <f>COUNTIF(D4:BJ4,"Partial")</f>
        <v/>
      </c>
      <c r="BP4" s="44">
        <f>COUNTIF(D4:BF4,"Yes")-COUNTIF(P4:V4,"Yes")</f>
        <v/>
      </c>
      <c r="BQ4" s="44">
        <f>COUNTIF(D4:BF4,"No")-COUNTIF(P4:V4,"No")</f>
        <v/>
      </c>
      <c r="BR4" s="44">
        <f>COUNTIF(D4:BF4,"Partial")-COUNTIF(P4:V4,"Partial")</f>
        <v/>
      </c>
    </row>
    <row r="5" ht="46.35" customHeight="1" s="54">
      <c r="A5" s="49" t="inlineStr">
        <is>
          <t>A security incident must be raised if a potential attempted or successful breach of {log-on controls} is detected, and, when the risk of the incident warrants it, the account shall be temporarily restricted, plus an alert shall be sent to the {account owner}, and to the {organization's system administrators}.</t>
        </is>
      </c>
      <c r="B5" s="44" t="inlineStr">
        <is>
          <t>H.2.1</t>
        </is>
      </c>
      <c r="C5" s="44" t="inlineStr">
        <is>
          <t>Employee Abnormal Behavior Response</t>
        </is>
      </c>
      <c r="D5" s="44" t="inlineStr">
        <is>
          <t>Yes</t>
        </is>
      </c>
      <c r="E5" s="44" t="inlineStr">
        <is>
          <t>L0.2.1; L0.2.2</t>
        </is>
      </c>
      <c r="F5" s="44" t="inlineStr">
        <is>
          <t>Yes</t>
        </is>
      </c>
      <c r="G5" s="44" t="inlineStr">
        <is>
          <t>L0_ii.2.2</t>
        </is>
      </c>
      <c r="H5" s="44" t="inlineStr">
        <is>
          <t>Yes</t>
        </is>
      </c>
      <c r="I5" s="44" t="inlineStr">
        <is>
          <t>L0_iii.2.4; L0_iii.2.6; L0_iii.2.7; L0_iii.2.8</t>
        </is>
      </c>
      <c r="J5" s="44" t="inlineStr">
        <is>
          <t>Yes</t>
        </is>
      </c>
      <c r="K5" s="44" t="inlineStr">
        <is>
          <t>L0_iv.2.1; L0_iv.2.2; L0_iv.2.3</t>
        </is>
      </c>
      <c r="L5" s="44" t="inlineStr">
        <is>
          <t>Partial</t>
        </is>
      </c>
      <c r="M5" s="44" t="inlineStr">
        <is>
          <t>L1.2.2</t>
        </is>
      </c>
      <c r="N5" s="44" t="inlineStr">
        <is>
          <t>Yes</t>
        </is>
      </c>
      <c r="O5" s="44" t="inlineStr">
        <is>
          <t>L2.2.1; L2.2.2; L2.2.3; L2.2.4</t>
        </is>
      </c>
      <c r="P5" s="44" t="inlineStr">
        <is>
          <t>Yes</t>
        </is>
      </c>
      <c r="Q5" s="44" t="inlineStr">
        <is>
          <t>L3.2.1; L3.2.2; L3.2.3; L3.2.5; L3.2.6; L3.2.7</t>
        </is>
      </c>
      <c r="S5" s="44" t="inlineStr">
        <is>
          <t>Partial</t>
        </is>
      </c>
      <c r="T5" s="44" t="inlineStr">
        <is>
          <t>L4.2.2; L4.2.3</t>
        </is>
      </c>
      <c r="U5" s="44" t="inlineStr">
        <is>
          <t>Partial</t>
        </is>
      </c>
      <c r="V5" s="44" t="inlineStr">
        <is>
          <t>L5.2.1; L5.2.2</t>
        </is>
      </c>
      <c r="W5" s="44" t="inlineStr">
        <is>
          <t>Partial</t>
        </is>
      </c>
      <c r="X5" s="44" t="inlineStr">
        <is>
          <t>Q0.2.1</t>
        </is>
      </c>
      <c r="Y5" s="44" t="inlineStr">
        <is>
          <t>Yes</t>
        </is>
      </c>
      <c r="Z5" s="44" t="inlineStr">
        <is>
          <t>Q0_ii.2.1; Q0_ii.2.2</t>
        </is>
      </c>
      <c r="AA5" s="44" t="inlineStr">
        <is>
          <t>Yes</t>
        </is>
      </c>
      <c r="AB5" s="44" t="inlineStr">
        <is>
          <t>Q0_iii.2.1; Q0_iii.2.2</t>
        </is>
      </c>
      <c r="AC5" s="44" t="inlineStr">
        <is>
          <t>Partial</t>
        </is>
      </c>
      <c r="AD5" s="44" t="inlineStr">
        <is>
          <t>Q0_iv.2.1</t>
        </is>
      </c>
      <c r="AE5" s="44" t="inlineStr">
        <is>
          <t>Yes</t>
        </is>
      </c>
      <c r="AF5" s="44" t="inlineStr">
        <is>
          <t>Q1.2.1</t>
        </is>
      </c>
      <c r="AG5" s="44" t="inlineStr">
        <is>
          <t>Yes</t>
        </is>
      </c>
      <c r="AH5" s="44" t="inlineStr">
        <is>
          <t>Q2.2.1; Q2.2.2</t>
        </is>
      </c>
      <c r="AI5" s="44" t="inlineStr">
        <is>
          <t>No</t>
        </is>
      </c>
      <c r="AK5" s="44" t="inlineStr">
        <is>
          <t>No</t>
        </is>
      </c>
      <c r="AM5" s="44" t="inlineStr">
        <is>
          <t>No</t>
        </is>
      </c>
      <c r="AO5" s="44" t="inlineStr">
        <is>
          <t>Yes</t>
        </is>
      </c>
      <c r="AP5" s="44" t="inlineStr">
        <is>
          <t>M0_iv.1.1; M0_iv.1.2</t>
        </is>
      </c>
      <c r="AQ5" s="44" t="inlineStr">
        <is>
          <t>Yes</t>
        </is>
      </c>
      <c r="AR5" s="44" t="inlineStr">
        <is>
          <t>M1.2.1; M1.2.2; M1.2.3; M1.2.4</t>
        </is>
      </c>
      <c r="AS5" s="44" t="inlineStr">
        <is>
          <t>No</t>
        </is>
      </c>
      <c r="AU5" s="44" t="inlineStr">
        <is>
          <t>Partial</t>
        </is>
      </c>
      <c r="AV5" s="44" t="inlineStr">
        <is>
          <t>G0.2.1; G0.2.3</t>
        </is>
      </c>
      <c r="AW5" s="44" t="inlineStr">
        <is>
          <t>Yes</t>
        </is>
      </c>
      <c r="AX5" s="44" t="inlineStr">
        <is>
          <t>G0_ii.2.1; G0_ii.2.2; G0_ii.2.3</t>
        </is>
      </c>
      <c r="AY5" s="44" t="inlineStr">
        <is>
          <t>Yes</t>
        </is>
      </c>
      <c r="AZ5" s="44" t="inlineStr">
        <is>
          <t>G0_iii.2.1; G0_iii.2.2; G0_iii.2.3</t>
        </is>
      </c>
      <c r="BA5" s="44" t="inlineStr">
        <is>
          <t>Partial</t>
        </is>
      </c>
      <c r="BB5" s="44" t="inlineStr">
        <is>
          <t>G0_iv.2.1; G0_iv.2.2</t>
        </is>
      </c>
      <c r="BC5" s="44" t="inlineStr">
        <is>
          <t>Yes</t>
        </is>
      </c>
      <c r="BD5" s="44" t="inlineStr">
        <is>
          <t>G1.2.1; G1.2.2</t>
        </is>
      </c>
      <c r="BE5" s="44" t="inlineStr">
        <is>
          <t>Partial</t>
        </is>
      </c>
      <c r="BF5" s="44" t="inlineStr">
        <is>
          <t>G2.1.1</t>
        </is>
      </c>
      <c r="BG5" s="44" t="inlineStr">
        <is>
          <t>Partial</t>
        </is>
      </c>
      <c r="BH5" s="44" t="inlineStr">
        <is>
          <t>L0a.2.1; L0a.2.3</t>
        </is>
      </c>
      <c r="BI5" s="44" t="inlineStr">
        <is>
          <t>Partial</t>
        </is>
      </c>
      <c r="BJ5" s="44" t="inlineStr">
        <is>
          <t>L0b.2.2; L0b.2.3</t>
        </is>
      </c>
      <c r="BL5" s="44">
        <f>COUNTIF(D5:BJ5,"Yes")</f>
        <v/>
      </c>
      <c r="BM5" s="44">
        <f>COUNTIF(D5:BJ5,"No")</f>
        <v/>
      </c>
      <c r="BN5" s="44">
        <f>COUNTIF(D5:BJ5,"Partial")</f>
        <v/>
      </c>
      <c r="BP5" s="44">
        <f>COUNTIF(D5:BF5,"Yes")-COUNTIF(P5:V5,"Yes")</f>
        <v/>
      </c>
      <c r="BQ5" s="44">
        <f>COUNTIF(D5:BF5,"No")-COUNTIF(P5:V5,"No")</f>
        <v/>
      </c>
      <c r="BR5" s="44">
        <f>COUNTIF(D5:BF5,"Partial")-COUNTIF(P5:V5,"Partial")</f>
        <v/>
      </c>
    </row>
    <row r="6">
      <c r="B6" s="44" t="inlineStr">
        <is>
          <t>H.2.2</t>
        </is>
      </c>
      <c r="C6" s="44" t="inlineStr">
        <is>
          <t>Dealer Abnormal Behavior Response</t>
        </is>
      </c>
      <c r="D6" s="44" t="inlineStr">
        <is>
          <t>No</t>
        </is>
      </c>
      <c r="F6" s="44" t="inlineStr">
        <is>
          <t>No</t>
        </is>
      </c>
      <c r="H6" s="44" t="inlineStr">
        <is>
          <t>Yes</t>
        </is>
      </c>
      <c r="I6" s="44" t="inlineStr">
        <is>
          <t>L0_iii.2.3</t>
        </is>
      </c>
      <c r="J6" s="44" t="inlineStr">
        <is>
          <t>No</t>
        </is>
      </c>
      <c r="L6" s="44" t="inlineStr">
        <is>
          <t>No</t>
        </is>
      </c>
      <c r="N6" s="44" t="inlineStr">
        <is>
          <t>No</t>
        </is>
      </c>
      <c r="P6" s="44" t="inlineStr">
        <is>
          <t>No</t>
        </is>
      </c>
      <c r="S6" s="44" t="inlineStr">
        <is>
          <t>No</t>
        </is>
      </c>
      <c r="U6" s="44" t="inlineStr">
        <is>
          <t>No</t>
        </is>
      </c>
      <c r="W6" s="44" t="inlineStr">
        <is>
          <t>No</t>
        </is>
      </c>
      <c r="Y6" s="44" t="inlineStr">
        <is>
          <t>No</t>
        </is>
      </c>
      <c r="AA6" s="44" t="inlineStr">
        <is>
          <t>No</t>
        </is>
      </c>
      <c r="AC6" s="44" t="inlineStr">
        <is>
          <t>No</t>
        </is>
      </c>
      <c r="AE6" s="44" t="inlineStr">
        <is>
          <t>No</t>
        </is>
      </c>
      <c r="AG6" s="44" t="inlineStr">
        <is>
          <t>No</t>
        </is>
      </c>
      <c r="AI6" s="44" t="inlineStr">
        <is>
          <t>No</t>
        </is>
      </c>
      <c r="AK6" s="44" t="inlineStr">
        <is>
          <t>No</t>
        </is>
      </c>
      <c r="AM6" s="44" t="inlineStr">
        <is>
          <t>No</t>
        </is>
      </c>
      <c r="AO6" s="44" t="inlineStr">
        <is>
          <t>No</t>
        </is>
      </c>
      <c r="AQ6" s="44" t="inlineStr">
        <is>
          <t>No</t>
        </is>
      </c>
      <c r="AS6" s="44" t="inlineStr">
        <is>
          <t>No</t>
        </is>
      </c>
      <c r="AU6" s="44" t="inlineStr">
        <is>
          <t>No</t>
        </is>
      </c>
      <c r="AW6" s="44" t="inlineStr">
        <is>
          <t>No</t>
        </is>
      </c>
      <c r="AY6" s="44" t="inlineStr">
        <is>
          <t>No</t>
        </is>
      </c>
      <c r="BA6" s="44" t="inlineStr">
        <is>
          <t>No</t>
        </is>
      </c>
      <c r="BC6" s="44" t="inlineStr">
        <is>
          <t>No</t>
        </is>
      </c>
      <c r="BE6" s="44" t="inlineStr">
        <is>
          <t>No</t>
        </is>
      </c>
      <c r="BG6" s="44" t="inlineStr">
        <is>
          <t>No</t>
        </is>
      </c>
      <c r="BI6" s="44" t="inlineStr">
        <is>
          <t>No</t>
        </is>
      </c>
      <c r="BL6" s="44">
        <f>COUNTIF(D6:BJ6,"Yes")</f>
        <v/>
      </c>
      <c r="BM6" s="44">
        <f>COUNTIF(D6:BJ6,"No")</f>
        <v/>
      </c>
      <c r="BN6" s="44">
        <f>COUNTIF(D6:BJ6,"Partial")</f>
        <v/>
      </c>
      <c r="BP6" s="44">
        <f>COUNTIF(D6:BF6,"Yes")-COUNTIF(P6:V6,"Yes")</f>
        <v/>
      </c>
      <c r="BQ6" s="44">
        <f>COUNTIF(D6:BF6,"No")-COUNTIF(P6:V6,"No")</f>
        <v/>
      </c>
      <c r="BR6" s="44">
        <f>COUNTIF(D6:BF6,"Partial")-COUNTIF(P6:V6,"Partial")</f>
        <v/>
      </c>
    </row>
    <row r="7" ht="31.35" customHeight="1" s="54">
      <c r="A7" s="49" t="inlineStr">
        <is>
          <t>Physical or logical access controls must be implemented to isolate {sensitive applications, data, or systems}.</t>
        </is>
      </c>
      <c r="B7" s="44" t="inlineStr">
        <is>
          <t>H.3.1</t>
        </is>
      </c>
      <c r="C7" s="44" t="inlineStr">
        <is>
          <t>Logical Access Control - Data Isolation</t>
        </is>
      </c>
      <c r="D7" s="44" t="inlineStr">
        <is>
          <t>Partial</t>
        </is>
      </c>
      <c r="E7" s="44" t="inlineStr">
        <is>
          <t>L0.3.1</t>
        </is>
      </c>
      <c r="F7" s="44" t="inlineStr">
        <is>
          <t>Partial</t>
        </is>
      </c>
      <c r="G7" t="inlineStr">
        <is>
          <t>L0_ii.3.1</t>
        </is>
      </c>
      <c r="H7" s="44" t="inlineStr">
        <is>
          <t>Partial</t>
        </is>
      </c>
      <c r="I7" s="44" t="inlineStr">
        <is>
          <t>L0_iii.3.1; L0_iii.3.2</t>
        </is>
      </c>
      <c r="J7" s="44" t="inlineStr">
        <is>
          <t>Partial</t>
        </is>
      </c>
      <c r="K7" s="44" t="inlineStr">
        <is>
          <t>L0_iv.3.1; L0_iv.3.2; L0_iv.3.3; L0_iv.3.4</t>
        </is>
      </c>
      <c r="L7" s="44" t="inlineStr">
        <is>
          <t>Partial</t>
        </is>
      </c>
      <c r="M7" s="44" t="inlineStr">
        <is>
          <t>L1.3.1</t>
        </is>
      </c>
      <c r="N7" s="44" t="inlineStr">
        <is>
          <t>Partial</t>
        </is>
      </c>
      <c r="O7" s="44" t="inlineStr">
        <is>
          <t>L2.3.1</t>
        </is>
      </c>
      <c r="P7" s="44" t="inlineStr">
        <is>
          <t>Yes</t>
        </is>
      </c>
      <c r="Q7" s="44" t="inlineStr">
        <is>
          <t>L3.3.5; L3.3.6; L3.3.7</t>
        </is>
      </c>
      <c r="S7" s="44" t="inlineStr">
        <is>
          <t>No</t>
        </is>
      </c>
      <c r="U7" s="44" t="inlineStr">
        <is>
          <t>Yes</t>
        </is>
      </c>
      <c r="V7" s="44" t="inlineStr">
        <is>
          <t>L5.1.1; L5.1.2; L5.1.3; L5.1.4</t>
        </is>
      </c>
      <c r="W7" s="44" t="inlineStr">
        <is>
          <t>Partial</t>
        </is>
      </c>
      <c r="X7" s="44" t="inlineStr">
        <is>
          <t>Q0.3.3; Q0.3.4; Q0.3.5</t>
        </is>
      </c>
      <c r="Y7" s="44" t="inlineStr">
        <is>
          <t>Yes</t>
        </is>
      </c>
      <c r="Z7" s="44" t="inlineStr">
        <is>
          <t>Q0_ii.3.1</t>
        </is>
      </c>
      <c r="AA7" s="44" t="inlineStr">
        <is>
          <t>Yes</t>
        </is>
      </c>
      <c r="AB7" s="44" t="inlineStr">
        <is>
          <t>Q0_iii.3.1; Q0_iii.3.2</t>
        </is>
      </c>
      <c r="AC7" s="44" t="inlineStr">
        <is>
          <t>Partial</t>
        </is>
      </c>
      <c r="AD7" s="44" t="inlineStr">
        <is>
          <t>Q0_iv.3.2</t>
        </is>
      </c>
      <c r="AE7" s="44" t="inlineStr">
        <is>
          <t>Partial</t>
        </is>
      </c>
      <c r="AF7" s="44" t="inlineStr">
        <is>
          <t>Q1.3.2; Q1.3.3; Q1.3.4; Q1.3.5</t>
        </is>
      </c>
      <c r="AG7" s="44" t="inlineStr">
        <is>
          <t>Partial</t>
        </is>
      </c>
      <c r="AH7" s="44" t="inlineStr">
        <is>
          <t>Q2.3.3</t>
        </is>
      </c>
      <c r="AI7" s="44" t="inlineStr">
        <is>
          <t>Partial</t>
        </is>
      </c>
      <c r="AJ7" s="44" t="inlineStr">
        <is>
          <t>M0.3.1; M0.3.2; M0.3.3</t>
        </is>
      </c>
      <c r="AK7" s="44" t="inlineStr">
        <is>
          <t>No</t>
        </is>
      </c>
      <c r="AM7" s="44" t="inlineStr">
        <is>
          <t>Partial</t>
        </is>
      </c>
      <c r="AN7" s="44" t="inlineStr">
        <is>
          <t>M0_iii.3.2; M0_iii.3.3; M0_iii.3.4; M0_iii.3.5; M0_iii.3.6</t>
        </is>
      </c>
      <c r="AO7" s="44" t="inlineStr">
        <is>
          <t>Partial</t>
        </is>
      </c>
      <c r="AP7" s="44" t="inlineStr">
        <is>
          <t>M0_iv.3.1</t>
        </is>
      </c>
      <c r="AQ7" s="44" t="inlineStr">
        <is>
          <t>Partial</t>
        </is>
      </c>
      <c r="AR7" s="44" t="inlineStr">
        <is>
          <t>M1.3.1; M1.3.2; M1.3.3</t>
        </is>
      </c>
      <c r="AS7" s="44" t="inlineStr">
        <is>
          <t>Partial</t>
        </is>
      </c>
      <c r="AT7" s="44" t="inlineStr">
        <is>
          <t>M2.3.1; M2.3.2; M2.3.3</t>
        </is>
      </c>
      <c r="AU7" s="44" t="inlineStr">
        <is>
          <t>Yes</t>
        </is>
      </c>
      <c r="AV7" s="44" t="inlineStr">
        <is>
          <t>G0.3.1</t>
        </is>
      </c>
      <c r="AW7" s="44" t="inlineStr">
        <is>
          <t>Yes</t>
        </is>
      </c>
      <c r="AX7" s="44" t="inlineStr">
        <is>
          <t xml:space="preserve">G0_ii.3.2; G0_ii.3.4; G0_ii.3.5 </t>
        </is>
      </c>
      <c r="AY7" s="44" t="inlineStr">
        <is>
          <t>Yes</t>
        </is>
      </c>
      <c r="AZ7" s="44" t="inlineStr">
        <is>
          <t xml:space="preserve">G0_iii.3.1; G0_iii.3.4; G0_iii.3.5 </t>
        </is>
      </c>
      <c r="BA7" s="44" t="inlineStr">
        <is>
          <t>Yes</t>
        </is>
      </c>
      <c r="BB7" s="44" t="inlineStr">
        <is>
          <t xml:space="preserve">G0_iv.3.1; G0_iv.3.2; G0_iv.3.4; G0_iv.3.5 </t>
        </is>
      </c>
      <c r="BC7" s="44" t="inlineStr">
        <is>
          <t>Yes</t>
        </is>
      </c>
      <c r="BD7" s="44" t="inlineStr">
        <is>
          <t>G1.3.1</t>
        </is>
      </c>
      <c r="BE7" s="44" t="inlineStr">
        <is>
          <t>Yes</t>
        </is>
      </c>
      <c r="BF7" s="44" t="inlineStr">
        <is>
          <t>G2.3.1; G2.3.2; G2.3.3; G2.3.4</t>
        </is>
      </c>
      <c r="BG7" s="44" t="inlineStr">
        <is>
          <t>Yes</t>
        </is>
      </c>
      <c r="BH7" s="44" t="inlineStr">
        <is>
          <t>L0a.3.1; L0a.3.3; L0a.3.4</t>
        </is>
      </c>
      <c r="BI7" s="44" t="inlineStr">
        <is>
          <t>No</t>
        </is>
      </c>
      <c r="BL7" s="44">
        <f>COUNTIF(D7:BJ7,"Yes")</f>
        <v/>
      </c>
      <c r="BM7" s="44">
        <f>COUNTIF(D7:BJ7,"No")</f>
        <v/>
      </c>
      <c r="BN7" s="44">
        <f>COUNTIF(D7:BJ7,"Partial")</f>
        <v/>
      </c>
      <c r="BP7" s="44">
        <f>COUNTIF(D7:BF7,"Yes")-COUNTIF(P7:V7,"Yes")</f>
        <v/>
      </c>
      <c r="BQ7" s="44">
        <f>COUNTIF(D7:BF7,"No")-COUNTIF(P7:V7,"No")</f>
        <v/>
      </c>
      <c r="BR7" s="44">
        <f>COUNTIF(D7:BF7,"Partial")-COUNTIF(P7:V7,"Partial")</f>
        <v/>
      </c>
    </row>
    <row r="8">
      <c r="B8" s="44" t="inlineStr">
        <is>
          <t>H.3.2</t>
        </is>
      </c>
      <c r="C8" s="44" t="inlineStr">
        <is>
          <t>Physical Access Control</t>
        </is>
      </c>
      <c r="D8" s="44" t="inlineStr">
        <is>
          <t>Yes</t>
        </is>
      </c>
      <c r="E8" s="44" t="inlineStr">
        <is>
          <t>L0.3.2</t>
        </is>
      </c>
      <c r="F8" s="44" t="inlineStr">
        <is>
          <t>Yes</t>
        </is>
      </c>
      <c r="G8" t="inlineStr">
        <is>
          <t>L0_ii.3.5</t>
        </is>
      </c>
      <c r="H8" s="44" t="inlineStr">
        <is>
          <t>Partial</t>
        </is>
      </c>
      <c r="I8" s="44" t="inlineStr">
        <is>
          <t>L0_iii.3.3</t>
        </is>
      </c>
      <c r="J8" s="44" t="inlineStr">
        <is>
          <t>Partial</t>
        </is>
      </c>
      <c r="K8" s="44" t="inlineStr">
        <is>
          <t>L0_iv.3.5</t>
        </is>
      </c>
      <c r="L8" s="44" t="inlineStr">
        <is>
          <t>Partial</t>
        </is>
      </c>
      <c r="M8" s="44" t="inlineStr">
        <is>
          <t>L1.3.2</t>
        </is>
      </c>
      <c r="N8" s="44" t="inlineStr">
        <is>
          <t>No</t>
        </is>
      </c>
      <c r="P8" s="44" t="inlineStr">
        <is>
          <t>Yes</t>
        </is>
      </c>
      <c r="Q8" s="44" t="inlineStr">
        <is>
          <t>L3.3.2</t>
        </is>
      </c>
      <c r="S8" s="44" t="inlineStr">
        <is>
          <t>No</t>
        </is>
      </c>
      <c r="U8" s="44" t="inlineStr">
        <is>
          <t>No</t>
        </is>
      </c>
      <c r="W8" s="44" t="inlineStr">
        <is>
          <t>No</t>
        </is>
      </c>
      <c r="Y8" s="44" t="inlineStr">
        <is>
          <t>No</t>
        </is>
      </c>
      <c r="AA8" s="44" t="inlineStr">
        <is>
          <t>No</t>
        </is>
      </c>
      <c r="AC8" s="44" t="inlineStr">
        <is>
          <t>No</t>
        </is>
      </c>
      <c r="AE8" s="44" t="inlineStr">
        <is>
          <t>Yes</t>
        </is>
      </c>
      <c r="AF8" s="44" t="inlineStr">
        <is>
          <t>Q1.3.1</t>
        </is>
      </c>
      <c r="AG8" s="44" t="inlineStr">
        <is>
          <t>Yes</t>
        </is>
      </c>
      <c r="AH8" s="44" t="inlineStr">
        <is>
          <t>Q2.3.2</t>
        </is>
      </c>
      <c r="AI8" s="44" t="inlineStr">
        <is>
          <t>No</t>
        </is>
      </c>
      <c r="AK8" s="44" t="inlineStr">
        <is>
          <t>No</t>
        </is>
      </c>
      <c r="AM8" s="44" t="inlineStr">
        <is>
          <t>No</t>
        </is>
      </c>
      <c r="AO8" s="44" t="inlineStr">
        <is>
          <t>No</t>
        </is>
      </c>
      <c r="AQ8" s="44" t="inlineStr">
        <is>
          <t>No</t>
        </is>
      </c>
      <c r="AS8" s="44" t="inlineStr">
        <is>
          <t>No</t>
        </is>
      </c>
      <c r="AU8" s="44" t="inlineStr">
        <is>
          <t>No</t>
        </is>
      </c>
      <c r="AW8" s="44" t="inlineStr">
        <is>
          <t>No</t>
        </is>
      </c>
      <c r="AY8" s="44" t="inlineStr">
        <is>
          <t>No</t>
        </is>
      </c>
      <c r="BA8" s="44" t="inlineStr">
        <is>
          <t>Yes</t>
        </is>
      </c>
      <c r="BB8" s="44" t="inlineStr">
        <is>
          <t>G0_iv.3.3</t>
        </is>
      </c>
      <c r="BC8" s="44" t="inlineStr">
        <is>
          <t>Partial</t>
        </is>
      </c>
      <c r="BD8" s="44" t="inlineStr">
        <is>
          <t>G1.3.2</t>
        </is>
      </c>
      <c r="BE8" s="44" t="inlineStr">
        <is>
          <t>No</t>
        </is>
      </c>
      <c r="BG8" s="44" t="inlineStr">
        <is>
          <t>No</t>
        </is>
      </c>
      <c r="BI8" s="44" t="inlineStr">
        <is>
          <t>No</t>
        </is>
      </c>
      <c r="BL8" s="44">
        <f>COUNTIF(D8:BJ8,"Yes")</f>
        <v/>
      </c>
      <c r="BM8" s="44">
        <f>COUNTIF(D8:BJ8,"No")</f>
        <v/>
      </c>
      <c r="BN8" s="44">
        <f>COUNTIF(D8:BJ8,"Partial")</f>
        <v/>
      </c>
      <c r="BP8" s="44">
        <f>COUNTIF(D8:BF8,"Yes")-COUNTIF(P8:V8,"Yes")</f>
        <v/>
      </c>
      <c r="BQ8" s="44">
        <f>COUNTIF(D8:BF8,"No")-COUNTIF(P8:V8,"No")</f>
        <v/>
      </c>
      <c r="BR8" s="44">
        <f>COUNTIF(D8:BF8,"Partial")-COUNTIF(P8:V8,"Partial")</f>
        <v/>
      </c>
    </row>
    <row r="9">
      <c r="B9" s="44" t="inlineStr">
        <is>
          <t>H.3.3</t>
        </is>
      </c>
      <c r="C9" s="44" t="inlineStr">
        <is>
          <t>Local Access Control</t>
        </is>
      </c>
      <c r="D9" s="44" t="inlineStr">
        <is>
          <t>No</t>
        </is>
      </c>
      <c r="F9" s="44" t="inlineStr">
        <is>
          <t>No</t>
        </is>
      </c>
      <c r="H9" s="44" t="inlineStr">
        <is>
          <t>No</t>
        </is>
      </c>
      <c r="J9" s="44" t="inlineStr">
        <is>
          <t>No</t>
        </is>
      </c>
      <c r="L9" s="44" t="inlineStr">
        <is>
          <t>No</t>
        </is>
      </c>
      <c r="N9" s="44" t="inlineStr">
        <is>
          <t>No</t>
        </is>
      </c>
      <c r="P9" s="44" t="inlineStr">
        <is>
          <t>No</t>
        </is>
      </c>
      <c r="S9" s="44" t="inlineStr">
        <is>
          <t>No</t>
        </is>
      </c>
      <c r="U9" s="44" t="inlineStr">
        <is>
          <t>No</t>
        </is>
      </c>
      <c r="W9" s="44" t="inlineStr">
        <is>
          <t>No</t>
        </is>
      </c>
      <c r="Y9" s="44" t="inlineStr">
        <is>
          <t>No</t>
        </is>
      </c>
      <c r="AA9" s="44" t="inlineStr">
        <is>
          <t>No</t>
        </is>
      </c>
      <c r="AC9" s="44" t="inlineStr">
        <is>
          <t>No</t>
        </is>
      </c>
      <c r="AE9" s="44" t="inlineStr">
        <is>
          <t>No</t>
        </is>
      </c>
      <c r="AG9" s="44" t="inlineStr">
        <is>
          <t>No</t>
        </is>
      </c>
      <c r="AI9" s="44" t="inlineStr">
        <is>
          <t>No</t>
        </is>
      </c>
      <c r="AK9" s="44" t="inlineStr">
        <is>
          <t>No</t>
        </is>
      </c>
      <c r="AM9" s="44" t="inlineStr">
        <is>
          <t>No</t>
        </is>
      </c>
      <c r="AO9" s="44" t="inlineStr">
        <is>
          <t>No</t>
        </is>
      </c>
      <c r="AQ9" s="44" t="inlineStr">
        <is>
          <t>No</t>
        </is>
      </c>
      <c r="AS9" s="44" t="inlineStr">
        <is>
          <t>No</t>
        </is>
      </c>
      <c r="AU9" s="44" t="inlineStr">
        <is>
          <t>No</t>
        </is>
      </c>
      <c r="AW9" s="44" t="inlineStr">
        <is>
          <t>No</t>
        </is>
      </c>
      <c r="AY9" s="44" t="inlineStr">
        <is>
          <t>No</t>
        </is>
      </c>
      <c r="BA9" s="44" t="inlineStr">
        <is>
          <t>No</t>
        </is>
      </c>
      <c r="BC9" s="44" t="inlineStr">
        <is>
          <t>No</t>
        </is>
      </c>
      <c r="BE9" s="44" t="inlineStr">
        <is>
          <t>No</t>
        </is>
      </c>
      <c r="BG9" s="44" t="inlineStr">
        <is>
          <t>No</t>
        </is>
      </c>
      <c r="BI9" s="44" t="inlineStr">
        <is>
          <t>No</t>
        </is>
      </c>
      <c r="BL9" s="44">
        <f>COUNTIF(D9:BJ9,"Yes")</f>
        <v/>
      </c>
      <c r="BM9" s="44">
        <f>COUNTIF(D9:BJ9,"No")</f>
        <v/>
      </c>
      <c r="BN9" s="44">
        <f>COUNTIF(D9:BJ9,"Partial")</f>
        <v/>
      </c>
      <c r="BP9" s="44">
        <f>COUNTIF(D9:BF9,"Yes")-COUNTIF(P9:V9,"Yes")</f>
        <v/>
      </c>
      <c r="BQ9" s="44">
        <f>COUNTIF(D9:BF9,"No")-COUNTIF(P9:V9,"No")</f>
        <v/>
      </c>
      <c r="BR9" s="44">
        <f>COUNTIF(D9:BF9,"Partial")-COUNTIF(P9:V9,"Partial")</f>
        <v/>
      </c>
    </row>
    <row r="10" ht="43.5" customHeight="1" s="54">
      <c r="B10" s="44" t="inlineStr">
        <is>
          <t>H.3.4</t>
        </is>
      </c>
      <c r="C10" s="44" t="inlineStr">
        <is>
          <t>Frontend Access Control</t>
        </is>
      </c>
      <c r="D10" s="44" t="inlineStr">
        <is>
          <t>No</t>
        </is>
      </c>
      <c r="F10" s="44" t="inlineStr">
        <is>
          <t>Yes</t>
        </is>
      </c>
      <c r="G10" t="inlineStr">
        <is>
          <t>L0_ii.3.3</t>
        </is>
      </c>
      <c r="H10" s="44" t="inlineStr">
        <is>
          <t>No</t>
        </is>
      </c>
      <c r="J10" s="44" t="inlineStr">
        <is>
          <t>No</t>
        </is>
      </c>
      <c r="L10" s="44" t="inlineStr">
        <is>
          <t>No</t>
        </is>
      </c>
      <c r="N10" s="44" t="inlineStr">
        <is>
          <t>No</t>
        </is>
      </c>
      <c r="P10" s="44" t="inlineStr">
        <is>
          <t>Yes</t>
        </is>
      </c>
      <c r="Q10" s="44" t="inlineStr">
        <is>
          <t>L3.3.14; L3.3.15; L3.3.16; L3.3.17</t>
        </is>
      </c>
      <c r="S10" s="44" t="inlineStr">
        <is>
          <t>No</t>
        </is>
      </c>
      <c r="U10" s="44" t="inlineStr">
        <is>
          <t>No</t>
        </is>
      </c>
      <c r="W10" s="44" t="inlineStr">
        <is>
          <t>Yes</t>
        </is>
      </c>
      <c r="X10" s="44" t="inlineStr">
        <is>
          <t>Q0.3.1</t>
        </is>
      </c>
      <c r="Y10" s="44" t="inlineStr">
        <is>
          <t>Yes</t>
        </is>
      </c>
      <c r="Z10" s="44" t="inlineStr">
        <is>
          <t>Q0_ii.3.1</t>
        </is>
      </c>
      <c r="AA10" s="44" t="inlineStr">
        <is>
          <t>Yes</t>
        </is>
      </c>
      <c r="AB10" s="44" t="inlineStr">
        <is>
          <t>Q0_iii.3.1</t>
        </is>
      </c>
      <c r="AC10" s="44" t="inlineStr">
        <is>
          <t>Partial</t>
        </is>
      </c>
      <c r="AD10" t="inlineStr">
        <is>
          <t>Q0_iv.3.2</t>
        </is>
      </c>
      <c r="AE10" s="44" t="inlineStr">
        <is>
          <t>No</t>
        </is>
      </c>
      <c r="AG10" s="44" t="inlineStr">
        <is>
          <t>No</t>
        </is>
      </c>
      <c r="AI10" s="44" t="inlineStr">
        <is>
          <t>No</t>
        </is>
      </c>
      <c r="AK10" s="44" t="inlineStr">
        <is>
          <t>No</t>
        </is>
      </c>
      <c r="AM10" s="44" t="inlineStr">
        <is>
          <t>No</t>
        </is>
      </c>
      <c r="AO10" s="44" t="inlineStr">
        <is>
          <t>No</t>
        </is>
      </c>
      <c r="AQ10" s="44" t="inlineStr">
        <is>
          <t>No</t>
        </is>
      </c>
      <c r="AS10" s="44" t="inlineStr">
        <is>
          <t>No</t>
        </is>
      </c>
      <c r="AU10" s="44" t="inlineStr">
        <is>
          <t>Yes</t>
        </is>
      </c>
      <c r="AV10" s="44" t="inlineStr">
        <is>
          <t>G0.3.1</t>
        </is>
      </c>
      <c r="AW10" s="44" t="inlineStr">
        <is>
          <t>Yes</t>
        </is>
      </c>
      <c r="AX10" s="44" t="inlineStr">
        <is>
          <t xml:space="preserve">G0_ii.3.1; G0_ii.3.3; G0_ii.3.6 </t>
        </is>
      </c>
      <c r="AY10" s="44" t="inlineStr">
        <is>
          <t>No</t>
        </is>
      </c>
      <c r="BA10" s="44" t="inlineStr">
        <is>
          <t>Partial</t>
        </is>
      </c>
      <c r="BB10" s="44" t="inlineStr">
        <is>
          <t>G0_iv.3.1</t>
        </is>
      </c>
      <c r="BC10" s="44" t="inlineStr">
        <is>
          <t>No</t>
        </is>
      </c>
      <c r="BE10" s="44" t="inlineStr">
        <is>
          <t>No</t>
        </is>
      </c>
      <c r="BG10" s="44" t="inlineStr">
        <is>
          <t>No</t>
        </is>
      </c>
      <c r="BI10" s="44" t="inlineStr">
        <is>
          <t>No</t>
        </is>
      </c>
      <c r="BL10" s="44">
        <f>COUNTIF(D10:BJ10,"Yes")</f>
        <v/>
      </c>
      <c r="BM10" s="44">
        <f>COUNTIF(D10:BJ10,"No")</f>
        <v/>
      </c>
      <c r="BN10" s="44">
        <f>COUNTIF(D10:BJ10,"Partial")</f>
        <v/>
      </c>
      <c r="BP10" s="44">
        <f>COUNTIF(D10:BF10,"Yes")-COUNTIF(P10:V10,"Yes")</f>
        <v/>
      </c>
      <c r="BQ10" s="44">
        <f>COUNTIF(D10:BF10,"No")-COUNTIF(P10:V10,"No")</f>
        <v/>
      </c>
      <c r="BR10" s="44">
        <f>COUNTIF(D10:BF10,"Partial")-COUNTIF(P10:V10,"Partial")</f>
        <v/>
      </c>
    </row>
    <row r="11">
      <c r="B11" s="44" t="inlineStr">
        <is>
          <t>H.3.5</t>
        </is>
      </c>
      <c r="C11" s="44" t="inlineStr">
        <is>
          <t>Actuator Access Control</t>
        </is>
      </c>
      <c r="D11" s="44" t="inlineStr">
        <is>
          <t>Yes</t>
        </is>
      </c>
      <c r="E11" s="44" t="inlineStr">
        <is>
          <t>L0.3.2</t>
        </is>
      </c>
      <c r="F11" s="44" t="inlineStr">
        <is>
          <t>Yes</t>
        </is>
      </c>
      <c r="G11" t="inlineStr">
        <is>
          <t>L0_ii.3.4</t>
        </is>
      </c>
      <c r="H11" s="44" t="inlineStr">
        <is>
          <t>Yes</t>
        </is>
      </c>
      <c r="I11" t="inlineStr">
        <is>
          <t>L0_iii.3.3</t>
        </is>
      </c>
      <c r="J11" s="44" t="inlineStr">
        <is>
          <t>Yes</t>
        </is>
      </c>
      <c r="K11" s="44" t="inlineStr">
        <is>
          <t>L0_iv.3.5</t>
        </is>
      </c>
      <c r="L11" s="44" t="inlineStr">
        <is>
          <t>Yes</t>
        </is>
      </c>
      <c r="M11" s="44" t="inlineStr">
        <is>
          <t>L1.3.5</t>
        </is>
      </c>
      <c r="N11" s="44" t="inlineStr">
        <is>
          <t>No</t>
        </is>
      </c>
      <c r="P11" s="44" t="inlineStr">
        <is>
          <t>Yes</t>
        </is>
      </c>
      <c r="Q11" s="44" t="inlineStr">
        <is>
          <t>L3.3.2</t>
        </is>
      </c>
      <c r="S11" s="44" t="inlineStr">
        <is>
          <t>No</t>
        </is>
      </c>
      <c r="U11" s="44" t="inlineStr">
        <is>
          <t>Yes</t>
        </is>
      </c>
      <c r="V11" s="44" t="inlineStr">
        <is>
          <t>L5.1.1</t>
        </is>
      </c>
      <c r="W11" s="44" t="inlineStr">
        <is>
          <t>No</t>
        </is>
      </c>
      <c r="Y11" s="44" t="inlineStr">
        <is>
          <t>No</t>
        </is>
      </c>
      <c r="AA11" s="44" t="inlineStr">
        <is>
          <t>No</t>
        </is>
      </c>
      <c r="AC11" s="44" t="inlineStr">
        <is>
          <t>No</t>
        </is>
      </c>
      <c r="AE11" s="44" t="inlineStr">
        <is>
          <t>No</t>
        </is>
      </c>
      <c r="AG11" s="44" t="inlineStr">
        <is>
          <t>No</t>
        </is>
      </c>
      <c r="AI11" s="44" t="inlineStr">
        <is>
          <t>No</t>
        </is>
      </c>
      <c r="AK11" s="44" t="inlineStr">
        <is>
          <t>No</t>
        </is>
      </c>
      <c r="AM11" s="44" t="inlineStr">
        <is>
          <t>No</t>
        </is>
      </c>
      <c r="AO11" s="44" t="inlineStr">
        <is>
          <t>No</t>
        </is>
      </c>
      <c r="AQ11" s="44" t="inlineStr">
        <is>
          <t>No</t>
        </is>
      </c>
      <c r="AS11" s="44" t="inlineStr">
        <is>
          <t>No</t>
        </is>
      </c>
      <c r="AU11" s="44" t="inlineStr">
        <is>
          <t>No</t>
        </is>
      </c>
      <c r="AW11" s="44" t="inlineStr">
        <is>
          <t>No</t>
        </is>
      </c>
      <c r="AY11" s="44" t="inlineStr">
        <is>
          <t>No</t>
        </is>
      </c>
      <c r="BA11" s="44" t="inlineStr">
        <is>
          <t>No</t>
        </is>
      </c>
      <c r="BC11" s="44" t="inlineStr">
        <is>
          <t>No</t>
        </is>
      </c>
      <c r="BE11" s="44" t="inlineStr">
        <is>
          <t>No</t>
        </is>
      </c>
      <c r="BG11" s="44" t="inlineStr">
        <is>
          <t>No</t>
        </is>
      </c>
      <c r="BI11" s="44" t="inlineStr">
        <is>
          <t>No</t>
        </is>
      </c>
      <c r="BL11" s="44">
        <f>COUNTIF(D11:BJ11,"Yes")</f>
        <v/>
      </c>
      <c r="BM11" s="44">
        <f>COUNTIF(D11:BJ11,"No")</f>
        <v/>
      </c>
      <c r="BN11" s="44">
        <f>COUNTIF(D11:BJ11,"Partial")</f>
        <v/>
      </c>
      <c r="BP11" s="44">
        <f>COUNTIF(D11:BF11,"Yes")-COUNTIF(P11:V11,"Yes")</f>
        <v/>
      </c>
      <c r="BQ11" s="44">
        <f>COUNTIF(D11:BF11,"No")-COUNTIF(P11:V11,"No")</f>
        <v/>
      </c>
      <c r="BR11" s="44">
        <f>COUNTIF(D11:BF11,"Partial")-COUNTIF(P11:V11,"Partial")</f>
        <v/>
      </c>
    </row>
    <row r="12" ht="31.35" customHeight="1" s="54">
      <c r="A12" s="49" t="inlineStr">
        <is>
          <t>{Access to data} must be controlled based on {user identity, group membership, and assigned roles}</t>
        </is>
      </c>
      <c r="B12" s="44" t="inlineStr">
        <is>
          <t>H.4.1</t>
        </is>
      </c>
      <c r="C12" s="44" t="inlineStr">
        <is>
          <t>Access Control for Vehicle &amp; Material Data</t>
        </is>
      </c>
      <c r="D12" s="44" t="inlineStr">
        <is>
          <t>Yes</t>
        </is>
      </c>
      <c r="E12" s="44" t="inlineStr">
        <is>
          <t>L0.4.1; L0.4.2</t>
        </is>
      </c>
      <c r="F12" s="44" t="inlineStr">
        <is>
          <t>Yes</t>
        </is>
      </c>
      <c r="G12" s="44" t="inlineStr">
        <is>
          <t>L0_ii.4.1; L0_ii.4.2; L0_ii.4.3; L0_ii.4.4</t>
        </is>
      </c>
      <c r="H12" s="44" t="inlineStr">
        <is>
          <t>Yes</t>
        </is>
      </c>
      <c r="I12" s="44" t="inlineStr">
        <is>
          <t>L0_iii.4.1; L0_iii.4.2</t>
        </is>
      </c>
      <c r="J12" s="44" t="inlineStr">
        <is>
          <t>Partial</t>
        </is>
      </c>
      <c r="K12" s="44" t="inlineStr">
        <is>
          <t>L0_iv.4.1; L0_iv.4.2; L0_iv.4.3</t>
        </is>
      </c>
      <c r="L12" s="44" t="inlineStr">
        <is>
          <t>Yes</t>
        </is>
      </c>
      <c r="M12" s="44" t="inlineStr">
        <is>
          <t>L1.4.1</t>
        </is>
      </c>
      <c r="N12" s="44" t="inlineStr">
        <is>
          <t>Yes</t>
        </is>
      </c>
      <c r="O12" s="44" t="inlineStr">
        <is>
          <t>L2.4.1</t>
        </is>
      </c>
      <c r="P12" s="44" t="inlineStr">
        <is>
          <t>Yes</t>
        </is>
      </c>
      <c r="Q12" s="44" t="inlineStr">
        <is>
          <t>L3.4.1; L3.4.2</t>
        </is>
      </c>
      <c r="S12" s="44" t="inlineStr">
        <is>
          <t>Yes</t>
        </is>
      </c>
      <c r="T12" s="44" t="inlineStr">
        <is>
          <t>L4.4.1</t>
        </is>
      </c>
      <c r="U12" s="44" t="inlineStr">
        <is>
          <t>No</t>
        </is>
      </c>
      <c r="W12" s="44" t="inlineStr">
        <is>
          <t>Yes</t>
        </is>
      </c>
      <c r="X12" s="44" t="inlineStr">
        <is>
          <t>Q0.4.3; Q0.4.10</t>
        </is>
      </c>
      <c r="Y12" s="44" t="inlineStr">
        <is>
          <t>Partial</t>
        </is>
      </c>
      <c r="Z12" t="inlineStr">
        <is>
          <t>Q0_ii.4.1</t>
        </is>
      </c>
      <c r="AA12" s="44" t="inlineStr">
        <is>
          <t>Partial</t>
        </is>
      </c>
      <c r="AB12" t="inlineStr">
        <is>
          <t>Q0_iii.4.1</t>
        </is>
      </c>
      <c r="AC12" s="44" t="inlineStr">
        <is>
          <t>Partial</t>
        </is>
      </c>
      <c r="AD12" s="44" t="inlineStr">
        <is>
          <t>Q0_iv.4.1</t>
        </is>
      </c>
      <c r="AE12" s="44" t="inlineStr">
        <is>
          <t>No</t>
        </is>
      </c>
      <c r="AG12" s="44" t="inlineStr">
        <is>
          <t>Partial</t>
        </is>
      </c>
      <c r="AH12" s="44" t="inlineStr">
        <is>
          <t>Q2.4.3</t>
        </is>
      </c>
      <c r="AI12" s="44" t="inlineStr">
        <is>
          <t>No</t>
        </is>
      </c>
      <c r="AK12" s="44" t="inlineStr">
        <is>
          <t>No</t>
        </is>
      </c>
      <c r="AM12" s="44" t="inlineStr">
        <is>
          <t>No</t>
        </is>
      </c>
      <c r="AO12" s="44" t="inlineStr">
        <is>
          <t>No</t>
        </is>
      </c>
      <c r="AQ12" s="44" t="inlineStr">
        <is>
          <t>Partial</t>
        </is>
      </c>
      <c r="AR12" s="44" t="inlineStr">
        <is>
          <t>M1.4.1; M1.4.2; M1.4.3; M1.4.4</t>
        </is>
      </c>
      <c r="AS12" s="44" t="inlineStr">
        <is>
          <t>Partial</t>
        </is>
      </c>
      <c r="AT12" s="44" t="inlineStr">
        <is>
          <t>M2.4.1; M2.4.3</t>
        </is>
      </c>
      <c r="AU12" s="44" t="inlineStr">
        <is>
          <t>No</t>
        </is>
      </c>
      <c r="AW12" s="44" t="inlineStr">
        <is>
          <t>No</t>
        </is>
      </c>
      <c r="AY12" s="44" t="inlineStr">
        <is>
          <t>No</t>
        </is>
      </c>
      <c r="BA12" s="44" t="inlineStr">
        <is>
          <t>No</t>
        </is>
      </c>
      <c r="BC12" s="44" t="inlineStr">
        <is>
          <t>No</t>
        </is>
      </c>
      <c r="BE12" s="44" t="inlineStr">
        <is>
          <t>No</t>
        </is>
      </c>
      <c r="BG12" s="44" t="inlineStr">
        <is>
          <t>Partial</t>
        </is>
      </c>
      <c r="BH12" s="44" t="inlineStr">
        <is>
          <t>L0a.4.1; L0a.4.2; L0a.4.3</t>
        </is>
      </c>
      <c r="BI12" s="44" t="inlineStr">
        <is>
          <t>Partial</t>
        </is>
      </c>
      <c r="BJ12" s="44" t="inlineStr">
        <is>
          <t>L0b.4.2; L0b.4.3</t>
        </is>
      </c>
      <c r="BL12" s="44">
        <f>COUNTIF(D12:BJ12,"Yes")</f>
        <v/>
      </c>
      <c r="BM12" s="44">
        <f>COUNTIF(D12:BJ12,"No")</f>
        <v/>
      </c>
      <c r="BN12" s="44">
        <f>COUNTIF(D12:BJ12,"Partial")</f>
        <v/>
      </c>
      <c r="BP12" s="44">
        <f>COUNTIF(D12:BF12,"Yes")-COUNTIF(P12:V12,"Yes")</f>
        <v/>
      </c>
      <c r="BQ12" s="44">
        <f>COUNTIF(D12:BF12,"No")-COUNTIF(P12:V12,"No")</f>
        <v/>
      </c>
      <c r="BR12" s="44">
        <f>COUNTIF(D12:BF12,"Partial")-COUNTIF(P12:V12,"Partial")</f>
        <v/>
      </c>
    </row>
    <row r="13" ht="57.75" customHeight="1" s="54">
      <c r="B13" s="44" t="inlineStr">
        <is>
          <t>H.4.2</t>
        </is>
      </c>
      <c r="C13" s="44" t="inlineStr">
        <is>
          <t>Access Control for Requisitions Data</t>
        </is>
      </c>
      <c r="D13" s="44" t="inlineStr">
        <is>
          <t>Yes</t>
        </is>
      </c>
      <c r="E13" s="44" t="inlineStr">
        <is>
          <t>L0.4.1; L0.4.2</t>
        </is>
      </c>
      <c r="F13" s="44" t="inlineStr">
        <is>
          <t>Yes</t>
        </is>
      </c>
      <c r="G13" s="44" t="inlineStr">
        <is>
          <t>L0_ii.4.1; L0_ii.4.2; L0_ii.4.3; L0_ii.4.4</t>
        </is>
      </c>
      <c r="H13" s="44" t="inlineStr">
        <is>
          <t>Yes</t>
        </is>
      </c>
      <c r="I13" s="44" t="inlineStr">
        <is>
          <t>L0_iii.4.1; L0_iii.4.2</t>
        </is>
      </c>
      <c r="J13" s="44" t="inlineStr">
        <is>
          <t>Partial</t>
        </is>
      </c>
      <c r="K13" s="44" t="inlineStr">
        <is>
          <t>L0_iv.4.1; L0_iv.4.2; L0_iv.4.3</t>
        </is>
      </c>
      <c r="L13" s="44" t="inlineStr">
        <is>
          <t>Yes</t>
        </is>
      </c>
      <c r="M13" s="44" t="inlineStr">
        <is>
          <t>L1.4.1</t>
        </is>
      </c>
      <c r="N13" s="44" t="inlineStr">
        <is>
          <t>Yes</t>
        </is>
      </c>
      <c r="O13" s="44" t="inlineStr">
        <is>
          <t>L2.4.5</t>
        </is>
      </c>
      <c r="P13" s="44" t="inlineStr">
        <is>
          <t>Yes</t>
        </is>
      </c>
      <c r="Q13" s="44" t="inlineStr">
        <is>
          <t>L3.4.1; L3.4.2</t>
        </is>
      </c>
      <c r="S13" s="44" t="inlineStr">
        <is>
          <t>Yes</t>
        </is>
      </c>
      <c r="T13" s="44" t="inlineStr">
        <is>
          <t>L4.4.1</t>
        </is>
      </c>
      <c r="U13" s="44" t="inlineStr">
        <is>
          <t>Yes</t>
        </is>
      </c>
      <c r="V13" s="44" t="inlineStr">
        <is>
          <t>L5.4.5</t>
        </is>
      </c>
      <c r="W13" s="44" t="inlineStr">
        <is>
          <t>No</t>
        </is>
      </c>
      <c r="Y13" s="44" t="inlineStr">
        <is>
          <t>Partial</t>
        </is>
      </c>
      <c r="Z13" t="inlineStr">
        <is>
          <t>Q0_ii.4.1</t>
        </is>
      </c>
      <c r="AA13" s="44" t="inlineStr">
        <is>
          <t>Partial</t>
        </is>
      </c>
      <c r="AB13" t="inlineStr">
        <is>
          <t>Q0_iii.4.1</t>
        </is>
      </c>
      <c r="AC13" s="44" t="inlineStr">
        <is>
          <t>Partial</t>
        </is>
      </c>
      <c r="AD13" s="44" t="inlineStr">
        <is>
          <t>Q0_iv.4.1; Q0_iv.4.5</t>
        </is>
      </c>
      <c r="AE13" s="44" t="inlineStr">
        <is>
          <t>No</t>
        </is>
      </c>
      <c r="AG13" s="44" t="inlineStr">
        <is>
          <t>No</t>
        </is>
      </c>
      <c r="AI13" s="44" t="inlineStr">
        <is>
          <t>No</t>
        </is>
      </c>
      <c r="AK13" s="44" t="inlineStr">
        <is>
          <t>No</t>
        </is>
      </c>
      <c r="AM13" s="44" t="inlineStr">
        <is>
          <t>No</t>
        </is>
      </c>
      <c r="AO13" s="44" t="inlineStr">
        <is>
          <t>No</t>
        </is>
      </c>
      <c r="AQ13" s="44" t="inlineStr">
        <is>
          <t>Partial</t>
        </is>
      </c>
      <c r="AR13" s="44" t="inlineStr">
        <is>
          <t>M1.4.1; M1.4.2; M1.4.3; M1.4.4</t>
        </is>
      </c>
      <c r="AS13" s="44" t="inlineStr">
        <is>
          <t>Partial</t>
        </is>
      </c>
      <c r="AT13" s="44" t="inlineStr">
        <is>
          <t>M2.4.1; M2.4.3</t>
        </is>
      </c>
      <c r="AU13" s="44" t="inlineStr">
        <is>
          <t>No</t>
        </is>
      </c>
      <c r="AW13" s="44" t="inlineStr">
        <is>
          <t>No</t>
        </is>
      </c>
      <c r="AY13" s="44" t="inlineStr">
        <is>
          <t>No</t>
        </is>
      </c>
      <c r="BA13" s="44" t="inlineStr">
        <is>
          <t>No</t>
        </is>
      </c>
      <c r="BC13" s="44" t="inlineStr">
        <is>
          <t>No</t>
        </is>
      </c>
      <c r="BE13" s="44" t="inlineStr">
        <is>
          <t>No</t>
        </is>
      </c>
      <c r="BG13" s="44" t="inlineStr">
        <is>
          <t>Partial</t>
        </is>
      </c>
      <c r="BH13" s="44" t="inlineStr">
        <is>
          <t>L0a.4.1; L0a.4.2; L0a.4.3</t>
        </is>
      </c>
      <c r="BI13" s="44" t="inlineStr">
        <is>
          <t>Partial</t>
        </is>
      </c>
      <c r="BJ13" s="44" t="inlineStr">
        <is>
          <t>L0b.4.1</t>
        </is>
      </c>
      <c r="BL13" s="44">
        <f>COUNTIF(D13:BJ13,"Yes")</f>
        <v/>
      </c>
      <c r="BM13" s="44">
        <f>COUNTIF(D13:BJ13,"No")</f>
        <v/>
      </c>
      <c r="BN13" s="44">
        <f>COUNTIF(D13:BJ13,"Partial")</f>
        <v/>
      </c>
      <c r="BP13" s="44">
        <f>COUNTIF(D13:BF13,"Yes")-COUNTIF(P13:V13,"Yes")</f>
        <v/>
      </c>
      <c r="BQ13" s="44">
        <f>COUNTIF(D13:BF13,"No")-COUNTIF(P13:V13,"No")</f>
        <v/>
      </c>
      <c r="BR13" s="44">
        <f>COUNTIF(D13:BF13,"Partial")-COUNTIF(P13:V13,"Partial")</f>
        <v/>
      </c>
    </row>
    <row r="14" ht="57.75" customHeight="1" s="54">
      <c r="B14" s="44" t="inlineStr">
        <is>
          <t>H.4.3</t>
        </is>
      </c>
      <c r="C14" s="44" t="inlineStr">
        <is>
          <t>Vehicle Registry Access</t>
        </is>
      </c>
      <c r="D14" s="44" t="inlineStr">
        <is>
          <t>Yes</t>
        </is>
      </c>
      <c r="E14" s="44" t="inlineStr">
        <is>
          <t>L0.4.1; L0.4.2</t>
        </is>
      </c>
      <c r="F14" s="44" t="inlineStr">
        <is>
          <t>Yes</t>
        </is>
      </c>
      <c r="G14" s="44" t="inlineStr">
        <is>
          <t>L0_ii.4.1; L0_ii.4.2; L0_ii.4.3; L0_ii.4.4</t>
        </is>
      </c>
      <c r="H14" s="44" t="inlineStr">
        <is>
          <t>Yes</t>
        </is>
      </c>
      <c r="I14" s="44" t="inlineStr">
        <is>
          <t>L0_iii.4.1; L0_iii.4.2</t>
        </is>
      </c>
      <c r="J14" s="44" t="inlineStr">
        <is>
          <t>Partial</t>
        </is>
      </c>
      <c r="K14" s="44" t="inlineStr">
        <is>
          <t>L0_iv.4.1; L0_iv.4.2; L0_iv.4.3</t>
        </is>
      </c>
      <c r="L14" s="44" t="inlineStr">
        <is>
          <t>No</t>
        </is>
      </c>
      <c r="N14" s="44" t="inlineStr">
        <is>
          <t>Yes</t>
        </is>
      </c>
      <c r="O14" s="44" t="inlineStr">
        <is>
          <t>L2.4.3</t>
        </is>
      </c>
      <c r="P14" s="44" t="inlineStr">
        <is>
          <t>Yes</t>
        </is>
      </c>
      <c r="Q14" s="44" t="inlineStr">
        <is>
          <t>L3.4.5</t>
        </is>
      </c>
      <c r="S14" s="44" t="inlineStr">
        <is>
          <t>Yes</t>
        </is>
      </c>
      <c r="T14" s="44" t="inlineStr">
        <is>
          <t>L4.4.1</t>
        </is>
      </c>
      <c r="U14" s="44" t="inlineStr">
        <is>
          <t>Yes</t>
        </is>
      </c>
      <c r="V14" s="44" t="inlineStr">
        <is>
          <t>L5.4.4; L5.4.7</t>
        </is>
      </c>
      <c r="W14" s="44" t="inlineStr">
        <is>
          <t>Partial</t>
        </is>
      </c>
      <c r="X14" s="44" t="inlineStr">
        <is>
          <t>Q0.4.8; Q0.4.10</t>
        </is>
      </c>
      <c r="Y14" s="44" t="inlineStr">
        <is>
          <t>Partial</t>
        </is>
      </c>
      <c r="Z14" t="inlineStr">
        <is>
          <t>Q0_ii.4.1</t>
        </is>
      </c>
      <c r="AA14" s="44" t="inlineStr">
        <is>
          <t>Partial</t>
        </is>
      </c>
      <c r="AB14" t="inlineStr">
        <is>
          <t>Q0_iii.4.1</t>
        </is>
      </c>
      <c r="AC14" s="44" t="inlineStr">
        <is>
          <t>Partial</t>
        </is>
      </c>
      <c r="AD14" s="44" t="inlineStr">
        <is>
          <t>Q0_iv.4.1</t>
        </is>
      </c>
      <c r="AE14" s="44" t="inlineStr">
        <is>
          <t>No</t>
        </is>
      </c>
      <c r="AG14" s="44" t="inlineStr">
        <is>
          <t>Partial</t>
        </is>
      </c>
      <c r="AH14" s="44" t="inlineStr">
        <is>
          <t>Q2.4.3</t>
        </is>
      </c>
      <c r="AI14" s="44" t="inlineStr">
        <is>
          <t>No</t>
        </is>
      </c>
      <c r="AK14" s="44" t="inlineStr">
        <is>
          <t>No</t>
        </is>
      </c>
      <c r="AM14" s="44" t="inlineStr">
        <is>
          <t>No</t>
        </is>
      </c>
      <c r="AO14" s="44" t="inlineStr">
        <is>
          <t>No</t>
        </is>
      </c>
      <c r="AQ14" s="44" t="inlineStr">
        <is>
          <t>Partial</t>
        </is>
      </c>
      <c r="AR14" s="44" t="inlineStr">
        <is>
          <t>M1.4.1; M1.4.2; M1.4.3; M1.4.4</t>
        </is>
      </c>
      <c r="AS14" s="44" t="inlineStr">
        <is>
          <t>Partial</t>
        </is>
      </c>
      <c r="AT14" s="44" t="inlineStr">
        <is>
          <t>M2.4.1; M2.4.3</t>
        </is>
      </c>
      <c r="AU14" s="44" t="inlineStr">
        <is>
          <t>No</t>
        </is>
      </c>
      <c r="AW14" s="44" t="inlineStr">
        <is>
          <t>No</t>
        </is>
      </c>
      <c r="AY14" s="44" t="inlineStr">
        <is>
          <t>No</t>
        </is>
      </c>
      <c r="BA14" s="44" t="inlineStr">
        <is>
          <t>No</t>
        </is>
      </c>
      <c r="BC14" s="44" t="inlineStr">
        <is>
          <t>No</t>
        </is>
      </c>
      <c r="BE14" s="44" t="inlineStr">
        <is>
          <t>No</t>
        </is>
      </c>
      <c r="BG14" s="44" t="inlineStr">
        <is>
          <t>Partial</t>
        </is>
      </c>
      <c r="BH14" s="44" t="inlineStr">
        <is>
          <t>L0a.4.1; L0a.4.2; L0a.4.3</t>
        </is>
      </c>
      <c r="BI14" s="44" t="inlineStr">
        <is>
          <t>Partial</t>
        </is>
      </c>
      <c r="BJ14" s="44" t="inlineStr">
        <is>
          <t>L0b.4.4</t>
        </is>
      </c>
      <c r="BL14" s="44">
        <f>COUNTIF(D14:BJ14,"Yes")</f>
        <v/>
      </c>
      <c r="BM14" s="44">
        <f>COUNTIF(D14:BJ14,"No")</f>
        <v/>
      </c>
      <c r="BN14" s="44">
        <f>COUNTIF(D14:BJ14,"Partial")</f>
        <v/>
      </c>
      <c r="BP14" s="44">
        <f>COUNTIF(D14:BF14,"Yes")-COUNTIF(P14:V14,"Yes")</f>
        <v/>
      </c>
      <c r="BQ14" s="44">
        <f>COUNTIF(D14:BF14,"No")-COUNTIF(P14:V14,"No")</f>
        <v/>
      </c>
      <c r="BR14" s="44">
        <f>COUNTIF(D14:BF14,"Partial")-COUNTIF(P14:V14,"Partial")</f>
        <v/>
      </c>
    </row>
    <row r="15" ht="29.25" customHeight="1" s="54">
      <c r="B15" s="44" t="inlineStr">
        <is>
          <t>H.4.4</t>
        </is>
      </c>
      <c r="C15" s="44" t="inlineStr">
        <is>
          <t>Dock Manager Role for Dock Data</t>
        </is>
      </c>
      <c r="D15" s="44" t="inlineStr">
        <is>
          <t>Yes</t>
        </is>
      </c>
      <c r="E15" s="44" t="inlineStr">
        <is>
          <t>L0.4.1; L0.4.2</t>
        </is>
      </c>
      <c r="F15" s="44" t="inlineStr">
        <is>
          <t>No</t>
        </is>
      </c>
      <c r="H15" s="44" t="inlineStr">
        <is>
          <t>No</t>
        </is>
      </c>
      <c r="J15" s="44" t="inlineStr">
        <is>
          <t>No</t>
        </is>
      </c>
      <c r="L15" s="44" t="inlineStr">
        <is>
          <t>No</t>
        </is>
      </c>
      <c r="N15" s="44" t="inlineStr">
        <is>
          <t>No</t>
        </is>
      </c>
      <c r="P15" s="44" t="inlineStr">
        <is>
          <t>Yes</t>
        </is>
      </c>
      <c r="Q15" s="44" t="inlineStr">
        <is>
          <t>L3.4.12</t>
        </is>
      </c>
      <c r="S15" s="44" t="inlineStr">
        <is>
          <t>No</t>
        </is>
      </c>
      <c r="U15" s="44" t="inlineStr">
        <is>
          <t>No</t>
        </is>
      </c>
      <c r="W15" s="44" t="inlineStr">
        <is>
          <t>Yes</t>
        </is>
      </c>
      <c r="X15" s="44" t="inlineStr">
        <is>
          <t>Q0.4.4; Q0.4.10</t>
        </is>
      </c>
      <c r="Y15" s="44" t="inlineStr">
        <is>
          <t>No</t>
        </is>
      </c>
      <c r="AA15" s="44" t="inlineStr">
        <is>
          <t>Partial</t>
        </is>
      </c>
      <c r="AB15" t="inlineStr">
        <is>
          <t>Q0_iii.4.1</t>
        </is>
      </c>
      <c r="AC15" s="44" t="inlineStr">
        <is>
          <t>Partial</t>
        </is>
      </c>
      <c r="AD15" s="44" t="inlineStr">
        <is>
          <t>Q0_iv.4.1</t>
        </is>
      </c>
      <c r="AE15" s="44" t="inlineStr">
        <is>
          <t>No</t>
        </is>
      </c>
      <c r="AG15" s="44" t="inlineStr">
        <is>
          <t>No</t>
        </is>
      </c>
      <c r="AI15" s="44" t="inlineStr">
        <is>
          <t>No</t>
        </is>
      </c>
      <c r="AK15" s="44" t="inlineStr">
        <is>
          <t>No</t>
        </is>
      </c>
      <c r="AM15" s="44" t="inlineStr">
        <is>
          <t>No</t>
        </is>
      </c>
      <c r="AO15" s="44" t="inlineStr">
        <is>
          <t>No</t>
        </is>
      </c>
      <c r="AQ15" s="44" t="inlineStr">
        <is>
          <t>Partial</t>
        </is>
      </c>
      <c r="AR15" s="44" t="inlineStr">
        <is>
          <t>M1.4.1; M1.4.2; M1.4.3; M1.4.4</t>
        </is>
      </c>
      <c r="AS15" s="44" t="inlineStr">
        <is>
          <t>Partial</t>
        </is>
      </c>
      <c r="AT15" s="44" t="inlineStr">
        <is>
          <t>M2.4.1; M2.4.3</t>
        </is>
      </c>
      <c r="AU15" s="44" t="inlineStr">
        <is>
          <t>No</t>
        </is>
      </c>
      <c r="AW15" s="44" t="inlineStr">
        <is>
          <t>No</t>
        </is>
      </c>
      <c r="AY15" s="44" t="inlineStr">
        <is>
          <t>No</t>
        </is>
      </c>
      <c r="BA15" s="44" t="inlineStr">
        <is>
          <t>No</t>
        </is>
      </c>
      <c r="BC15" s="44" t="inlineStr">
        <is>
          <t>No</t>
        </is>
      </c>
      <c r="BE15" s="44" t="inlineStr">
        <is>
          <t>No</t>
        </is>
      </c>
      <c r="BG15" s="44" t="inlineStr">
        <is>
          <t>No</t>
        </is>
      </c>
      <c r="BI15" s="44" t="inlineStr">
        <is>
          <t>No</t>
        </is>
      </c>
      <c r="BL15" s="44">
        <f>COUNTIF(D15:BJ15,"Yes")</f>
        <v/>
      </c>
      <c r="BM15" s="44">
        <f>COUNTIF(D15:BJ15,"No")</f>
        <v/>
      </c>
      <c r="BN15" s="44">
        <f>COUNTIF(D15:BJ15,"Partial")</f>
        <v/>
      </c>
      <c r="BP15" s="44">
        <f>COUNTIF(D15:BF15,"Yes")-COUNTIF(P15:V15,"Yes")</f>
        <v/>
      </c>
      <c r="BQ15" s="44">
        <f>COUNTIF(D15:BF15,"No")-COUNTIF(P15:V15,"No")</f>
        <v/>
      </c>
      <c r="BR15" s="44">
        <f>COUNTIF(D15:BF15,"Partial")-COUNTIF(P15:V15,"Partial")</f>
        <v/>
      </c>
    </row>
    <row r="16" ht="29.25" customHeight="1" s="54">
      <c r="B16" s="44" t="inlineStr">
        <is>
          <t>H.4.5</t>
        </is>
      </c>
      <c r="C16" s="44" t="inlineStr">
        <is>
          <t>Dock Manager Role for Warehouse Inventory</t>
        </is>
      </c>
      <c r="D16" s="44" t="inlineStr">
        <is>
          <t>Yes</t>
        </is>
      </c>
      <c r="E16" s="44" t="inlineStr">
        <is>
          <t>L0.4.1; L0.4.2</t>
        </is>
      </c>
      <c r="F16" s="44" t="inlineStr">
        <is>
          <t>Yes</t>
        </is>
      </c>
      <c r="G16" s="44" t="inlineStr">
        <is>
          <t>L0_ii.4.1</t>
        </is>
      </c>
      <c r="H16" s="44" t="inlineStr">
        <is>
          <t>Yes</t>
        </is>
      </c>
      <c r="I16" s="44" t="inlineStr">
        <is>
          <t>L0_iii.4.1</t>
        </is>
      </c>
      <c r="J16" s="44" t="inlineStr">
        <is>
          <t>Partial</t>
        </is>
      </c>
      <c r="K16" s="44" t="inlineStr">
        <is>
          <t>L0_iv.4.1</t>
        </is>
      </c>
      <c r="L16" s="44" t="inlineStr">
        <is>
          <t>Yes</t>
        </is>
      </c>
      <c r="M16" s="44" t="inlineStr">
        <is>
          <t>L1.4.1</t>
        </is>
      </c>
      <c r="N16" s="44" t="inlineStr">
        <is>
          <t>Yes</t>
        </is>
      </c>
      <c r="O16" s="44" t="inlineStr">
        <is>
          <t>L2.4.2</t>
        </is>
      </c>
      <c r="P16" s="44" t="inlineStr">
        <is>
          <t>Yes</t>
        </is>
      </c>
      <c r="Q16" s="44" t="inlineStr">
        <is>
          <t>L3.4.3</t>
        </is>
      </c>
      <c r="S16" s="44" t="inlineStr">
        <is>
          <t>Yes</t>
        </is>
      </c>
      <c r="T16" s="44" t="inlineStr">
        <is>
          <t>L4.4.1</t>
        </is>
      </c>
      <c r="U16" s="44" t="inlineStr">
        <is>
          <t>Yes</t>
        </is>
      </c>
      <c r="V16" s="44" t="inlineStr">
        <is>
          <t>L5.4.2</t>
        </is>
      </c>
      <c r="W16" s="44" t="inlineStr">
        <is>
          <t>Yes</t>
        </is>
      </c>
      <c r="X16" s="44" t="inlineStr">
        <is>
          <t>Q0.4.5; Q0.4.10</t>
        </is>
      </c>
      <c r="Y16" s="44" t="inlineStr">
        <is>
          <t>No</t>
        </is>
      </c>
      <c r="AA16" s="44" t="inlineStr">
        <is>
          <t>Partial</t>
        </is>
      </c>
      <c r="AB16" t="inlineStr">
        <is>
          <t>Q0_iii.4.1</t>
        </is>
      </c>
      <c r="AC16" s="44" t="inlineStr">
        <is>
          <t>Partial</t>
        </is>
      </c>
      <c r="AD16" s="44" t="inlineStr">
        <is>
          <t>Q0_iv.4.1</t>
        </is>
      </c>
      <c r="AE16" s="44" t="inlineStr">
        <is>
          <t>No</t>
        </is>
      </c>
      <c r="AG16" s="44" t="inlineStr">
        <is>
          <t>Partial</t>
        </is>
      </c>
      <c r="AH16" s="44" t="inlineStr">
        <is>
          <t>Q2.4.3</t>
        </is>
      </c>
      <c r="AI16" s="44" t="inlineStr">
        <is>
          <t>No</t>
        </is>
      </c>
      <c r="AK16" s="44" t="inlineStr">
        <is>
          <t>No</t>
        </is>
      </c>
      <c r="AM16" s="44" t="inlineStr">
        <is>
          <t>No</t>
        </is>
      </c>
      <c r="AO16" s="44" t="inlineStr">
        <is>
          <t>No</t>
        </is>
      </c>
      <c r="AQ16" s="44" t="inlineStr">
        <is>
          <t>Partial</t>
        </is>
      </c>
      <c r="AR16" s="44" t="inlineStr">
        <is>
          <t>M1.4.1; M1.4.2; M1.4.3; M1.4.4</t>
        </is>
      </c>
      <c r="AS16" s="44" t="inlineStr">
        <is>
          <t>Partial</t>
        </is>
      </c>
      <c r="AT16" s="44" t="inlineStr">
        <is>
          <t>M2.4.1; M2.4.3</t>
        </is>
      </c>
      <c r="AU16" s="44" t="inlineStr">
        <is>
          <t>No</t>
        </is>
      </c>
      <c r="AW16" s="44" t="inlineStr">
        <is>
          <t>No</t>
        </is>
      </c>
      <c r="AY16" s="44" t="inlineStr">
        <is>
          <t>No</t>
        </is>
      </c>
      <c r="BA16" s="44" t="inlineStr">
        <is>
          <t>No</t>
        </is>
      </c>
      <c r="BC16" s="44" t="inlineStr">
        <is>
          <t>Yes</t>
        </is>
      </c>
      <c r="BD16" s="44" t="inlineStr">
        <is>
          <t>G1.4.1</t>
        </is>
      </c>
      <c r="BE16" s="44" t="inlineStr">
        <is>
          <t>No</t>
        </is>
      </c>
      <c r="BG16" s="44" t="inlineStr">
        <is>
          <t>No</t>
        </is>
      </c>
      <c r="BI16" s="44" t="inlineStr">
        <is>
          <t>No</t>
        </is>
      </c>
      <c r="BL16" s="44">
        <f>COUNTIF(D16:BJ16,"Yes")</f>
        <v/>
      </c>
      <c r="BM16" s="44">
        <f>COUNTIF(D16:BJ16,"No")</f>
        <v/>
      </c>
      <c r="BN16" s="44">
        <f>COUNTIF(D16:BJ16,"Partial")</f>
        <v/>
      </c>
      <c r="BP16" s="44">
        <f>COUNTIF(D16:BF16,"Yes")-COUNTIF(P16:V16,"Yes")</f>
        <v/>
      </c>
      <c r="BQ16" s="44">
        <f>COUNTIF(D16:BF16,"No")-COUNTIF(P16:V16,"No")</f>
        <v/>
      </c>
      <c r="BR16" s="44">
        <f>COUNTIF(D16:BF16,"Partial")-COUNTIF(P16:V16,"Partial")</f>
        <v/>
      </c>
    </row>
    <row r="17">
      <c r="B17" s="44" t="inlineStr">
        <is>
          <t>H.4.6</t>
        </is>
      </c>
      <c r="C17" s="44" t="inlineStr">
        <is>
          <t>Role-based Access to AIDC Carriers</t>
        </is>
      </c>
      <c r="D17" s="44" t="inlineStr">
        <is>
          <t>No</t>
        </is>
      </c>
      <c r="F17" s="44" t="inlineStr">
        <is>
          <t>No</t>
        </is>
      </c>
      <c r="H17" s="44" t="inlineStr">
        <is>
          <t>No</t>
        </is>
      </c>
      <c r="J17" s="44" t="inlineStr">
        <is>
          <t>No</t>
        </is>
      </c>
      <c r="L17" s="44" t="inlineStr">
        <is>
          <t>No</t>
        </is>
      </c>
      <c r="N17" s="44" t="inlineStr">
        <is>
          <t>No</t>
        </is>
      </c>
      <c r="P17" s="44" t="inlineStr">
        <is>
          <t>No</t>
        </is>
      </c>
      <c r="S17" s="44" t="inlineStr">
        <is>
          <t>No</t>
        </is>
      </c>
      <c r="U17" s="44" t="inlineStr">
        <is>
          <t>No</t>
        </is>
      </c>
      <c r="W17" s="44" t="inlineStr">
        <is>
          <t>No</t>
        </is>
      </c>
      <c r="Y17" s="44" t="inlineStr">
        <is>
          <t>Yes</t>
        </is>
      </c>
      <c r="Z17" t="inlineStr">
        <is>
          <t>Q0_ii.4.3</t>
        </is>
      </c>
      <c r="AA17" s="44" t="inlineStr">
        <is>
          <t>No</t>
        </is>
      </c>
      <c r="AC17" s="44" t="inlineStr">
        <is>
          <t>Yes</t>
        </is>
      </c>
      <c r="AD17" s="44" t="inlineStr">
        <is>
          <t>Q0_iv.4.2</t>
        </is>
      </c>
      <c r="AE17" s="44" t="inlineStr">
        <is>
          <t>No</t>
        </is>
      </c>
      <c r="AG17" s="44" t="inlineStr">
        <is>
          <t>No</t>
        </is>
      </c>
      <c r="AI17" s="44" t="inlineStr">
        <is>
          <t>No</t>
        </is>
      </c>
      <c r="AK17" s="44" t="inlineStr">
        <is>
          <t>No</t>
        </is>
      </c>
      <c r="AM17" s="44" t="inlineStr">
        <is>
          <t>No</t>
        </is>
      </c>
      <c r="AO17" s="44" t="inlineStr">
        <is>
          <t>No</t>
        </is>
      </c>
      <c r="AQ17" s="44" t="inlineStr">
        <is>
          <t>No</t>
        </is>
      </c>
      <c r="AS17" s="44" t="inlineStr">
        <is>
          <t>No</t>
        </is>
      </c>
      <c r="AU17" s="44" t="inlineStr">
        <is>
          <t>No</t>
        </is>
      </c>
      <c r="AW17" s="44" t="inlineStr">
        <is>
          <t>No</t>
        </is>
      </c>
      <c r="AY17" s="44" t="inlineStr">
        <is>
          <t>No</t>
        </is>
      </c>
      <c r="BA17" s="44" t="inlineStr">
        <is>
          <t>No</t>
        </is>
      </c>
      <c r="BC17" s="44" t="inlineStr">
        <is>
          <t>No</t>
        </is>
      </c>
      <c r="BE17" s="44" t="inlineStr">
        <is>
          <t>No</t>
        </is>
      </c>
      <c r="BG17" s="44" t="inlineStr">
        <is>
          <t>No</t>
        </is>
      </c>
      <c r="BI17" s="44" t="inlineStr">
        <is>
          <t>No</t>
        </is>
      </c>
      <c r="BL17" s="44">
        <f>COUNTIF(D17:BJ17,"Yes")</f>
        <v/>
      </c>
      <c r="BM17" s="44">
        <f>COUNTIF(D17:BJ17,"No")</f>
        <v/>
      </c>
      <c r="BN17" s="44">
        <f>COUNTIF(D17:BJ17,"Partial")</f>
        <v/>
      </c>
      <c r="BP17" s="44">
        <f>COUNTIF(D17:BF17,"Yes")-COUNTIF(P17:V17,"Yes")</f>
        <v/>
      </c>
      <c r="BQ17" s="44">
        <f>COUNTIF(D17:BF17,"No")-COUNTIF(P17:V17,"No")</f>
        <v/>
      </c>
      <c r="BR17" s="44">
        <f>COUNTIF(D17:BF17,"Partial")-COUNTIF(P17:V17,"Partial")</f>
        <v/>
      </c>
    </row>
    <row r="18" ht="72.75" customHeight="1" s="54">
      <c r="B18" s="44" t="inlineStr">
        <is>
          <t>H.4.7</t>
        </is>
      </c>
      <c r="C18" s="44" t="inlineStr">
        <is>
          <t>Role-based Data Access Control</t>
        </is>
      </c>
      <c r="D18" s="44" t="inlineStr">
        <is>
          <t>Partial</t>
        </is>
      </c>
      <c r="E18" s="44" t="inlineStr">
        <is>
          <t>L0.4.1</t>
        </is>
      </c>
      <c r="F18" s="44" t="inlineStr">
        <is>
          <t>Partial</t>
        </is>
      </c>
      <c r="G18" s="44" t="inlineStr">
        <is>
          <t>L0_ii.4.1</t>
        </is>
      </c>
      <c r="H18" s="44" t="inlineStr">
        <is>
          <t>Partial</t>
        </is>
      </c>
      <c r="I18" s="44" t="inlineStr">
        <is>
          <t>L0_iii.4.1</t>
        </is>
      </c>
      <c r="J18" s="44" t="inlineStr">
        <is>
          <t>Partial</t>
        </is>
      </c>
      <c r="K18" s="44" t="inlineStr">
        <is>
          <t>L0_iv.4.1</t>
        </is>
      </c>
      <c r="L18" s="44" t="inlineStr">
        <is>
          <t>Partial</t>
        </is>
      </c>
      <c r="M18" s="44" t="inlineStr">
        <is>
          <t>L1.4.1</t>
        </is>
      </c>
      <c r="N18" s="44" t="inlineStr">
        <is>
          <t>Partial</t>
        </is>
      </c>
      <c r="O18" s="44" t="inlineStr">
        <is>
          <t>L2.4.1</t>
        </is>
      </c>
      <c r="P18" s="44" t="inlineStr">
        <is>
          <t>Partial</t>
        </is>
      </c>
      <c r="Q18" s="44" t="inlineStr">
        <is>
          <t>L3.4.11</t>
        </is>
      </c>
      <c r="S18" s="44" t="inlineStr">
        <is>
          <t>Partial</t>
        </is>
      </c>
      <c r="T18" s="44" t="inlineStr">
        <is>
          <t>L4.4.1</t>
        </is>
      </c>
      <c r="U18" s="44" t="inlineStr">
        <is>
          <t>Partial</t>
        </is>
      </c>
      <c r="V18" s="44" t="inlineStr">
        <is>
          <t>L5.4.1</t>
        </is>
      </c>
      <c r="W18" s="44" t="inlineStr">
        <is>
          <t>Yes</t>
        </is>
      </c>
      <c r="X18" s="44" t="inlineStr">
        <is>
          <t>Q0.4.1</t>
        </is>
      </c>
      <c r="Y18" s="44" t="inlineStr">
        <is>
          <t>Yes</t>
        </is>
      </c>
      <c r="Z18" t="inlineStr">
        <is>
          <t>Q0_ii.4.1</t>
        </is>
      </c>
      <c r="AA18" s="44" t="inlineStr">
        <is>
          <t>Yes</t>
        </is>
      </c>
      <c r="AB18" t="inlineStr">
        <is>
          <t>Q0_iii.4.1</t>
        </is>
      </c>
      <c r="AC18" s="44" t="inlineStr">
        <is>
          <t>Yes</t>
        </is>
      </c>
      <c r="AD18" s="44" t="inlineStr">
        <is>
          <t>Q0_iv.4.1</t>
        </is>
      </c>
      <c r="AE18" s="44" t="inlineStr">
        <is>
          <t>Yes</t>
        </is>
      </c>
      <c r="AF18" s="44" t="inlineStr">
        <is>
          <t>Q1.4.1</t>
        </is>
      </c>
      <c r="AG18" s="44" t="inlineStr">
        <is>
          <t>Partial</t>
        </is>
      </c>
      <c r="AH18" s="44" t="inlineStr">
        <is>
          <t>Q2.4.5</t>
        </is>
      </c>
      <c r="AI18" s="44" t="inlineStr">
        <is>
          <t>Yes</t>
        </is>
      </c>
      <c r="AJ18" s="44" t="inlineStr">
        <is>
          <t>M0.4.1; M0.4.2; M0.4.3</t>
        </is>
      </c>
      <c r="AK18" s="44" t="inlineStr">
        <is>
          <t>Yes</t>
        </is>
      </c>
      <c r="AL18" s="44" t="inlineStr">
        <is>
          <t xml:space="preserve">M0_ii.4.1; M0_ii.4.2; M0_ii.4.3; M0_ii.4.4; M0_ii.4.5 </t>
        </is>
      </c>
      <c r="AM18" s="44" t="inlineStr">
        <is>
          <t>Yes</t>
        </is>
      </c>
      <c r="AN18" t="inlineStr">
        <is>
          <t>M0_iii.4.1</t>
        </is>
      </c>
      <c r="AO18" s="44" t="inlineStr">
        <is>
          <t>Yes</t>
        </is>
      </c>
      <c r="AP18" s="44" t="inlineStr">
        <is>
          <t xml:space="preserve">M0_iv.4.1; M0_iv.4.2; M0_iv.4.3 </t>
        </is>
      </c>
      <c r="AQ18" s="44" t="inlineStr">
        <is>
          <t>Yes</t>
        </is>
      </c>
      <c r="AR18" s="44" t="inlineStr">
        <is>
          <t>M1.4.1; M1.4.2; M1.4.3; M1.4.4</t>
        </is>
      </c>
      <c r="AS18" s="44" t="inlineStr">
        <is>
          <t>Yes</t>
        </is>
      </c>
      <c r="AT18" s="44" t="inlineStr">
        <is>
          <t>M2.4.1</t>
        </is>
      </c>
      <c r="AU18" s="44" t="inlineStr">
        <is>
          <t>No</t>
        </is>
      </c>
      <c r="AW18" s="44" t="inlineStr">
        <is>
          <t>Yes</t>
        </is>
      </c>
      <c r="AX18" s="44" t="inlineStr">
        <is>
          <t>G0_ii.4.1; G0_ii.4.2</t>
        </is>
      </c>
      <c r="AY18" s="44" t="inlineStr">
        <is>
          <t>Yes</t>
        </is>
      </c>
      <c r="BA18" s="44" t="inlineStr">
        <is>
          <t>Partial</t>
        </is>
      </c>
      <c r="BB18" s="44" t="inlineStr">
        <is>
          <t>G0_iv.4.3</t>
        </is>
      </c>
      <c r="BC18" s="44" t="inlineStr">
        <is>
          <t>Partial</t>
        </is>
      </c>
      <c r="BD18" s="44" t="inlineStr">
        <is>
          <t>G1.4.1; G.1.4.2</t>
        </is>
      </c>
      <c r="BE18" s="44" t="inlineStr">
        <is>
          <t>Partial</t>
        </is>
      </c>
      <c r="BF18" s="44" t="inlineStr">
        <is>
          <t>G2.4.1; G2.4.2; G2.4.3</t>
        </is>
      </c>
      <c r="BG18" s="44" t="inlineStr">
        <is>
          <t>Partial</t>
        </is>
      </c>
      <c r="BH18" s="44" t="inlineStr">
        <is>
          <t>L0a.4.1; L0a.4.2; L0a.4.3</t>
        </is>
      </c>
      <c r="BI18" s="44" t="inlineStr">
        <is>
          <t>Partial</t>
        </is>
      </c>
      <c r="BJ18" s="44" t="inlineStr">
        <is>
          <t>L0b.4.4; L0b.4.6; L0b.4.7</t>
        </is>
      </c>
      <c r="BL18" s="44">
        <f>COUNTIF(D18:BJ18,"Yes")</f>
        <v/>
      </c>
      <c r="BM18" s="44">
        <f>COUNTIF(D18:BJ18,"No")</f>
        <v/>
      </c>
      <c r="BN18" s="44">
        <f>COUNTIF(D18:BJ18,"Partial")</f>
        <v/>
      </c>
      <c r="BP18" s="44">
        <f>COUNTIF(D18:BF18,"Yes")-COUNTIF(P18:V18,"Yes")</f>
        <v/>
      </c>
      <c r="BQ18" s="44">
        <f>COUNTIF(D18:BF18,"No")-COUNTIF(P18:V18,"No")</f>
        <v/>
      </c>
      <c r="BR18" s="44">
        <f>COUNTIF(D18:BF18,"Partial")-COUNTIF(P18:V18,"Partial")</f>
        <v/>
      </c>
    </row>
    <row r="19" ht="29.25" customHeight="1" s="54">
      <c r="B19" s="44" t="inlineStr">
        <is>
          <t>H.4.8</t>
        </is>
      </c>
      <c r="C19" s="44" t="inlineStr">
        <is>
          <t>Employee User Management Function</t>
        </is>
      </c>
      <c r="D19" s="44" t="inlineStr">
        <is>
          <t>Partial</t>
        </is>
      </c>
      <c r="E19" s="44" t="inlineStr">
        <is>
          <t>L0.4.5</t>
        </is>
      </c>
      <c r="F19" s="44" t="inlineStr">
        <is>
          <t>No</t>
        </is>
      </c>
      <c r="H19" s="44" t="inlineStr">
        <is>
          <t>No</t>
        </is>
      </c>
      <c r="J19" s="44" t="inlineStr">
        <is>
          <t>No</t>
        </is>
      </c>
      <c r="L19" s="44" t="inlineStr">
        <is>
          <t>No</t>
        </is>
      </c>
      <c r="N19" s="44" t="inlineStr">
        <is>
          <t>No</t>
        </is>
      </c>
      <c r="P19" s="44" t="inlineStr">
        <is>
          <t>Yes</t>
        </is>
      </c>
      <c r="Q19" s="44" t="inlineStr">
        <is>
          <t>L3.4.9</t>
        </is>
      </c>
      <c r="S19" s="44" t="inlineStr">
        <is>
          <t>No</t>
        </is>
      </c>
      <c r="U19" s="44" t="inlineStr">
        <is>
          <t>No</t>
        </is>
      </c>
      <c r="W19" s="44" t="inlineStr">
        <is>
          <t>Partial</t>
        </is>
      </c>
      <c r="X19" s="44" t="inlineStr">
        <is>
          <t>Q0.4.12</t>
        </is>
      </c>
      <c r="Y19" s="44" t="inlineStr">
        <is>
          <t>Partial</t>
        </is>
      </c>
      <c r="Z19" t="inlineStr">
        <is>
          <t>Q0_ii.4.4</t>
        </is>
      </c>
      <c r="AA19" s="44" t="inlineStr">
        <is>
          <t>Partial</t>
        </is>
      </c>
      <c r="AB19" t="inlineStr">
        <is>
          <t>Q0_iii.4.2</t>
        </is>
      </c>
      <c r="AC19" s="44" t="inlineStr">
        <is>
          <t>Partial</t>
        </is>
      </c>
      <c r="AD19" t="inlineStr">
        <is>
          <t>Q0_iv.4.1</t>
        </is>
      </c>
      <c r="AE19" s="44" t="inlineStr">
        <is>
          <t>No</t>
        </is>
      </c>
      <c r="AG19" s="44" t="inlineStr">
        <is>
          <t>No</t>
        </is>
      </c>
      <c r="AI19" s="44" t="inlineStr">
        <is>
          <t>No</t>
        </is>
      </c>
      <c r="AK19" s="44" t="inlineStr">
        <is>
          <t>No</t>
        </is>
      </c>
      <c r="AM19" s="44" t="inlineStr">
        <is>
          <t>No</t>
        </is>
      </c>
      <c r="AO19" s="44" t="inlineStr">
        <is>
          <t>No</t>
        </is>
      </c>
      <c r="AQ19" s="44" t="inlineStr">
        <is>
          <t>No</t>
        </is>
      </c>
      <c r="AS19" s="44" t="inlineStr">
        <is>
          <t>Yes</t>
        </is>
      </c>
      <c r="AT19" s="44" t="inlineStr">
        <is>
          <t>M2.4.2</t>
        </is>
      </c>
      <c r="AU19" s="44" t="inlineStr">
        <is>
          <t>Partial</t>
        </is>
      </c>
      <c r="AV19" s="44" t="inlineStr">
        <is>
          <t>G0.4.3</t>
        </is>
      </c>
      <c r="AW19" s="44" t="inlineStr">
        <is>
          <t>Partial</t>
        </is>
      </c>
      <c r="AX19" s="44" t="inlineStr">
        <is>
          <t>G0_ii.4.3; G0_ii.4.4</t>
        </is>
      </c>
      <c r="AY19" s="44" t="inlineStr">
        <is>
          <t>No</t>
        </is>
      </c>
      <c r="BA19" s="44" t="inlineStr">
        <is>
          <t>No</t>
        </is>
      </c>
      <c r="BC19" s="44" t="inlineStr">
        <is>
          <t>No</t>
        </is>
      </c>
      <c r="BE19" s="44" t="inlineStr">
        <is>
          <t>No</t>
        </is>
      </c>
      <c r="BG19" s="44" t="inlineStr">
        <is>
          <t>No</t>
        </is>
      </c>
      <c r="BI19" s="44" t="inlineStr">
        <is>
          <t>No</t>
        </is>
      </c>
      <c r="BL19" s="44">
        <f>COUNTIF(D19:BJ19,"Yes")</f>
        <v/>
      </c>
      <c r="BM19" s="44">
        <f>COUNTIF(D19:BJ19,"No")</f>
        <v/>
      </c>
      <c r="BN19" s="44">
        <f>COUNTIF(D19:BJ19,"Partial")</f>
        <v/>
      </c>
      <c r="BP19" s="44">
        <f>COUNTIF(D19:BF19,"Yes")-COUNTIF(P19:V19,"Yes")</f>
        <v/>
      </c>
      <c r="BQ19" s="44">
        <f>COUNTIF(D19:BF19,"No")-COUNTIF(P19:V19,"No")</f>
        <v/>
      </c>
      <c r="BR19" s="44">
        <f>COUNTIF(D19:BF19,"Partial")-COUNTIF(P19:V19,"Partial")</f>
        <v/>
      </c>
    </row>
    <row r="20" ht="46.35" customHeight="1" s="54">
      <c r="A20" s="49" t="inlineStr">
        <is>
          <t>The {organization} shall maintain a record of {all privileges allocated}</t>
        </is>
      </c>
      <c r="B20" s="44" t="inlineStr">
        <is>
          <t>H.5.1</t>
        </is>
      </c>
      <c r="C20" s="44" t="inlineStr">
        <is>
          <t>Employee Privileges Record</t>
        </is>
      </c>
      <c r="D20" s="44" t="inlineStr">
        <is>
          <t>Yes</t>
        </is>
      </c>
      <c r="E20" s="44" t="inlineStr">
        <is>
          <t>L0.5.1; L0.5.2; L0.5.3</t>
        </is>
      </c>
      <c r="F20" s="44" t="inlineStr">
        <is>
          <t>Yes</t>
        </is>
      </c>
      <c r="G20" s="44" t="inlineStr">
        <is>
          <t>L0_ii.5.1; L0_ii.5.2; L0_ii.5.3; L0_ii.5.5</t>
        </is>
      </c>
      <c r="H20" s="44" t="inlineStr">
        <is>
          <t>Yes</t>
        </is>
      </c>
      <c r="I20" s="44" t="inlineStr">
        <is>
          <t>L0_iii.5.1; L0_iii.5.2; L0_iii.5.3</t>
        </is>
      </c>
      <c r="J20" s="44" t="inlineStr">
        <is>
          <t>Yes</t>
        </is>
      </c>
      <c r="K20" s="44" t="inlineStr">
        <is>
          <t>L0_iv.5.1; L0_iv.5.2</t>
        </is>
      </c>
      <c r="L20" s="44" t="inlineStr">
        <is>
          <t>Yes</t>
        </is>
      </c>
      <c r="M20" s="44" t="inlineStr">
        <is>
          <t>L1.5.1; L1.5.2; L1.5.4</t>
        </is>
      </c>
      <c r="N20" s="44" t="inlineStr">
        <is>
          <t>Yes</t>
        </is>
      </c>
      <c r="O20" s="44" t="inlineStr">
        <is>
          <t>L2.5.1; L2.5.4</t>
        </is>
      </c>
      <c r="P20" s="44" t="inlineStr">
        <is>
          <t>Yes</t>
        </is>
      </c>
      <c r="Q20" s="44" t="inlineStr">
        <is>
          <t>L3.5.1; L3.5.4; L3.5.5; L3.5.8; L3.5.9</t>
        </is>
      </c>
      <c r="S20" s="44" t="inlineStr">
        <is>
          <t>Partial</t>
        </is>
      </c>
      <c r="T20" s="44" t="inlineStr">
        <is>
          <t>L4.5.2; L4.5.3; L4.5.4; L4.5.5</t>
        </is>
      </c>
      <c r="U20" s="44" t="inlineStr">
        <is>
          <t>Yes</t>
        </is>
      </c>
      <c r="V20" s="44" t="inlineStr">
        <is>
          <t>L5.5.1; L5.5.3</t>
        </is>
      </c>
      <c r="W20" s="44" t="inlineStr">
        <is>
          <t>Yes</t>
        </is>
      </c>
      <c r="X20" s="44" t="inlineStr">
        <is>
          <t>Q0.5.1</t>
        </is>
      </c>
      <c r="Y20" s="44" t="inlineStr">
        <is>
          <t>Yes</t>
        </is>
      </c>
      <c r="Z20" s="44" t="inlineStr">
        <is>
          <t>Q0_ii.5.1</t>
        </is>
      </c>
      <c r="AA20" s="44" t="inlineStr">
        <is>
          <t>Yes</t>
        </is>
      </c>
      <c r="AB20" s="44" t="inlineStr">
        <is>
          <t>Q0_iii.5.1</t>
        </is>
      </c>
      <c r="AC20" s="44" t="inlineStr">
        <is>
          <t>Yes</t>
        </is>
      </c>
      <c r="AD20" s="44" t="inlineStr">
        <is>
          <t>Q0_iv.5.1</t>
        </is>
      </c>
      <c r="AE20" s="44" t="inlineStr">
        <is>
          <t>Yes</t>
        </is>
      </c>
      <c r="AF20" s="44" t="inlineStr">
        <is>
          <t>Q1.5.1</t>
        </is>
      </c>
      <c r="AG20" s="44" t="inlineStr">
        <is>
          <t>Yes</t>
        </is>
      </c>
      <c r="AH20" s="44" t="inlineStr">
        <is>
          <t>Q2.5.1</t>
        </is>
      </c>
      <c r="AI20" s="44" t="inlineStr">
        <is>
          <t>Yes</t>
        </is>
      </c>
      <c r="AJ20" s="44" t="inlineStr">
        <is>
          <t>M0.5.1</t>
        </is>
      </c>
      <c r="AK20" s="44" t="inlineStr">
        <is>
          <t>Yes</t>
        </is>
      </c>
      <c r="AL20" s="44" t="inlineStr">
        <is>
          <t xml:space="preserve">M0_ii.5.1; M0_ii.5.2 </t>
        </is>
      </c>
      <c r="AM20" s="44" t="inlineStr">
        <is>
          <t>Yes</t>
        </is>
      </c>
      <c r="AN20" s="44" t="inlineStr">
        <is>
          <t>M0_iii.5.1; M0_iii.5.2; M0_iii.5.4</t>
        </is>
      </c>
      <c r="AO20" s="44" t="inlineStr">
        <is>
          <t>Yes</t>
        </is>
      </c>
      <c r="AP20" s="44" t="inlineStr">
        <is>
          <t xml:space="preserve">M0_iv.5.1; M0_iv.5.3 </t>
        </is>
      </c>
      <c r="AQ20" s="44" t="inlineStr">
        <is>
          <t>Yes</t>
        </is>
      </c>
      <c r="AR20" s="44" t="inlineStr">
        <is>
          <t>M1.5.1; M1.5.2</t>
        </is>
      </c>
      <c r="AS20" s="44" t="inlineStr">
        <is>
          <t>Yes</t>
        </is>
      </c>
      <c r="AT20" s="44" t="inlineStr">
        <is>
          <t>M2.5.1; M2.5.2; M2.5.3; M2.5.4</t>
        </is>
      </c>
      <c r="AU20" s="44" t="inlineStr">
        <is>
          <t>Yes</t>
        </is>
      </c>
      <c r="AV20" s="44" t="inlineStr">
        <is>
          <t>G0.5.1</t>
        </is>
      </c>
      <c r="AW20" s="44" t="inlineStr">
        <is>
          <t>Yes</t>
        </is>
      </c>
      <c r="AX20" t="inlineStr">
        <is>
          <t>G0_ii.5.1</t>
        </is>
      </c>
      <c r="AY20" s="44" t="inlineStr">
        <is>
          <t>Yes</t>
        </is>
      </c>
      <c r="AZ20" s="44" t="inlineStr">
        <is>
          <t xml:space="preserve">G0_iii.5.1; G0_iii.5.2 </t>
        </is>
      </c>
      <c r="BA20" s="44" t="inlineStr">
        <is>
          <t>Yes</t>
        </is>
      </c>
      <c r="BB20" s="44" t="inlineStr">
        <is>
          <t>G0_iv.5.1</t>
        </is>
      </c>
      <c r="BC20" s="44" t="inlineStr">
        <is>
          <t>Yes</t>
        </is>
      </c>
      <c r="BD20" s="44" t="inlineStr">
        <is>
          <t>G1.5.1</t>
        </is>
      </c>
      <c r="BE20" s="44" t="inlineStr">
        <is>
          <t>Yes</t>
        </is>
      </c>
      <c r="BF20" s="44" t="inlineStr">
        <is>
          <t>G2.5.1</t>
        </is>
      </c>
      <c r="BG20" s="44" t="inlineStr">
        <is>
          <t>Yes</t>
        </is>
      </c>
      <c r="BH20" s="44" t="inlineStr">
        <is>
          <t>L0a.5.1; L0a.5.2; L0a.5.3</t>
        </is>
      </c>
      <c r="BI20" s="44" t="inlineStr">
        <is>
          <t>Yes</t>
        </is>
      </c>
      <c r="BJ20" s="44" t="inlineStr">
        <is>
          <t>L0b.5.1</t>
        </is>
      </c>
      <c r="BL20" s="44">
        <f>COUNTIF(D20:BJ20,"Yes")</f>
        <v/>
      </c>
      <c r="BM20" s="44">
        <f>COUNTIF(D20:BJ20,"No")</f>
        <v/>
      </c>
      <c r="BN20" s="44">
        <f>COUNTIF(D20:BJ20,"Partial")</f>
        <v/>
      </c>
      <c r="BP20" s="44">
        <f>COUNTIF(D20:BF20,"Yes")-COUNTIF(P20:V20,"Yes")</f>
        <v/>
      </c>
      <c r="BQ20" s="44">
        <f>COUNTIF(D20:BF20,"No")-COUNTIF(P20:V20,"No")</f>
        <v/>
      </c>
      <c r="BR20" s="44">
        <f>COUNTIF(D20:BF20,"Partial")-COUNTIF(P20:V20,"Partial")</f>
        <v/>
      </c>
    </row>
    <row r="21" ht="29.25" customHeight="1" s="54">
      <c r="B21" s="44" t="inlineStr">
        <is>
          <t>H.5.2</t>
        </is>
      </c>
      <c r="C21" s="44" t="inlineStr">
        <is>
          <t>Employee Privileges Record Maintenance</t>
        </is>
      </c>
      <c r="D21" s="44" t="inlineStr">
        <is>
          <t>Partial</t>
        </is>
      </c>
      <c r="E21" s="44" t="inlineStr">
        <is>
          <t>L0.5.2</t>
        </is>
      </c>
      <c r="F21" s="44" t="inlineStr">
        <is>
          <t>Partial</t>
        </is>
      </c>
      <c r="G21" s="44" t="inlineStr">
        <is>
          <t>L0_ii.5.4</t>
        </is>
      </c>
      <c r="H21" s="44" t="inlineStr">
        <is>
          <t>Partial</t>
        </is>
      </c>
      <c r="I21" s="44" t="inlineStr">
        <is>
          <t>L0_iii.5.3</t>
        </is>
      </c>
      <c r="J21" s="44" t="inlineStr">
        <is>
          <t>Partial</t>
        </is>
      </c>
      <c r="K21" s="44" t="inlineStr">
        <is>
          <t>L0_iv.5.1</t>
        </is>
      </c>
      <c r="L21" s="44" t="inlineStr">
        <is>
          <t>No</t>
        </is>
      </c>
      <c r="N21" s="44" t="inlineStr">
        <is>
          <t>No</t>
        </is>
      </c>
      <c r="P21" s="44" t="inlineStr">
        <is>
          <t>No</t>
        </is>
      </c>
      <c r="S21" s="44" t="inlineStr">
        <is>
          <t>No</t>
        </is>
      </c>
      <c r="U21" s="44" t="inlineStr">
        <is>
          <t>Yes</t>
        </is>
      </c>
      <c r="V21" s="44" t="inlineStr">
        <is>
          <t>L5.5.2</t>
        </is>
      </c>
      <c r="W21" s="44" t="inlineStr">
        <is>
          <t>Yes</t>
        </is>
      </c>
      <c r="X21" s="44" t="inlineStr">
        <is>
          <t>Q0.5.1</t>
        </is>
      </c>
      <c r="Y21" s="44" t="inlineStr">
        <is>
          <t>Yes</t>
        </is>
      </c>
      <c r="Z21" s="44" t="inlineStr">
        <is>
          <t>Q0_ii.5.1</t>
        </is>
      </c>
      <c r="AA21" s="44" t="inlineStr">
        <is>
          <t>Yes</t>
        </is>
      </c>
      <c r="AB21" s="44" t="inlineStr">
        <is>
          <t>Q0_iii.5.1</t>
        </is>
      </c>
      <c r="AC21" s="44" t="inlineStr">
        <is>
          <t>Yes</t>
        </is>
      </c>
      <c r="AD21" s="44" t="inlineStr">
        <is>
          <t>Q0_iv.5.1</t>
        </is>
      </c>
      <c r="AE21" s="44" t="inlineStr">
        <is>
          <t>Yes</t>
        </is>
      </c>
      <c r="AF21" s="44" t="inlineStr">
        <is>
          <t>Q1.5.1</t>
        </is>
      </c>
      <c r="AG21" s="44" t="inlineStr">
        <is>
          <t>No</t>
        </is>
      </c>
      <c r="AI21" s="44" t="inlineStr">
        <is>
          <t>No</t>
        </is>
      </c>
      <c r="AK21" s="44" t="inlineStr">
        <is>
          <t>No</t>
        </is>
      </c>
      <c r="AM21" s="44" t="inlineStr">
        <is>
          <t>No</t>
        </is>
      </c>
      <c r="AO21" s="44" t="inlineStr">
        <is>
          <t>No</t>
        </is>
      </c>
      <c r="AQ21" s="44" t="inlineStr">
        <is>
          <t>No</t>
        </is>
      </c>
      <c r="AS21" s="44" t="inlineStr">
        <is>
          <t>No</t>
        </is>
      </c>
      <c r="AU21" s="44" t="inlineStr">
        <is>
          <t>Yes</t>
        </is>
      </c>
      <c r="AV21" s="44" t="inlineStr">
        <is>
          <t>G0.5.2</t>
        </is>
      </c>
      <c r="AW21" s="44" t="inlineStr">
        <is>
          <t>Yes</t>
        </is>
      </c>
      <c r="AX21" t="inlineStr">
        <is>
          <t>G0_ii.5.1</t>
        </is>
      </c>
      <c r="AY21" s="44" t="inlineStr">
        <is>
          <t>Yes</t>
        </is>
      </c>
      <c r="AZ21" s="44" t="inlineStr">
        <is>
          <t xml:space="preserve">G0_iii.5.1; G0_iii.5.2 </t>
        </is>
      </c>
      <c r="BA21" s="44" t="inlineStr">
        <is>
          <t>Yes</t>
        </is>
      </c>
      <c r="BB21" s="44" t="inlineStr">
        <is>
          <t>G0_iv.5.1</t>
        </is>
      </c>
      <c r="BC21" s="44" t="inlineStr">
        <is>
          <t>No</t>
        </is>
      </c>
      <c r="BE21" s="44" t="inlineStr">
        <is>
          <t>Yes</t>
        </is>
      </c>
      <c r="BF21" s="44" t="inlineStr">
        <is>
          <t>G2.5.2; G2.5.3</t>
        </is>
      </c>
      <c r="BG21" s="44" t="inlineStr">
        <is>
          <t>No</t>
        </is>
      </c>
      <c r="BI21" s="44" t="inlineStr">
        <is>
          <t>No</t>
        </is>
      </c>
      <c r="BL21" s="44">
        <f>COUNTIF(D21:BJ21,"Yes")</f>
        <v/>
      </c>
      <c r="BM21" s="44">
        <f>COUNTIF(D21:BJ21,"No")</f>
        <v/>
      </c>
      <c r="BN21" s="44">
        <f>COUNTIF(D21:BJ21,"Partial")</f>
        <v/>
      </c>
      <c r="BP21" s="44">
        <f>COUNTIF(D21:BF21,"Yes")-COUNTIF(P21:V21,"Yes")</f>
        <v/>
      </c>
      <c r="BQ21" s="44">
        <f>COUNTIF(D21:BF21,"No")-COUNTIF(P21:V21,"No")</f>
        <v/>
      </c>
      <c r="BR21" s="44">
        <f>COUNTIF(D21:BF21,"Partial")-COUNTIF(P21:V21,"Partial")</f>
        <v/>
      </c>
    </row>
    <row r="22" ht="87" customHeight="1" s="54">
      <c r="A22" s="44" t="inlineStr">
        <is>
          <t>The {organization} shall regularly review {users} with privileged access rights to ensure that their {duties}, {roles}, {responsibilities}, and {competence} still justify such access</t>
        </is>
      </c>
      <c r="B22" s="44" t="inlineStr">
        <is>
          <t>H.6.1</t>
        </is>
      </c>
      <c r="C22" s="44" t="inlineStr">
        <is>
          <t>Privileged Access Review</t>
        </is>
      </c>
      <c r="D22" s="44" t="inlineStr">
        <is>
          <t>Yes</t>
        </is>
      </c>
      <c r="E22" s="44" t="inlineStr">
        <is>
          <t>L0.6.1</t>
        </is>
      </c>
      <c r="F22" s="44" t="inlineStr">
        <is>
          <t>Yes</t>
        </is>
      </c>
      <c r="G22" t="inlineStr">
        <is>
          <t>L0_ii.6.1</t>
        </is>
      </c>
      <c r="H22" s="44" t="inlineStr">
        <is>
          <t>Partial</t>
        </is>
      </c>
      <c r="I22" s="44" t="inlineStr">
        <is>
          <t>L0_iii.6.1; L0_iii.6.2; L0_iii.6.3</t>
        </is>
      </c>
      <c r="J22" s="44" t="inlineStr">
        <is>
          <t>Partial</t>
        </is>
      </c>
      <c r="K22" s="44" t="inlineStr">
        <is>
          <t>L0_iv.6.1; L0_iv.6.2; L0_iv.6.3</t>
        </is>
      </c>
      <c r="L22" s="44" t="inlineStr">
        <is>
          <t>Yes</t>
        </is>
      </c>
      <c r="M22" s="44" t="inlineStr">
        <is>
          <t>L1.6.1; L1.6.2; L1.6.3; L1.6.4; L1.6.5</t>
        </is>
      </c>
      <c r="N22" s="44" t="inlineStr">
        <is>
          <t>Yes</t>
        </is>
      </c>
      <c r="O22" s="44" t="inlineStr">
        <is>
          <t>L2.6.1</t>
        </is>
      </c>
      <c r="P22" s="44" t="inlineStr">
        <is>
          <t>Yes</t>
        </is>
      </c>
      <c r="Q22" s="44" t="inlineStr">
        <is>
          <t>L3.6.1; L3.6.2; L3.6.3; L3.6.4; L3.6.5; L3.6.6; L3.6.7</t>
        </is>
      </c>
      <c r="S22" s="44" t="inlineStr">
        <is>
          <t>Yes</t>
        </is>
      </c>
      <c r="T22" s="44" t="inlineStr">
        <is>
          <t>L4.6.1</t>
        </is>
      </c>
      <c r="U22" s="44" t="inlineStr">
        <is>
          <t>Yes</t>
        </is>
      </c>
      <c r="V22" s="44" t="inlineStr">
        <is>
          <t>L5.6.1; L5.6.2; L5.6.3</t>
        </is>
      </c>
      <c r="W22" s="44" t="inlineStr">
        <is>
          <t>Yes</t>
        </is>
      </c>
      <c r="X22" s="44" t="inlineStr">
        <is>
          <t>Q0.6.1</t>
        </is>
      </c>
      <c r="Y22" s="44" t="inlineStr">
        <is>
          <t>Yes</t>
        </is>
      </c>
      <c r="Z22" t="inlineStr">
        <is>
          <t>Q0_ii.6.1</t>
        </is>
      </c>
      <c r="AA22" s="44" t="inlineStr">
        <is>
          <t>Yes</t>
        </is>
      </c>
      <c r="AB22" s="44" t="inlineStr">
        <is>
          <t xml:space="preserve">Q0_iii.6.1; Q0_iii.6.2; Q0_iii.6.3; Q0_iii.6.4; Q0_iii.6.5; Q0_iii.6.6 </t>
        </is>
      </c>
      <c r="AC22" s="44" t="inlineStr">
        <is>
          <t>Yes</t>
        </is>
      </c>
      <c r="AD22" s="44" t="inlineStr">
        <is>
          <t xml:space="preserve">Q0_iv.6.1; Q0_iv.6.2; Q0_iv.6.3 </t>
        </is>
      </c>
      <c r="AE22" s="44" t="inlineStr">
        <is>
          <t>Yes</t>
        </is>
      </c>
      <c r="AF22" s="44" t="inlineStr">
        <is>
          <t>Q1.6.1</t>
        </is>
      </c>
      <c r="AG22" s="44" t="inlineStr">
        <is>
          <t>Yes</t>
        </is>
      </c>
      <c r="AH22" s="44" t="inlineStr">
        <is>
          <t>Q2.6.1</t>
        </is>
      </c>
      <c r="AI22" s="44" t="inlineStr">
        <is>
          <t>Yes</t>
        </is>
      </c>
      <c r="AJ22" s="44" t="inlineStr">
        <is>
          <t>M0.6.1</t>
        </is>
      </c>
      <c r="AK22" s="44" t="inlineStr">
        <is>
          <t>Yes</t>
        </is>
      </c>
      <c r="AL22" s="44" t="inlineStr">
        <is>
          <t xml:space="preserve">M0_ii.6.1; M0_ii.6.2; M0_ii.6.3; M0_ii.6.4 </t>
        </is>
      </c>
      <c r="AM22" s="44" t="inlineStr">
        <is>
          <t>Yes</t>
        </is>
      </c>
      <c r="AN22" s="44" t="inlineStr">
        <is>
          <t>M0_iii.6.1; M0_iii.6.2; M0_iii.6.3</t>
        </is>
      </c>
      <c r="AO22" s="44" t="inlineStr">
        <is>
          <t>Yes</t>
        </is>
      </c>
      <c r="AP22" s="44" t="inlineStr">
        <is>
          <t>M0_iv.6.1; M0_iv.6.2; M0_iv.6.3; M0_iv.6.4; M0_iv.6.5</t>
        </is>
      </c>
      <c r="AQ22" s="44" t="inlineStr">
        <is>
          <t>Partial</t>
        </is>
      </c>
      <c r="AR22" s="44" t="inlineStr">
        <is>
          <t>M1.6.1</t>
        </is>
      </c>
      <c r="AS22" s="44" t="inlineStr">
        <is>
          <t>Yes</t>
        </is>
      </c>
      <c r="AT22" s="44" t="inlineStr">
        <is>
          <t>M2.6.1; M2.6.2</t>
        </is>
      </c>
      <c r="AU22" s="44" t="inlineStr">
        <is>
          <t>Yes</t>
        </is>
      </c>
      <c r="AV22" s="44" t="inlineStr">
        <is>
          <t>G0.6.1</t>
        </is>
      </c>
      <c r="AW22" s="44" t="inlineStr">
        <is>
          <t>Yes</t>
        </is>
      </c>
      <c r="AX22" s="44" t="inlineStr">
        <is>
          <t>G0_ii.6.1; G0_ii.6.2; G0_ii.6.3</t>
        </is>
      </c>
      <c r="AY22" s="44" t="inlineStr">
        <is>
          <t>Yes</t>
        </is>
      </c>
      <c r="AZ22" t="inlineStr">
        <is>
          <t>G0_iii.6.1</t>
        </is>
      </c>
      <c r="BA22" s="44" t="inlineStr">
        <is>
          <t>Yes</t>
        </is>
      </c>
      <c r="BB22" t="inlineStr">
        <is>
          <t>G0_iv.6.1</t>
        </is>
      </c>
      <c r="BC22" s="44" t="inlineStr">
        <is>
          <t>Yes</t>
        </is>
      </c>
      <c r="BD22" s="44" t="inlineStr">
        <is>
          <t>G1.6.1; G1.6.2; G1.6.3</t>
        </is>
      </c>
      <c r="BE22" s="44" t="inlineStr">
        <is>
          <t>Yes</t>
        </is>
      </c>
      <c r="BF22" s="44" t="inlineStr">
        <is>
          <t>G2.6.1</t>
        </is>
      </c>
      <c r="BG22" s="44" t="inlineStr">
        <is>
          <t>Yes</t>
        </is>
      </c>
      <c r="BH22" s="44" t="inlineStr">
        <is>
          <t>L0a.6.1</t>
        </is>
      </c>
      <c r="BI22" s="44" t="inlineStr">
        <is>
          <t>Yes</t>
        </is>
      </c>
      <c r="BJ22" s="44" t="inlineStr">
        <is>
          <t>L0b.6.1; L0b.6.2; L0b.6.3; L0b.6.4; L0b.6.5</t>
        </is>
      </c>
      <c r="BL22" s="44">
        <f>COUNTIF(D22:BJ22,"Yes")</f>
        <v/>
      </c>
      <c r="BM22" s="44">
        <f>COUNTIF(D22:BJ22,"No")</f>
        <v/>
      </c>
      <c r="BN22" s="44">
        <f>COUNTIF(D22:BJ22,"Partial")</f>
        <v/>
      </c>
      <c r="BP22" s="44">
        <f>COUNTIF(D22:BF22,"Yes")-COUNTIF(P22:V22,"Yes")</f>
        <v/>
      </c>
      <c r="BQ22" s="44">
        <f>COUNTIF(D22:BF22,"No")-COUNTIF(P22:V22,"No")</f>
        <v/>
      </c>
      <c r="BR22" s="44">
        <f>COUNTIF(D22:BF22,"Partial")-COUNTIF(P22:V22,"Partial")</f>
        <v/>
      </c>
    </row>
    <row r="23" ht="195.6" customHeight="1" s="54">
      <c r="A23" s="49" t="inlineStr">
        <is>
          <t>{Connection} of {systems} to the {network} must be restricted and filtered, e.g., using firewalls.</t>
        </is>
      </c>
      <c r="B23" s="44" t="inlineStr">
        <is>
          <t>H.7.1</t>
        </is>
      </c>
      <c r="C23" s="44" t="inlineStr">
        <is>
          <t>Internal Network Trust</t>
        </is>
      </c>
      <c r="D23" s="44" t="inlineStr">
        <is>
          <t>Yes</t>
        </is>
      </c>
      <c r="E23" s="44" t="inlineStr">
        <is>
          <t>L0.7.1</t>
        </is>
      </c>
      <c r="F23" s="44" t="inlineStr">
        <is>
          <t>Yes</t>
        </is>
      </c>
      <c r="G23" s="44" t="inlineStr">
        <is>
          <t>L0_ii.7.1; L0_ii.7.3; L0_ii.7.4; L0_ii.7.5</t>
        </is>
      </c>
      <c r="H23" s="44" t="inlineStr">
        <is>
          <t>Yes</t>
        </is>
      </c>
      <c r="I23" t="inlineStr">
        <is>
          <t>L0_iii.7.4</t>
        </is>
      </c>
      <c r="J23" s="44" t="inlineStr">
        <is>
          <t>Yes</t>
        </is>
      </c>
      <c r="K23" s="44" t="inlineStr">
        <is>
          <t>L0_iv.7.1; L0_iv.7.2; L0_iv.7.3</t>
        </is>
      </c>
      <c r="L23" s="44" t="inlineStr">
        <is>
          <t>Yes</t>
        </is>
      </c>
      <c r="M23" s="44" t="inlineStr">
        <is>
          <t>L1.7.1; L1.7.4</t>
        </is>
      </c>
      <c r="N23" s="44" t="inlineStr">
        <is>
          <t>Yes</t>
        </is>
      </c>
      <c r="O23" s="44" t="inlineStr">
        <is>
          <t>L2.7.1; L2.7.2</t>
        </is>
      </c>
      <c r="P23" s="44" t="inlineStr">
        <is>
          <t>Yes</t>
        </is>
      </c>
      <c r="Q23" s="44" t="inlineStr">
        <is>
          <t>L3.7.2; L3.7.3; L3.7.7; L3.7.9; L3.7.10; L3.7.11; L3.7.12; L3.7.13; L3.7.15; L3.7.16; L3.7.17; L3.7.18; L3.7.19; L3.7.20; L3.7.21; L3.7.22; L3.7.23; L3.7.24; L3.7.25; L3.7.26; L3.7.27; L3.7.28; L3.7.29; L3.7.30; L3.7.31; L3.7.32</t>
        </is>
      </c>
      <c r="S23" s="44" t="inlineStr">
        <is>
          <t>Partial</t>
        </is>
      </c>
      <c r="T23" s="44" t="inlineStr">
        <is>
          <t>L4.7.3</t>
        </is>
      </c>
      <c r="U23" s="44" t="inlineStr">
        <is>
          <t>No</t>
        </is>
      </c>
      <c r="W23" s="44" t="inlineStr">
        <is>
          <t>Partial</t>
        </is>
      </c>
      <c r="X23" s="44" t="inlineStr">
        <is>
          <t>Q0.7.1</t>
        </is>
      </c>
      <c r="Y23" s="44" t="inlineStr">
        <is>
          <t>Partial</t>
        </is>
      </c>
      <c r="Z23" s="44" t="inlineStr">
        <is>
          <t>Q0_ii.7.1; Q0_ii.7.2</t>
        </is>
      </c>
      <c r="AA23" s="44" t="inlineStr">
        <is>
          <t>Partial</t>
        </is>
      </c>
      <c r="AB23" t="inlineStr">
        <is>
          <t>Q0_iii.7.1</t>
        </is>
      </c>
      <c r="AC23" s="44" t="inlineStr">
        <is>
          <t>Partial</t>
        </is>
      </c>
      <c r="AD23" s="44" t="inlineStr">
        <is>
          <t>Q0_iv.7.1; Q0_iv.7.2</t>
        </is>
      </c>
      <c r="AE23" s="44" t="inlineStr">
        <is>
          <t>Partial</t>
        </is>
      </c>
      <c r="AF23" s="44" t="inlineStr">
        <is>
          <t>Q1.7.1</t>
        </is>
      </c>
      <c r="AG23" s="44" t="inlineStr">
        <is>
          <t>Partial</t>
        </is>
      </c>
      <c r="AH23" s="44" t="inlineStr">
        <is>
          <t>Q2.7.1</t>
        </is>
      </c>
      <c r="AI23" s="44" t="inlineStr">
        <is>
          <t>Partial</t>
        </is>
      </c>
      <c r="AJ23" s="44" t="inlineStr">
        <is>
          <t>M0.7.3</t>
        </is>
      </c>
      <c r="AK23" s="44" t="inlineStr">
        <is>
          <t>Partial</t>
        </is>
      </c>
      <c r="AL23" t="inlineStr">
        <is>
          <t>M0_ii.7.3</t>
        </is>
      </c>
      <c r="AM23" s="44" t="inlineStr">
        <is>
          <t>Partial</t>
        </is>
      </c>
      <c r="AN23" t="inlineStr">
        <is>
          <t>M0_iii.7.1</t>
        </is>
      </c>
      <c r="AO23" s="44" t="inlineStr">
        <is>
          <t>Partial</t>
        </is>
      </c>
      <c r="AP23" t="inlineStr">
        <is>
          <t>M0_iv.7.1</t>
        </is>
      </c>
      <c r="AQ23" s="44" t="inlineStr">
        <is>
          <t>Partial</t>
        </is>
      </c>
      <c r="AR23" s="44" t="inlineStr">
        <is>
          <t>M1.6.2; M1.6.3</t>
        </is>
      </c>
      <c r="AS23" s="44" t="inlineStr">
        <is>
          <t>Partial</t>
        </is>
      </c>
      <c r="AT23" s="44" t="inlineStr">
        <is>
          <t>M2.7.1; M2.7.3; M2.7.4</t>
        </is>
      </c>
      <c r="AU23" s="44" t="inlineStr">
        <is>
          <t>Yes</t>
        </is>
      </c>
      <c r="AV23" s="44" t="inlineStr">
        <is>
          <t>G0.7.1</t>
        </is>
      </c>
      <c r="AW23" s="44" t="inlineStr">
        <is>
          <t>Yes</t>
        </is>
      </c>
      <c r="AX23" s="44" t="inlineStr">
        <is>
          <t>G0_ii.7.1; G0_ii.7.2; G0_ii.7.3; G0_ii.7.4; G0_ii.7.5</t>
        </is>
      </c>
      <c r="AY23" s="44" t="inlineStr">
        <is>
          <t>Yes</t>
        </is>
      </c>
      <c r="AZ23" s="44" t="inlineStr">
        <is>
          <t>G0_iii.7.1</t>
        </is>
      </c>
      <c r="BA23" s="44" t="inlineStr">
        <is>
          <t>Yes</t>
        </is>
      </c>
      <c r="BB23" s="44" t="inlineStr">
        <is>
          <t xml:space="preserve">G0_iv.7.1; G0_iv.7.2; G0_iv.7.3; G0_iv.7.4 </t>
        </is>
      </c>
      <c r="BC23" s="44" t="inlineStr">
        <is>
          <t>Yes</t>
        </is>
      </c>
      <c r="BD23" s="44" t="inlineStr">
        <is>
          <t>G1.7.1, G1.7.2; G1.7.3</t>
        </is>
      </c>
      <c r="BE23" s="44" t="inlineStr">
        <is>
          <t>Partial</t>
        </is>
      </c>
      <c r="BF23" s="44" t="inlineStr">
        <is>
          <t>G2.7.1; G2.7.2; G2.7.3; G2.7.4</t>
        </is>
      </c>
      <c r="BG23" s="44" t="inlineStr">
        <is>
          <t>Yes</t>
        </is>
      </c>
      <c r="BH23" s="44" t="inlineStr">
        <is>
          <t>L0a.7.1; L0a.7.3</t>
        </is>
      </c>
      <c r="BI23" s="44" t="inlineStr">
        <is>
          <t>Yes</t>
        </is>
      </c>
      <c r="BJ23" s="44" t="inlineStr">
        <is>
          <t>L0b.7.1</t>
        </is>
      </c>
      <c r="BL23" s="44">
        <f>COUNTIF(D23:BJ23,"Yes")</f>
        <v/>
      </c>
      <c r="BM23" s="44">
        <f>COUNTIF(D23:BJ23,"No")</f>
        <v/>
      </c>
      <c r="BN23" s="44">
        <f>COUNTIF(D23:BJ23,"Partial")</f>
        <v/>
      </c>
      <c r="BP23" s="44">
        <f>COUNTIF(D23:BF23,"Yes")-COUNTIF(P23:V23,"Yes")</f>
        <v/>
      </c>
      <c r="BQ23" s="44">
        <f>COUNTIF(D23:BF23,"No")-COUNTIF(P23:V23,"No")</f>
        <v/>
      </c>
      <c r="BR23" s="44">
        <f>COUNTIF(D23:BF23,"Partial")-COUNTIF(P23:V23,"Partial")</f>
        <v/>
      </c>
    </row>
    <row r="24" ht="29.25" customHeight="1" s="54">
      <c r="B24" s="44" t="inlineStr">
        <is>
          <t>H.7.2</t>
        </is>
      </c>
      <c r="C24" s="44" t="inlineStr">
        <is>
          <t>Firewall for Perimeter Network Access</t>
        </is>
      </c>
      <c r="D24" s="44" t="inlineStr">
        <is>
          <t>No</t>
        </is>
      </c>
      <c r="F24" s="44" t="inlineStr">
        <is>
          <t>Yes</t>
        </is>
      </c>
      <c r="G24" t="inlineStr">
        <is>
          <t>L0_ii.7.6</t>
        </is>
      </c>
      <c r="H24" s="44" t="inlineStr">
        <is>
          <t>Yes</t>
        </is>
      </c>
      <c r="I24" t="inlineStr">
        <is>
          <t>L0_iii.7.3</t>
        </is>
      </c>
      <c r="J24" s="44" t="inlineStr">
        <is>
          <t>Yes</t>
        </is>
      </c>
      <c r="K24" s="44" t="inlineStr">
        <is>
          <t>L0_iv.7.4</t>
        </is>
      </c>
      <c r="L24" s="44" t="inlineStr">
        <is>
          <t>Yes</t>
        </is>
      </c>
      <c r="M24" s="44" t="inlineStr">
        <is>
          <t>L1.7.3</t>
        </is>
      </c>
      <c r="N24" s="44" t="inlineStr">
        <is>
          <t>Yes</t>
        </is>
      </c>
      <c r="O24" s="44" t="inlineStr">
        <is>
          <t>L2.7.4</t>
        </is>
      </c>
      <c r="P24" s="44" t="inlineStr">
        <is>
          <t>Yes</t>
        </is>
      </c>
      <c r="Q24" s="44" t="inlineStr">
        <is>
          <t>L3.7.33</t>
        </is>
      </c>
      <c r="S24" s="44" t="inlineStr">
        <is>
          <t>No</t>
        </is>
      </c>
      <c r="U24" s="44" t="inlineStr">
        <is>
          <t>No</t>
        </is>
      </c>
      <c r="W24" s="44" t="inlineStr">
        <is>
          <t>No</t>
        </is>
      </c>
      <c r="Y24" s="44" t="inlineStr">
        <is>
          <t>No</t>
        </is>
      </c>
      <c r="Z24" s="44" t="inlineStr">
        <is>
          <t>Q0_ii.7.1</t>
        </is>
      </c>
      <c r="AA24" s="44" t="inlineStr">
        <is>
          <t>No</t>
        </is>
      </c>
      <c r="AC24" s="44" t="inlineStr">
        <is>
          <t>No</t>
        </is>
      </c>
      <c r="AE24" s="44" t="inlineStr">
        <is>
          <t>No</t>
        </is>
      </c>
      <c r="AG24" s="44" t="inlineStr">
        <is>
          <t>Yes</t>
        </is>
      </c>
      <c r="AH24" s="44" t="inlineStr">
        <is>
          <t>Q2.7.1</t>
        </is>
      </c>
      <c r="AI24" s="44" t="inlineStr">
        <is>
          <t>Partial</t>
        </is>
      </c>
      <c r="AJ24" s="44" t="inlineStr">
        <is>
          <t>M0.7.2</t>
        </is>
      </c>
      <c r="AK24" s="44" t="inlineStr">
        <is>
          <t>No</t>
        </is>
      </c>
      <c r="AM24" s="44" t="inlineStr">
        <is>
          <t>No</t>
        </is>
      </c>
      <c r="AO24" s="44" t="inlineStr">
        <is>
          <t>Partial</t>
        </is>
      </c>
      <c r="AP24" s="44" t="inlineStr">
        <is>
          <t>M0_iv.7.2; M0_iv.7.4</t>
        </is>
      </c>
      <c r="AQ24" s="44" t="inlineStr">
        <is>
          <t>Partial</t>
        </is>
      </c>
      <c r="AR24" s="44" t="inlineStr">
        <is>
          <t>M1.6.2; M1.6.3</t>
        </is>
      </c>
      <c r="AS24" s="44" t="inlineStr">
        <is>
          <t>Partial</t>
        </is>
      </c>
      <c r="AT24" s="44" t="inlineStr">
        <is>
          <t>M2.7.1; M2.7.3; M2.7.4</t>
        </is>
      </c>
      <c r="AU24" s="44" t="inlineStr">
        <is>
          <t>Yes</t>
        </is>
      </c>
      <c r="AV24" s="44" t="inlineStr">
        <is>
          <t>G0.7.2</t>
        </is>
      </c>
      <c r="AW24" s="44" t="inlineStr">
        <is>
          <t>No</t>
        </is>
      </c>
      <c r="AY24" s="44" t="inlineStr">
        <is>
          <t>Yes</t>
        </is>
      </c>
      <c r="AZ24" s="44" t="inlineStr">
        <is>
          <t>G0_iii.7.2</t>
        </is>
      </c>
      <c r="BA24" s="44" t="inlineStr">
        <is>
          <t>Yes</t>
        </is>
      </c>
      <c r="BB24" t="inlineStr">
        <is>
          <t>G0_iv.7.2</t>
        </is>
      </c>
      <c r="BC24" s="44" t="inlineStr">
        <is>
          <t>No</t>
        </is>
      </c>
      <c r="BE24" s="44" t="inlineStr">
        <is>
          <t>No</t>
        </is>
      </c>
      <c r="BG24" s="44" t="inlineStr">
        <is>
          <t>No</t>
        </is>
      </c>
      <c r="BI24" s="44" t="inlineStr">
        <is>
          <t>No</t>
        </is>
      </c>
      <c r="BL24" s="44">
        <f>COUNTIF(D24:BJ24,"Yes")</f>
        <v/>
      </c>
      <c r="BM24" s="44">
        <f>COUNTIF(D24:BJ24,"No")</f>
        <v/>
      </c>
      <c r="BN24" s="44">
        <f>COUNTIF(D24:BJ24,"Partial")</f>
        <v/>
      </c>
      <c r="BP24" s="44">
        <f>COUNTIF(D24:BF24,"Yes")-COUNTIF(P24:V24,"Yes")</f>
        <v/>
      </c>
      <c r="BQ24" s="44">
        <f>COUNTIF(D24:BF24,"No")-COUNTIF(P24:V24,"No")</f>
        <v/>
      </c>
      <c r="BR24" s="44">
        <f>COUNTIF(D24:BF24,"Partial")-COUNTIF(P24:V24,"Partial")</f>
        <v/>
      </c>
    </row>
    <row r="25">
      <c r="B25" s="44" t="inlineStr">
        <is>
          <t>H.7.3</t>
        </is>
      </c>
      <c r="C25" s="44" t="inlineStr">
        <is>
          <t>Limited Access from Perimeter Networks</t>
        </is>
      </c>
      <c r="D25" s="44" t="inlineStr">
        <is>
          <t>No</t>
        </is>
      </c>
      <c r="F25" s="44" t="inlineStr">
        <is>
          <t>No</t>
        </is>
      </c>
      <c r="H25" s="44" t="inlineStr">
        <is>
          <t>Yes</t>
        </is>
      </c>
      <c r="I25" t="inlineStr">
        <is>
          <t>L0_iii.7.7</t>
        </is>
      </c>
      <c r="J25" s="44" t="inlineStr">
        <is>
          <t>Yes</t>
        </is>
      </c>
      <c r="K25" s="44" t="inlineStr">
        <is>
          <t>L0_iv.7.4</t>
        </is>
      </c>
      <c r="L25" s="44" t="inlineStr">
        <is>
          <t>No</t>
        </is>
      </c>
      <c r="N25" s="44" t="inlineStr">
        <is>
          <t>Yes</t>
        </is>
      </c>
      <c r="O25" s="44" t="inlineStr">
        <is>
          <t>L2.7.5</t>
        </is>
      </c>
      <c r="P25" s="44" t="inlineStr">
        <is>
          <t>Yes</t>
        </is>
      </c>
      <c r="Q25" s="44" t="inlineStr">
        <is>
          <t>L3.7.1; L3.7.14</t>
        </is>
      </c>
      <c r="S25" s="44" t="inlineStr">
        <is>
          <t>No</t>
        </is>
      </c>
      <c r="U25" s="44" t="inlineStr">
        <is>
          <t>No</t>
        </is>
      </c>
      <c r="W25" s="44" t="inlineStr">
        <is>
          <t>Yes</t>
        </is>
      </c>
      <c r="X25" s="44" t="inlineStr">
        <is>
          <t>Q0.7.1</t>
        </is>
      </c>
      <c r="Y25" s="44" t="inlineStr">
        <is>
          <t>Yes</t>
        </is>
      </c>
      <c r="AA25" s="44" t="inlineStr">
        <is>
          <t>Yes</t>
        </is>
      </c>
      <c r="AB25" t="inlineStr">
        <is>
          <t>Q0_iii.7.3</t>
        </is>
      </c>
      <c r="AC25" s="44" t="inlineStr">
        <is>
          <t>Yes</t>
        </is>
      </c>
      <c r="AD25" s="44" t="inlineStr">
        <is>
          <t>Q0_iv.7.1</t>
        </is>
      </c>
      <c r="AE25" s="44" t="inlineStr">
        <is>
          <t>No</t>
        </is>
      </c>
      <c r="AG25" s="44" t="inlineStr">
        <is>
          <t>No</t>
        </is>
      </c>
      <c r="AI25" s="44" t="inlineStr">
        <is>
          <t>No</t>
        </is>
      </c>
      <c r="AK25" s="44" t="inlineStr">
        <is>
          <t>No</t>
        </is>
      </c>
      <c r="AM25" s="44" t="inlineStr">
        <is>
          <t>No</t>
        </is>
      </c>
      <c r="AO25" s="44" t="inlineStr">
        <is>
          <t>No</t>
        </is>
      </c>
      <c r="AQ25" s="44" t="inlineStr">
        <is>
          <t>Yes</t>
        </is>
      </c>
      <c r="AR25" s="44" t="inlineStr">
        <is>
          <t>M1.6.4</t>
        </is>
      </c>
      <c r="AS25" s="44" t="inlineStr">
        <is>
          <t>No</t>
        </is>
      </c>
      <c r="AU25" s="44" t="inlineStr">
        <is>
          <t>Yes</t>
        </is>
      </c>
      <c r="AV25" s="44" t="inlineStr">
        <is>
          <t>G0.7.2</t>
        </is>
      </c>
      <c r="AW25" s="44" t="inlineStr">
        <is>
          <t>Yes</t>
        </is>
      </c>
      <c r="AX25" s="44" t="inlineStr">
        <is>
          <t>G0_ii.7.5</t>
        </is>
      </c>
      <c r="AY25" s="44" t="inlineStr">
        <is>
          <t>Yes</t>
        </is>
      </c>
      <c r="AZ25" s="44" t="inlineStr">
        <is>
          <t>G0_iii.7.2</t>
        </is>
      </c>
      <c r="BA25" s="44" t="inlineStr">
        <is>
          <t>Yes</t>
        </is>
      </c>
      <c r="BB25" t="inlineStr">
        <is>
          <t>G0_iv.7.2</t>
        </is>
      </c>
      <c r="BC25" s="44" t="inlineStr">
        <is>
          <t>No</t>
        </is>
      </c>
      <c r="BE25" s="44" t="inlineStr">
        <is>
          <t>No</t>
        </is>
      </c>
      <c r="BG25" s="44" t="inlineStr">
        <is>
          <t>No</t>
        </is>
      </c>
      <c r="BI25" s="44" t="inlineStr">
        <is>
          <t>No</t>
        </is>
      </c>
      <c r="BL25" s="44">
        <f>COUNTIF(D25:BJ25,"Yes")</f>
        <v/>
      </c>
      <c r="BM25" s="44">
        <f>COUNTIF(D25:BJ25,"No")</f>
        <v/>
      </c>
      <c r="BN25" s="44">
        <f>COUNTIF(D25:BJ25,"Partial")</f>
        <v/>
      </c>
      <c r="BP25" s="44">
        <f>COUNTIF(D25:BF25,"Yes")-COUNTIF(P25:V25,"Yes")</f>
        <v/>
      </c>
      <c r="BQ25" s="44">
        <f>COUNTIF(D25:BF25,"No")-COUNTIF(P25:V25,"No")</f>
        <v/>
      </c>
      <c r="BR25" s="44">
        <f>COUNTIF(D25:BF25,"Partial")-COUNTIF(P25:V25,"Partial")</f>
        <v/>
      </c>
    </row>
    <row r="26" ht="43.5" customHeight="1" s="54">
      <c r="A26" s="44" t="inlineStr">
        <is>
          <t>{Network administration channels} must be segregated from {other network traffic}</t>
        </is>
      </c>
      <c r="B26" s="44" t="inlineStr">
        <is>
          <t>H.8.1</t>
        </is>
      </c>
      <c r="C26" s="44" t="inlineStr">
        <is>
          <t>Maintenance Network Segregation</t>
        </is>
      </c>
      <c r="D26" s="44" t="inlineStr">
        <is>
          <t>Yes</t>
        </is>
      </c>
      <c r="E26" s="44" t="inlineStr">
        <is>
          <t>L0.8.1</t>
        </is>
      </c>
      <c r="F26" s="44" t="inlineStr">
        <is>
          <t>Yes</t>
        </is>
      </c>
      <c r="G26" s="44" t="inlineStr">
        <is>
          <t>L0_ii.8.1</t>
        </is>
      </c>
      <c r="H26" s="44" t="inlineStr">
        <is>
          <t>Yes</t>
        </is>
      </c>
      <c r="I26" s="44" t="inlineStr">
        <is>
          <t>L0_iii.8.1; L0_iii.8.2; L0_iii.8.4</t>
        </is>
      </c>
      <c r="J26" s="44" t="inlineStr">
        <is>
          <t>Yes</t>
        </is>
      </c>
      <c r="K26" s="44" t="inlineStr">
        <is>
          <t>L0_iv.8.1; L0_iv.8.3</t>
        </is>
      </c>
      <c r="L26" s="44" t="inlineStr">
        <is>
          <t>Yes</t>
        </is>
      </c>
      <c r="M26" s="44" t="inlineStr">
        <is>
          <t>L1.8.1; L1.8.2</t>
        </is>
      </c>
      <c r="N26" s="44" t="inlineStr">
        <is>
          <t>Yes</t>
        </is>
      </c>
      <c r="O26" s="44" t="inlineStr">
        <is>
          <t>L2.8.1; L2.8.2</t>
        </is>
      </c>
      <c r="P26" s="44" t="inlineStr">
        <is>
          <t>Yes</t>
        </is>
      </c>
      <c r="Q26" s="44" t="inlineStr">
        <is>
          <t>L3.8.1</t>
        </is>
      </c>
      <c r="S26" s="44" t="inlineStr">
        <is>
          <t>Yes</t>
        </is>
      </c>
      <c r="T26" s="44" t="inlineStr">
        <is>
          <t>L4.8.1</t>
        </is>
      </c>
      <c r="U26" s="44" t="inlineStr">
        <is>
          <t>Yes</t>
        </is>
      </c>
      <c r="V26" s="44" t="inlineStr">
        <is>
          <t>L5.8.1</t>
        </is>
      </c>
      <c r="W26" s="44" t="inlineStr">
        <is>
          <t>Yes</t>
        </is>
      </c>
      <c r="X26" s="44" t="inlineStr">
        <is>
          <t>Q0.8.1</t>
        </is>
      </c>
      <c r="Y26" s="44" t="inlineStr">
        <is>
          <t>Yes</t>
        </is>
      </c>
      <c r="Z26" s="44" t="inlineStr">
        <is>
          <t>Q0_ii.8.1; Q0_ii.8.2</t>
        </is>
      </c>
      <c r="AA26" s="44" t="inlineStr">
        <is>
          <t>Yes</t>
        </is>
      </c>
      <c r="AB26" s="44" t="inlineStr">
        <is>
          <t>Q0_iii.8.1</t>
        </is>
      </c>
      <c r="AC26" s="44" t="inlineStr">
        <is>
          <t>Yes</t>
        </is>
      </c>
      <c r="AD26" s="44" t="inlineStr">
        <is>
          <t>Q0_iv.8.1</t>
        </is>
      </c>
      <c r="AE26" s="44" t="inlineStr">
        <is>
          <t>Yes</t>
        </is>
      </c>
      <c r="AF26" s="44" t="inlineStr">
        <is>
          <t>Q1.8.1</t>
        </is>
      </c>
      <c r="AG26" s="44" t="inlineStr">
        <is>
          <t>Yes</t>
        </is>
      </c>
      <c r="AH26" s="44" t="inlineStr">
        <is>
          <t>Q2.8.1</t>
        </is>
      </c>
      <c r="AI26" s="44" t="inlineStr">
        <is>
          <t>Yes</t>
        </is>
      </c>
      <c r="AJ26" s="44" t="inlineStr">
        <is>
          <t>M0.8.1</t>
        </is>
      </c>
      <c r="AK26" s="44" t="inlineStr">
        <is>
          <t>Yes</t>
        </is>
      </c>
      <c r="AL26" t="inlineStr">
        <is>
          <t>M0_ii.8.1</t>
        </is>
      </c>
      <c r="AM26" s="44" t="inlineStr">
        <is>
          <t>Yes</t>
        </is>
      </c>
      <c r="AN26" t="inlineStr">
        <is>
          <t>M0_iii.8.2</t>
        </is>
      </c>
      <c r="AO26" s="44" t="inlineStr">
        <is>
          <t>Yes</t>
        </is>
      </c>
      <c r="AP26" s="44" t="inlineStr">
        <is>
          <t>M0_iv.8.3</t>
        </is>
      </c>
      <c r="AQ26" s="44" t="inlineStr">
        <is>
          <t>Yes</t>
        </is>
      </c>
      <c r="AR26" s="44" t="inlineStr">
        <is>
          <t>M1.8.1</t>
        </is>
      </c>
      <c r="AS26" s="44" t="inlineStr">
        <is>
          <t>Yes</t>
        </is>
      </c>
      <c r="AT26" s="44" t="inlineStr">
        <is>
          <t>M2.8.1</t>
        </is>
      </c>
      <c r="AU26" s="44" t="inlineStr">
        <is>
          <t>Yes</t>
        </is>
      </c>
      <c r="AV26" s="44" t="inlineStr">
        <is>
          <t>G0.8.1</t>
        </is>
      </c>
      <c r="AW26" s="44" t="inlineStr">
        <is>
          <t>Yes</t>
        </is>
      </c>
      <c r="AX26" s="44" t="inlineStr">
        <is>
          <t>G0_ii.8.1</t>
        </is>
      </c>
      <c r="AY26" s="44" t="inlineStr">
        <is>
          <t>Yes</t>
        </is>
      </c>
      <c r="AZ26" s="44" t="inlineStr">
        <is>
          <t>G0_iii.8.1; G0_iii.8.2</t>
        </is>
      </c>
      <c r="BA26" s="44" t="inlineStr">
        <is>
          <t>Yes</t>
        </is>
      </c>
      <c r="BB26" s="44" t="inlineStr">
        <is>
          <t>G0_iv.8.1</t>
        </is>
      </c>
      <c r="BC26" s="44" t="inlineStr">
        <is>
          <t>Yes</t>
        </is>
      </c>
      <c r="BD26" s="44" t="inlineStr">
        <is>
          <t>G1.8.1</t>
        </is>
      </c>
      <c r="BE26" s="44" t="inlineStr">
        <is>
          <t>Yes</t>
        </is>
      </c>
      <c r="BF26" s="44" t="inlineStr">
        <is>
          <t>G2.8.1</t>
        </is>
      </c>
      <c r="BG26" s="44" t="inlineStr">
        <is>
          <t>Yes</t>
        </is>
      </c>
      <c r="BH26" s="44" t="inlineStr">
        <is>
          <t>L0a.8.1</t>
        </is>
      </c>
      <c r="BI26" s="44" t="inlineStr">
        <is>
          <t>Yes</t>
        </is>
      </c>
      <c r="BJ26" s="44" t="inlineStr">
        <is>
          <t>L0b.8.1</t>
        </is>
      </c>
      <c r="BL26" s="44">
        <f>COUNTIF(D26:BJ26,"Yes")</f>
        <v/>
      </c>
      <c r="BM26" s="44">
        <f>COUNTIF(D26:BJ26,"No")</f>
        <v/>
      </c>
      <c r="BN26" s="44">
        <f>COUNTIF(D26:BJ26,"Partial")</f>
        <v/>
      </c>
      <c r="BP26" s="44">
        <f>COUNTIF(D26:BF26,"Yes")-COUNTIF(P26:V26,"Yes")</f>
        <v/>
      </c>
      <c r="BQ26" s="44">
        <f>COUNTIF(D26:BF26,"No")-COUNTIF(P26:V26,"No")</f>
        <v/>
      </c>
      <c r="BR26" s="44">
        <f>COUNTIF(D26:BF26,"Partial")-COUNTIF(P26:V26,"Partial")</f>
        <v/>
      </c>
    </row>
    <row r="27" ht="46.35" customHeight="1" s="54">
      <c r="A27" s="49" t="inlineStr">
        <is>
          <t>Implement cryptographic measures to safeguard {information stored} on {mobile user} {endpoint devices} or {storage media} and transmitted over {networks}</t>
        </is>
      </c>
      <c r="B27" s="44" t="inlineStr">
        <is>
          <t>H.9.1</t>
        </is>
      </c>
      <c r="C27" s="44" t="inlineStr">
        <is>
          <t>Cryptographic Safeguarding of Data Stores</t>
        </is>
      </c>
      <c r="D27" s="44" t="inlineStr">
        <is>
          <t>Yes</t>
        </is>
      </c>
      <c r="E27" s="44" t="inlineStr">
        <is>
          <t>L0.9.1; L0.9.3</t>
        </is>
      </c>
      <c r="F27" s="44" t="inlineStr">
        <is>
          <t>Yes</t>
        </is>
      </c>
      <c r="G27" t="inlineStr">
        <is>
          <t>L0_ii.9.1</t>
        </is>
      </c>
      <c r="H27" s="44" t="inlineStr">
        <is>
          <t>Yes</t>
        </is>
      </c>
      <c r="I27" s="44" t="inlineStr">
        <is>
          <t>L0_iii.9.1; L0_iii.9.2</t>
        </is>
      </c>
      <c r="J27" s="44" t="inlineStr">
        <is>
          <t>Yes</t>
        </is>
      </c>
      <c r="K27" s="44" t="inlineStr">
        <is>
          <t>L0_iv.9.1</t>
        </is>
      </c>
      <c r="L27" s="44" t="inlineStr">
        <is>
          <t>Yes</t>
        </is>
      </c>
      <c r="M27" s="44" t="inlineStr">
        <is>
          <t>L1.9.1; L1.9.2; L1.9.3; L1.9.4; L1.9.5; L1.9.6</t>
        </is>
      </c>
      <c r="N27" s="44" t="inlineStr">
        <is>
          <t>Yes</t>
        </is>
      </c>
      <c r="O27" s="44" t="inlineStr">
        <is>
          <t>L2.9.1; L2.9.2</t>
        </is>
      </c>
      <c r="P27" s="44" t="inlineStr">
        <is>
          <t>Yes</t>
        </is>
      </c>
      <c r="Q27" s="44" t="inlineStr">
        <is>
          <t>L3.9.2; L3.9.4; L3.9.6; L3.9.8; L3.9.13; L3.9.14</t>
        </is>
      </c>
      <c r="S27" s="44" t="inlineStr">
        <is>
          <t>Yes</t>
        </is>
      </c>
      <c r="T27" s="44" t="inlineStr">
        <is>
          <t>L4.9.2; L4.9.3; L4.9.5</t>
        </is>
      </c>
      <c r="U27" s="44" t="inlineStr">
        <is>
          <t>Yes</t>
        </is>
      </c>
      <c r="V27" s="44" t="inlineStr">
        <is>
          <t>L5.9.1; L5.9.3; L5.9.4</t>
        </is>
      </c>
      <c r="W27" s="44" t="inlineStr">
        <is>
          <t>Yes</t>
        </is>
      </c>
      <c r="X27" s="44" t="inlineStr">
        <is>
          <t>Q0.9.2</t>
        </is>
      </c>
      <c r="Y27" s="44" t="inlineStr">
        <is>
          <t>Yes</t>
        </is>
      </c>
      <c r="Z27" s="44" t="inlineStr">
        <is>
          <t>Q0_ii.9.1; Q0_ii.9.2; Q0_ii.9.3; Q0_ii.9.5</t>
        </is>
      </c>
      <c r="AA27" s="44" t="inlineStr">
        <is>
          <t>Yes</t>
        </is>
      </c>
      <c r="AB27" s="44" t="inlineStr">
        <is>
          <t>Q0_iii.9.2; Q0_iii.9.3</t>
        </is>
      </c>
      <c r="AC27" s="44" t="inlineStr">
        <is>
          <t>Yes</t>
        </is>
      </c>
      <c r="AD27" s="44" t="inlineStr">
        <is>
          <t>Q0_iv.9.1; Q0_iv.9.3; Q0_iv.9.4</t>
        </is>
      </c>
      <c r="AE27" s="44" t="inlineStr">
        <is>
          <t>Partial</t>
        </is>
      </c>
      <c r="AF27" s="44" t="inlineStr">
        <is>
          <t>Q1.9.1</t>
        </is>
      </c>
      <c r="AG27" s="44" t="inlineStr">
        <is>
          <t>No</t>
        </is>
      </c>
      <c r="AI27" s="44" t="inlineStr">
        <is>
          <t>Yes</t>
        </is>
      </c>
      <c r="AJ27" s="44" t="inlineStr">
        <is>
          <t>M0.9.1; M0.9.4; M0.9.6</t>
        </is>
      </c>
      <c r="AK27" s="44" t="inlineStr">
        <is>
          <t>Yes</t>
        </is>
      </c>
      <c r="AL27" t="inlineStr">
        <is>
          <t>M0_ii.9.1</t>
        </is>
      </c>
      <c r="AM27" s="44" t="inlineStr">
        <is>
          <t>Partial</t>
        </is>
      </c>
      <c r="AN27" t="inlineStr">
        <is>
          <t>M0_iii.9.1</t>
        </is>
      </c>
      <c r="AO27" s="44" t="inlineStr">
        <is>
          <t>Yes</t>
        </is>
      </c>
      <c r="AP27" s="44" t="inlineStr">
        <is>
          <t>M0_iv.9.1; M0_iv.9.2; M0_iv.9.3; M0_iv.9.4</t>
        </is>
      </c>
      <c r="AQ27" s="44" t="inlineStr">
        <is>
          <t>Yes</t>
        </is>
      </c>
      <c r="AR27" s="44" t="inlineStr">
        <is>
          <t>M1.9.1; M1.9.2; M1.9.3</t>
        </is>
      </c>
      <c r="AS27" s="44" t="inlineStr">
        <is>
          <t>Yes</t>
        </is>
      </c>
      <c r="AT27" s="44" t="inlineStr">
        <is>
          <t>M2.9.3</t>
        </is>
      </c>
      <c r="AU27" s="44" t="inlineStr">
        <is>
          <t>Yes</t>
        </is>
      </c>
      <c r="AV27" s="44" t="inlineStr">
        <is>
          <t>G0.9.4</t>
        </is>
      </c>
      <c r="AW27" s="44" t="inlineStr">
        <is>
          <t>Yes</t>
        </is>
      </c>
      <c r="AX27" t="inlineStr">
        <is>
          <t>G0_ii.9.2</t>
        </is>
      </c>
      <c r="AY27" s="44" t="inlineStr">
        <is>
          <t>Yes</t>
        </is>
      </c>
      <c r="AZ27" t="inlineStr">
        <is>
          <t>G0_iii.9.1</t>
        </is>
      </c>
      <c r="BA27" s="44" t="inlineStr">
        <is>
          <t>Yes</t>
        </is>
      </c>
      <c r="BB27" s="44" t="inlineStr">
        <is>
          <t>G0_iv.9.1; G0_iv.9.4</t>
        </is>
      </c>
      <c r="BC27" s="44" t="inlineStr">
        <is>
          <t>Yes</t>
        </is>
      </c>
      <c r="BD27" s="44" t="inlineStr">
        <is>
          <t>G1.9.1; G1.9.3</t>
        </is>
      </c>
      <c r="BE27" s="44" t="inlineStr">
        <is>
          <t>Yes</t>
        </is>
      </c>
      <c r="BF27" s="44" t="inlineStr">
        <is>
          <t>G2.9.1; G2.9.3</t>
        </is>
      </c>
      <c r="BG27" s="44" t="inlineStr">
        <is>
          <t>Yes</t>
        </is>
      </c>
      <c r="BH27" s="44" t="inlineStr">
        <is>
          <t>L0a.9.1</t>
        </is>
      </c>
      <c r="BI27" s="44" t="inlineStr">
        <is>
          <t>Partial</t>
        </is>
      </c>
      <c r="BJ27" s="44" t="inlineStr">
        <is>
          <t>L0b.9.6</t>
        </is>
      </c>
      <c r="BL27" s="44">
        <f>COUNTIF(D27:BJ27,"Yes")</f>
        <v/>
      </c>
      <c r="BM27" s="44">
        <f>COUNTIF(D27:BJ27,"No")</f>
        <v/>
      </c>
      <c r="BN27" s="44">
        <f>COUNTIF(D27:BJ27,"Partial")</f>
        <v/>
      </c>
      <c r="BP27" s="44">
        <f>COUNTIF(D27:BF27,"Yes")-COUNTIF(P27:V27,"Yes")</f>
        <v/>
      </c>
      <c r="BQ27" s="44">
        <f>COUNTIF(D27:BF27,"No")-COUNTIF(P27:V27,"No")</f>
        <v/>
      </c>
      <c r="BR27" s="44">
        <f>COUNTIF(D27:BF27,"Partial")-COUNTIF(P27:V27,"Partial")</f>
        <v/>
      </c>
    </row>
    <row r="28" ht="29.25" customHeight="1" s="54">
      <c r="B28" s="44" t="inlineStr">
        <is>
          <t>H.9.2</t>
        </is>
      </c>
      <c r="C28" s="44" t="inlineStr">
        <is>
          <t>Cryptographic Safeguarding of RFID Data</t>
        </is>
      </c>
      <c r="D28" s="44" t="inlineStr">
        <is>
          <t>Yes</t>
        </is>
      </c>
      <c r="E28" s="44" t="inlineStr">
        <is>
          <t>L0.9.3</t>
        </is>
      </c>
      <c r="F28" s="44" t="inlineStr">
        <is>
          <t>Yes</t>
        </is>
      </c>
      <c r="G28" s="44" t="inlineStr">
        <is>
          <t>L0_ii.9.2; L0_ii.9.4</t>
        </is>
      </c>
      <c r="H28" s="44" t="inlineStr">
        <is>
          <t>Partial</t>
        </is>
      </c>
      <c r="I28" s="44" t="inlineStr">
        <is>
          <t>L0_ii.9.2</t>
        </is>
      </c>
      <c r="J28" s="44" t="inlineStr">
        <is>
          <t>Partial</t>
        </is>
      </c>
      <c r="K28" s="44" t="inlineStr">
        <is>
          <t>L0_iv.9.3</t>
        </is>
      </c>
      <c r="L28" s="44" t="inlineStr">
        <is>
          <t>No</t>
        </is>
      </c>
      <c r="N28" s="44" t="inlineStr">
        <is>
          <t>No</t>
        </is>
      </c>
      <c r="P28" s="44" t="inlineStr">
        <is>
          <t>Yes</t>
        </is>
      </c>
      <c r="Q28" s="44" t="inlineStr">
        <is>
          <t>L3.9.10</t>
        </is>
      </c>
      <c r="S28" s="44" t="inlineStr">
        <is>
          <t>Partial</t>
        </is>
      </c>
      <c r="T28" s="44" t="inlineStr">
        <is>
          <t>L4.9.1</t>
        </is>
      </c>
      <c r="U28" s="44" t="inlineStr">
        <is>
          <t>No</t>
        </is>
      </c>
      <c r="W28" s="44" t="inlineStr">
        <is>
          <t>Yes</t>
        </is>
      </c>
      <c r="X28" s="44" t="inlineStr">
        <is>
          <t>Q0.9.3</t>
        </is>
      </c>
      <c r="Y28" s="44" t="inlineStr">
        <is>
          <t>No</t>
        </is>
      </c>
      <c r="AA28" s="44" t="inlineStr">
        <is>
          <t>No</t>
        </is>
      </c>
      <c r="AC28" s="44" t="inlineStr">
        <is>
          <t>No</t>
        </is>
      </c>
      <c r="AE28" s="44" t="inlineStr">
        <is>
          <t>No</t>
        </is>
      </c>
      <c r="AG28" s="44" t="inlineStr">
        <is>
          <t>No</t>
        </is>
      </c>
      <c r="AI28" s="44" t="inlineStr">
        <is>
          <t>Partial</t>
        </is>
      </c>
      <c r="AJ28" s="44" t="inlineStr">
        <is>
          <t>M0.9.2</t>
        </is>
      </c>
      <c r="AK28" s="44" t="inlineStr">
        <is>
          <t>No</t>
        </is>
      </c>
      <c r="AM28" s="44" t="inlineStr">
        <is>
          <t>No</t>
        </is>
      </c>
      <c r="AO28" s="44" t="inlineStr">
        <is>
          <t>No</t>
        </is>
      </c>
      <c r="AQ28" s="44" t="inlineStr">
        <is>
          <t>No</t>
        </is>
      </c>
      <c r="AS28" s="44" t="inlineStr">
        <is>
          <t>No</t>
        </is>
      </c>
      <c r="AU28" s="44" t="inlineStr">
        <is>
          <t>No</t>
        </is>
      </c>
      <c r="AW28" s="44" t="inlineStr">
        <is>
          <t>No</t>
        </is>
      </c>
      <c r="AY28" s="44" t="inlineStr">
        <is>
          <t>No</t>
        </is>
      </c>
      <c r="BA28" s="44" t="inlineStr">
        <is>
          <t>No</t>
        </is>
      </c>
      <c r="BC28" s="44" t="inlineStr">
        <is>
          <t>No</t>
        </is>
      </c>
      <c r="BE28" s="44" t="inlineStr">
        <is>
          <t>No</t>
        </is>
      </c>
      <c r="BG28" s="44" t="inlineStr">
        <is>
          <t>No</t>
        </is>
      </c>
      <c r="BI28" s="44" t="inlineStr">
        <is>
          <t>No</t>
        </is>
      </c>
      <c r="BL28" s="44">
        <f>COUNTIF(D28:BJ28,"Yes")</f>
        <v/>
      </c>
      <c r="BM28" s="44">
        <f>COUNTIF(D28:BJ28,"No")</f>
        <v/>
      </c>
      <c r="BN28" s="44">
        <f>COUNTIF(D28:BJ28,"Partial")</f>
        <v/>
      </c>
      <c r="BP28" s="44">
        <f>COUNTIF(D28:BF28,"Yes")-COUNTIF(P28:V28,"Yes")</f>
        <v/>
      </c>
      <c r="BQ28" s="44">
        <f>COUNTIF(D28:BF28,"No")-COUNTIF(P28:V28,"No")</f>
        <v/>
      </c>
      <c r="BR28" s="44">
        <f>COUNTIF(D28:BF28,"Partial")-COUNTIF(P28:V28,"Partial")</f>
        <v/>
      </c>
    </row>
    <row r="29" ht="57.75" customHeight="1" s="54">
      <c r="B29" s="44" t="inlineStr">
        <is>
          <t>H.9.3</t>
        </is>
      </c>
      <c r="C29" s="44" t="inlineStr">
        <is>
          <t>Network Data Encryption</t>
        </is>
      </c>
      <c r="D29" s="44" t="inlineStr">
        <is>
          <t>Yes</t>
        </is>
      </c>
      <c r="E29" s="44" t="inlineStr">
        <is>
          <t>L0.9.2</t>
        </is>
      </c>
      <c r="F29" s="44" t="inlineStr">
        <is>
          <t>Yes</t>
        </is>
      </c>
      <c r="G29" s="44" t="inlineStr">
        <is>
          <t>L0_ii.9.1; L0_ii.9.4</t>
        </is>
      </c>
      <c r="H29" s="44" t="inlineStr">
        <is>
          <t>Yes</t>
        </is>
      </c>
      <c r="I29" s="44" t="inlineStr">
        <is>
          <t>L0_iii.9.1; L0_iii.9.3</t>
        </is>
      </c>
      <c r="J29" s="44" t="inlineStr">
        <is>
          <t>Yes</t>
        </is>
      </c>
      <c r="K29" s="44" t="inlineStr">
        <is>
          <t>L0_iv.9.2</t>
        </is>
      </c>
      <c r="L29" s="44" t="inlineStr">
        <is>
          <t>Yes</t>
        </is>
      </c>
      <c r="M29" s="44" t="inlineStr">
        <is>
          <t>L1.9.1; L1.9.2; L1.9.3; L1.9.4; L1.9.5; L1.9.6</t>
        </is>
      </c>
      <c r="N29" s="44" t="inlineStr">
        <is>
          <t>No</t>
        </is>
      </c>
      <c r="P29" s="44" t="inlineStr">
        <is>
          <t>Yes</t>
        </is>
      </c>
      <c r="Q29" s="44" t="inlineStr">
        <is>
          <t>L3.9.1; L3.9.5; L3.9.9; L3.9.15</t>
        </is>
      </c>
      <c r="S29" s="44" t="inlineStr">
        <is>
          <t>Partial</t>
        </is>
      </c>
      <c r="T29" s="44" t="inlineStr">
        <is>
          <t>L4.9.4</t>
        </is>
      </c>
      <c r="U29" s="44" t="inlineStr">
        <is>
          <t>Yes</t>
        </is>
      </c>
      <c r="V29" s="44" t="inlineStr">
        <is>
          <t>L5.9.2</t>
        </is>
      </c>
      <c r="W29" s="44" t="inlineStr">
        <is>
          <t>Yes</t>
        </is>
      </c>
      <c r="X29" s="44" t="inlineStr">
        <is>
          <t>Q0.9.1</t>
        </is>
      </c>
      <c r="Y29" s="44" t="inlineStr">
        <is>
          <t>Yes</t>
        </is>
      </c>
      <c r="Z29" s="44" t="inlineStr">
        <is>
          <t>Q0_ii.9.1; Q0_ii.9.2; Q0_ii.9.3; Q0_ii.9.5</t>
        </is>
      </c>
      <c r="AA29" s="44" t="inlineStr">
        <is>
          <t>Yes</t>
        </is>
      </c>
      <c r="AB29" s="44" t="inlineStr">
        <is>
          <t>Q0_iii.9.1</t>
        </is>
      </c>
      <c r="AC29" s="44" t="inlineStr">
        <is>
          <t>Yes</t>
        </is>
      </c>
      <c r="AD29" t="inlineStr">
        <is>
          <t>Q0_iv.9.2</t>
        </is>
      </c>
      <c r="AE29" s="44" t="inlineStr">
        <is>
          <t>Yes</t>
        </is>
      </c>
      <c r="AF29" s="44" t="inlineStr">
        <is>
          <t>Q1.9.1</t>
        </is>
      </c>
      <c r="AG29" s="44" t="inlineStr">
        <is>
          <t>Yes</t>
        </is>
      </c>
      <c r="AH29" s="44" t="inlineStr">
        <is>
          <t>Q2.9.3; Q2.9.4</t>
        </is>
      </c>
      <c r="AI29" s="44" t="inlineStr">
        <is>
          <t>Yes</t>
        </is>
      </c>
      <c r="AJ29" s="44" t="inlineStr">
        <is>
          <t>M0.9.3; M0.9.5</t>
        </is>
      </c>
      <c r="AK29" s="44" t="inlineStr">
        <is>
          <t>Yes</t>
        </is>
      </c>
      <c r="AL29" s="44" t="inlineStr">
        <is>
          <t>M0_ii.9.2; M0_ii.9.3</t>
        </is>
      </c>
      <c r="AM29" s="44" t="inlineStr">
        <is>
          <t>Yes</t>
        </is>
      </c>
      <c r="AN29" t="inlineStr">
        <is>
          <t>M0_iii.9.2</t>
        </is>
      </c>
      <c r="AO29" s="44" t="inlineStr">
        <is>
          <t>Yes</t>
        </is>
      </c>
      <c r="AP29" s="44" t="inlineStr">
        <is>
          <t>M0_iv.9.1; M0_iv.9.2; M0_iv.9.3; M0_iv.9.4</t>
        </is>
      </c>
      <c r="AQ29" s="44" t="inlineStr">
        <is>
          <t>Yes</t>
        </is>
      </c>
      <c r="AR29" s="44" t="inlineStr">
        <is>
          <t>M1.9.1; M1.9.2; M1.9.3</t>
        </is>
      </c>
      <c r="AS29" s="44" t="inlineStr">
        <is>
          <t>Yes</t>
        </is>
      </c>
      <c r="AT29" s="44" t="inlineStr">
        <is>
          <t>M2.9.1</t>
        </is>
      </c>
      <c r="AU29" s="44" t="inlineStr">
        <is>
          <t>Yes</t>
        </is>
      </c>
      <c r="AV29" s="44" t="inlineStr">
        <is>
          <t>G0.9.1</t>
        </is>
      </c>
      <c r="AW29" s="44" t="inlineStr">
        <is>
          <t>Yes</t>
        </is>
      </c>
      <c r="AX29" t="inlineStr">
        <is>
          <t>G0_ii.9.3</t>
        </is>
      </c>
      <c r="AY29" s="44" t="inlineStr">
        <is>
          <t>Yes</t>
        </is>
      </c>
      <c r="AZ29" t="inlineStr">
        <is>
          <t>G0_iii.9.2; G0_iii.9.4</t>
        </is>
      </c>
      <c r="BA29" s="44" t="inlineStr">
        <is>
          <t>Yes</t>
        </is>
      </c>
      <c r="BB29" s="44" t="inlineStr">
        <is>
          <t>G0_iv.9.2; G0_iv.9.5</t>
        </is>
      </c>
      <c r="BC29" s="44" t="inlineStr">
        <is>
          <t>Yes</t>
        </is>
      </c>
      <c r="BD29" s="44" t="inlineStr">
        <is>
          <t>G1.9.4</t>
        </is>
      </c>
      <c r="BE29" s="44" t="inlineStr">
        <is>
          <t>Yes</t>
        </is>
      </c>
      <c r="BF29" s="44" t="inlineStr">
        <is>
          <t>G2.9.2</t>
        </is>
      </c>
      <c r="BG29" s="44" t="inlineStr">
        <is>
          <t>Yes</t>
        </is>
      </c>
      <c r="BH29" s="44" t="inlineStr">
        <is>
          <t>L0a.9.3; L0a.9.5; L0a.9.6; L0a.9.7</t>
        </is>
      </c>
      <c r="BI29" s="44" t="inlineStr">
        <is>
          <t>Partial</t>
        </is>
      </c>
      <c r="BJ29" s="44" t="inlineStr">
        <is>
          <t>L0b.9.5</t>
        </is>
      </c>
      <c r="BL29" s="44">
        <f>COUNTIF(D29:BJ29,"Yes")</f>
        <v/>
      </c>
      <c r="BM29" s="44">
        <f>COUNTIF(D29:BJ29,"No")</f>
        <v/>
      </c>
      <c r="BN29" s="44">
        <f>COUNTIF(D29:BJ29,"Partial")</f>
        <v/>
      </c>
      <c r="BP29" s="44">
        <f>COUNTIF(D29:BF29,"Yes")-COUNTIF(P29:V29,"Yes")</f>
        <v/>
      </c>
      <c r="BQ29" s="44">
        <f>COUNTIF(D29:BF29,"No")-COUNTIF(P29:V29,"No")</f>
        <v/>
      </c>
      <c r="BR29" s="44">
        <f>COUNTIF(D29:BF29,"Partial")-COUNTIF(P29:V29,"Partial")</f>
        <v/>
      </c>
    </row>
    <row r="30" ht="31.35" customHeight="1" s="54">
      <c r="A30" s="49" t="inlineStr">
        <is>
          <t>Establish a comprehensive key management system, including procedures for generating and protecting {cryptographic keys} and recovering {encrypted data} in case of lost, compromised, or damaged {keys}</t>
        </is>
      </c>
      <c r="B30" s="44" t="inlineStr">
        <is>
          <t>H.10.1</t>
        </is>
      </c>
      <c r="C30" s="44" t="inlineStr">
        <is>
          <t>Key Management for AIDC Carriers</t>
        </is>
      </c>
      <c r="D30" s="44" t="inlineStr">
        <is>
          <t>No</t>
        </is>
      </c>
      <c r="F30" s="44" t="inlineStr">
        <is>
          <t>No</t>
        </is>
      </c>
      <c r="H30" s="44" t="inlineStr">
        <is>
          <t>No</t>
        </is>
      </c>
      <c r="J30" s="44" t="inlineStr">
        <is>
          <t>No</t>
        </is>
      </c>
      <c r="L30" s="44" t="inlineStr">
        <is>
          <t>Yes</t>
        </is>
      </c>
      <c r="M30" s="44" t="inlineStr">
        <is>
          <t>L1.10.1</t>
        </is>
      </c>
      <c r="N30" s="44" t="inlineStr">
        <is>
          <t>Partial</t>
        </is>
      </c>
      <c r="O30" s="44" t="inlineStr">
        <is>
          <t>L2.10.4</t>
        </is>
      </c>
      <c r="P30" s="44" t="inlineStr">
        <is>
          <t>No</t>
        </is>
      </c>
      <c r="S30" s="44" t="inlineStr">
        <is>
          <t>No</t>
        </is>
      </c>
      <c r="U30" s="44" t="inlineStr">
        <is>
          <t>No</t>
        </is>
      </c>
      <c r="W30" s="44" t="inlineStr">
        <is>
          <t>No</t>
        </is>
      </c>
      <c r="Y30" s="44" t="inlineStr">
        <is>
          <t>Yes</t>
        </is>
      </c>
      <c r="Z30" s="44" t="inlineStr">
        <is>
          <t>Q0_ii.10.1; Q0_ii.10.2; Q0_ii.10.3</t>
        </is>
      </c>
      <c r="AA30" s="44" t="inlineStr">
        <is>
          <t>Yes</t>
        </is>
      </c>
      <c r="AB30" t="inlineStr">
        <is>
          <t>Q0_iii.10.1</t>
        </is>
      </c>
      <c r="AC30" s="44" t="inlineStr">
        <is>
          <t>Yes</t>
        </is>
      </c>
      <c r="AD30" s="44" t="inlineStr">
        <is>
          <t>Q0_iv.10.1; Q0_iv.10.2, Q0_iv.10.3; Q0_iv.10.4</t>
        </is>
      </c>
      <c r="AE30" s="44" t="inlineStr">
        <is>
          <t>No</t>
        </is>
      </c>
      <c r="AG30" s="44" t="inlineStr">
        <is>
          <t>No</t>
        </is>
      </c>
      <c r="AI30" s="44" t="inlineStr">
        <is>
          <t>Yes</t>
        </is>
      </c>
      <c r="AJ30" s="44" t="inlineStr">
        <is>
          <t>M0.10.1; M0.10.4</t>
        </is>
      </c>
      <c r="AK30" s="44" t="inlineStr">
        <is>
          <t>Yes</t>
        </is>
      </c>
      <c r="AL30" t="inlineStr">
        <is>
          <t>M0_ii.10.1</t>
        </is>
      </c>
      <c r="AM30" s="44" t="inlineStr">
        <is>
          <t>Yes</t>
        </is>
      </c>
      <c r="AN30" s="44" t="inlineStr">
        <is>
          <t>M0_iii.10.1; M0_iii.10.3</t>
        </is>
      </c>
      <c r="AO30" s="44" t="inlineStr">
        <is>
          <t>Yes</t>
        </is>
      </c>
      <c r="AP30" s="44" t="inlineStr">
        <is>
          <t>M0_iv.10.1; M0_iv.10.2; M0_iv.10.3; M0_iv.10.4; M0_iv.10.5; M0_iv.10.6</t>
        </is>
      </c>
      <c r="AQ30" s="44" t="inlineStr">
        <is>
          <t>Yes</t>
        </is>
      </c>
      <c r="AR30" s="44" t="inlineStr">
        <is>
          <t>M1.10.1</t>
        </is>
      </c>
      <c r="AS30" s="44" t="inlineStr">
        <is>
          <t>Yes</t>
        </is>
      </c>
      <c r="AT30" s="44" t="inlineStr">
        <is>
          <t>M2.10.1</t>
        </is>
      </c>
      <c r="AU30" s="44" t="inlineStr">
        <is>
          <t>No</t>
        </is>
      </c>
      <c r="AW30" s="44" t="inlineStr">
        <is>
          <t>Yes</t>
        </is>
      </c>
      <c r="AX30" t="inlineStr">
        <is>
          <t>G0_ii.10.1</t>
        </is>
      </c>
      <c r="AY30" s="44" t="inlineStr">
        <is>
          <t>No</t>
        </is>
      </c>
      <c r="BA30" s="44" t="inlineStr">
        <is>
          <t>Yes</t>
        </is>
      </c>
      <c r="BB30" t="inlineStr">
        <is>
          <t>G0_iv.10.1</t>
        </is>
      </c>
      <c r="BC30" s="44" t="inlineStr">
        <is>
          <t>No</t>
        </is>
      </c>
      <c r="BE30" s="44" t="inlineStr">
        <is>
          <t>Yes</t>
        </is>
      </c>
      <c r="BF30" s="44" t="inlineStr">
        <is>
          <t>G2.10.3</t>
        </is>
      </c>
      <c r="BG30" s="44" t="inlineStr">
        <is>
          <t>No</t>
        </is>
      </c>
      <c r="BI30" s="44" t="inlineStr">
        <is>
          <t>Partial</t>
        </is>
      </c>
      <c r="BJ30" s="44" t="inlineStr">
        <is>
          <t>L0b.10.1</t>
        </is>
      </c>
      <c r="BL30" s="44">
        <f>COUNTIF(D30:BJ30,"Yes")</f>
        <v/>
      </c>
      <c r="BM30" s="44">
        <f>COUNTIF(D30:BJ30,"No")</f>
        <v/>
      </c>
      <c r="BN30" s="44">
        <f>COUNTIF(D30:BJ30,"Partial")</f>
        <v/>
      </c>
      <c r="BP30" s="44">
        <f>COUNTIF(D30:BF30,"Yes")-COUNTIF(P30:V30,"Yes")</f>
        <v/>
      </c>
      <c r="BQ30" s="44">
        <f>COUNTIF(D30:BF30,"No")-COUNTIF(P30:V30,"No")</f>
        <v/>
      </c>
      <c r="BR30" s="44">
        <f>COUNTIF(D30:BF30,"Partial")-COUNTIF(P30:V30,"Partial")</f>
        <v/>
      </c>
    </row>
    <row r="31" ht="87" customHeight="1" s="54">
      <c r="B31" s="44" t="inlineStr">
        <is>
          <t>H.10.2</t>
        </is>
      </c>
      <c r="C31" s="44" t="inlineStr">
        <is>
          <t>Key Management for Employee Access</t>
        </is>
      </c>
      <c r="D31" s="44" t="inlineStr">
        <is>
          <t>Yes</t>
        </is>
      </c>
      <c r="E31" s="44" t="inlineStr">
        <is>
          <t>L0.10.3</t>
        </is>
      </c>
      <c r="F31" s="44" t="inlineStr">
        <is>
          <t>Partial</t>
        </is>
      </c>
      <c r="G31" s="44" t="inlineStr">
        <is>
          <t>L0_ii.10.1</t>
        </is>
      </c>
      <c r="H31" s="44" t="inlineStr">
        <is>
          <t>Yes</t>
        </is>
      </c>
      <c r="I31" s="44" t="inlineStr">
        <is>
          <t>L0_iii.10.1; L0_iii.10.4</t>
        </is>
      </c>
      <c r="J31" s="44" t="inlineStr">
        <is>
          <t>Yes</t>
        </is>
      </c>
      <c r="K31" s="44" t="inlineStr">
        <is>
          <t>L0_iv.10.3</t>
        </is>
      </c>
      <c r="L31" s="44" t="inlineStr">
        <is>
          <t>Yes</t>
        </is>
      </c>
      <c r="M31" s="44" t="inlineStr">
        <is>
          <t>L1.10.3</t>
        </is>
      </c>
      <c r="N31" s="44" t="inlineStr">
        <is>
          <t>No</t>
        </is>
      </c>
      <c r="P31" s="44" t="inlineStr">
        <is>
          <t>Yes</t>
        </is>
      </c>
      <c r="Q31" s="44" t="inlineStr">
        <is>
          <t>L3.10.1; L3.10.2; L3.10.3; L3.10.9; L3.10.10</t>
        </is>
      </c>
      <c r="S31" s="44" t="inlineStr">
        <is>
          <t>Partial</t>
        </is>
      </c>
      <c r="T31" s="44" t="inlineStr">
        <is>
          <t>L4.10.1</t>
        </is>
      </c>
      <c r="U31" s="44" t="inlineStr">
        <is>
          <t>Partial</t>
        </is>
      </c>
      <c r="V31" s="44" t="inlineStr">
        <is>
          <t>L5.10.1; L5.10.4</t>
        </is>
      </c>
      <c r="W31" s="44" t="inlineStr">
        <is>
          <t>No</t>
        </is>
      </c>
      <c r="Y31" s="44" t="inlineStr">
        <is>
          <t>No</t>
        </is>
      </c>
      <c r="AA31" s="44" t="inlineStr">
        <is>
          <t>No</t>
        </is>
      </c>
      <c r="AC31" s="44" t="inlineStr">
        <is>
          <t>No</t>
        </is>
      </c>
      <c r="AE31" s="44" t="inlineStr">
        <is>
          <t>No</t>
        </is>
      </c>
      <c r="AG31" s="44" t="inlineStr">
        <is>
          <t>Yes</t>
        </is>
      </c>
      <c r="AH31" s="44" t="inlineStr">
        <is>
          <t>Q2.10.2</t>
        </is>
      </c>
      <c r="AI31" s="44" t="inlineStr">
        <is>
          <t>Yes</t>
        </is>
      </c>
      <c r="AJ31" s="44" t="inlineStr">
        <is>
          <t>M0.10.2; M0.10.4</t>
        </is>
      </c>
      <c r="AK31" s="44" t="inlineStr">
        <is>
          <t>Yes</t>
        </is>
      </c>
      <c r="AL31" s="44" t="inlineStr">
        <is>
          <t>M0_ii.10.2; M0_ii.10.3; M0_ii.10.4; M0_ii.10.5; M0_ii.10.6; M0_ii.10.7</t>
        </is>
      </c>
      <c r="AM31" s="44" t="inlineStr">
        <is>
          <t>Yes</t>
        </is>
      </c>
      <c r="AN31" s="44" t="inlineStr">
        <is>
          <t>M0_iii.10.2</t>
        </is>
      </c>
      <c r="AO31" s="44" t="inlineStr">
        <is>
          <t>No</t>
        </is>
      </c>
      <c r="AQ31" s="44" t="inlineStr">
        <is>
          <t>No</t>
        </is>
      </c>
      <c r="AS31" s="44" t="inlineStr">
        <is>
          <t>Yes</t>
        </is>
      </c>
      <c r="AT31" s="44" t="inlineStr">
        <is>
          <t>M2.10.6</t>
        </is>
      </c>
      <c r="AU31" s="44" t="inlineStr">
        <is>
          <t>Partial</t>
        </is>
      </c>
      <c r="AV31" s="44" t="inlineStr">
        <is>
          <t>G0.10.2</t>
        </is>
      </c>
      <c r="AW31" s="44" t="inlineStr">
        <is>
          <t>Partial</t>
        </is>
      </c>
      <c r="AX31" t="inlineStr">
        <is>
          <t>G0_ii.10.2</t>
        </is>
      </c>
      <c r="AY31" s="44" t="inlineStr">
        <is>
          <t>Partial</t>
        </is>
      </c>
      <c r="AZ31" s="44" t="inlineStr">
        <is>
          <t>G0_iii.10.2: G0_iii.10.4</t>
        </is>
      </c>
      <c r="BA31" s="44" t="inlineStr">
        <is>
          <t>Partial</t>
        </is>
      </c>
      <c r="BB31" t="inlineStr">
        <is>
          <t>G0_iv.10.4</t>
        </is>
      </c>
      <c r="BC31" s="44" t="inlineStr">
        <is>
          <t>No</t>
        </is>
      </c>
      <c r="BE31" s="44" t="inlineStr">
        <is>
          <t>No</t>
        </is>
      </c>
      <c r="BG31" s="44" t="inlineStr">
        <is>
          <t>Partial</t>
        </is>
      </c>
      <c r="BH31" t="inlineStr">
        <is>
          <t>L0a.10.1</t>
        </is>
      </c>
      <c r="BI31" s="44" t="inlineStr">
        <is>
          <t>Partial</t>
        </is>
      </c>
      <c r="BJ31" s="44" t="inlineStr">
        <is>
          <t>L0b.10.1; L0b.10.2</t>
        </is>
      </c>
      <c r="BL31" s="44">
        <f>COUNTIF(D31:BJ31,"Yes")</f>
        <v/>
      </c>
      <c r="BM31" s="44">
        <f>COUNTIF(D31:BJ31,"No")</f>
        <v/>
      </c>
      <c r="BN31" s="44">
        <f>COUNTIF(D31:BJ31,"Partial")</f>
        <v/>
      </c>
      <c r="BP31" s="44">
        <f>COUNTIF(D31:BF31,"Yes")-COUNTIF(P31:V31,"Yes")</f>
        <v/>
      </c>
      <c r="BQ31" s="44">
        <f>COUNTIF(D31:BF31,"No")-COUNTIF(P31:V31,"No")</f>
        <v/>
      </c>
      <c r="BR31" s="44">
        <f>COUNTIF(D31:BF31,"Partial")-COUNTIF(P31:V31,"Partial")</f>
        <v/>
      </c>
    </row>
    <row r="32" customFormat="1" s="48">
      <c r="B32" s="44" t="inlineStr">
        <is>
          <t>H.10.3</t>
        </is>
      </c>
      <c r="C32" s="44" t="inlineStr">
        <is>
          <t>Security Manager for Key Management</t>
        </is>
      </c>
      <c r="D32" s="44" t="inlineStr">
        <is>
          <t>Yes</t>
        </is>
      </c>
      <c r="E32" s="44" t="inlineStr">
        <is>
          <t>L0.10.1</t>
        </is>
      </c>
      <c r="F32" s="44" t="inlineStr">
        <is>
          <t>No</t>
        </is>
      </c>
      <c r="G32" s="44" t="n"/>
      <c r="H32" s="44" t="inlineStr">
        <is>
          <t>No</t>
        </is>
      </c>
      <c r="I32" s="44" t="n"/>
      <c r="J32" s="44" t="inlineStr">
        <is>
          <t>Yes</t>
        </is>
      </c>
      <c r="K32" s="44" t="inlineStr">
        <is>
          <t>L0_iv.10.3</t>
        </is>
      </c>
      <c r="L32" s="44" t="inlineStr">
        <is>
          <t>No</t>
        </is>
      </c>
      <c r="M32" s="44" t="n"/>
      <c r="N32" s="44" t="inlineStr">
        <is>
          <t>Yes</t>
        </is>
      </c>
      <c r="O32" s="44" t="inlineStr">
        <is>
          <t>L2.10.5</t>
        </is>
      </c>
      <c r="P32" s="44" t="inlineStr">
        <is>
          <t>Yes</t>
        </is>
      </c>
      <c r="Q32" s="44" t="inlineStr">
        <is>
          <t>L3.10.12</t>
        </is>
      </c>
      <c r="R32" s="44" t="n"/>
      <c r="S32" s="44" t="inlineStr">
        <is>
          <t>No</t>
        </is>
      </c>
      <c r="T32" s="44" t="n"/>
      <c r="U32" s="44" t="inlineStr">
        <is>
          <t>Yes</t>
        </is>
      </c>
      <c r="V32" s="44" t="inlineStr">
        <is>
          <t>L5.10.2</t>
        </is>
      </c>
      <c r="W32" s="44" t="inlineStr">
        <is>
          <t>Yes</t>
        </is>
      </c>
      <c r="X32" s="44" t="inlineStr">
        <is>
          <t>Q0.10.1</t>
        </is>
      </c>
      <c r="Y32" s="44" t="inlineStr">
        <is>
          <t>No</t>
        </is>
      </c>
      <c r="Z32" s="44" t="n"/>
      <c r="AA32" s="44" t="inlineStr">
        <is>
          <t>No</t>
        </is>
      </c>
      <c r="AB32" s="44" t="n"/>
      <c r="AC32" s="44" t="inlineStr">
        <is>
          <t>No</t>
        </is>
      </c>
      <c r="AD32" s="44" t="n"/>
      <c r="AE32" s="44" t="inlineStr">
        <is>
          <t>Yes</t>
        </is>
      </c>
      <c r="AF32" s="44" t="inlineStr">
        <is>
          <t>Q1.10.1</t>
        </is>
      </c>
      <c r="AG32" s="44" t="inlineStr">
        <is>
          <t>Yes</t>
        </is>
      </c>
      <c r="AH32" s="44" t="inlineStr">
        <is>
          <t>Q2.10.1</t>
        </is>
      </c>
      <c r="AI32" s="44" t="inlineStr">
        <is>
          <t>Partial</t>
        </is>
      </c>
      <c r="AJ32" s="44" t="inlineStr">
        <is>
          <t>M0.10.7</t>
        </is>
      </c>
      <c r="AK32" s="44" t="inlineStr">
        <is>
          <t>Partial</t>
        </is>
      </c>
      <c r="AL32" s="44" t="inlineStr">
        <is>
          <t>M0_ii.10.1</t>
        </is>
      </c>
      <c r="AM32" s="44" t="inlineStr">
        <is>
          <t>No</t>
        </is>
      </c>
      <c r="AN32" s="44" t="n"/>
      <c r="AO32" s="44" t="inlineStr">
        <is>
          <t>No</t>
        </is>
      </c>
      <c r="AP32" s="44" t="n"/>
      <c r="AQ32" s="44" t="inlineStr">
        <is>
          <t>No</t>
        </is>
      </c>
      <c r="AR32" s="44" t="n"/>
      <c r="AS32" s="44" t="inlineStr">
        <is>
          <t>No</t>
        </is>
      </c>
      <c r="AT32" s="44" t="n"/>
      <c r="AU32" s="44" t="inlineStr">
        <is>
          <t>Yes</t>
        </is>
      </c>
      <c r="AV32" s="44" t="inlineStr">
        <is>
          <t>G0.10.3</t>
        </is>
      </c>
      <c r="AW32" s="44" t="inlineStr">
        <is>
          <t>No</t>
        </is>
      </c>
      <c r="AX32" s="44" t="n"/>
      <c r="AY32" s="44" t="inlineStr">
        <is>
          <t>No</t>
        </is>
      </c>
      <c r="AZ32" s="44" t="n"/>
      <c r="BA32" s="44" t="inlineStr">
        <is>
          <t>Yes</t>
        </is>
      </c>
      <c r="BB32" t="inlineStr">
        <is>
          <t>G0_iv.10.1</t>
        </is>
      </c>
      <c r="BC32" s="44" t="inlineStr">
        <is>
          <t>Yes</t>
        </is>
      </c>
      <c r="BD32" s="44" t="inlineStr">
        <is>
          <t>G1.10.4</t>
        </is>
      </c>
      <c r="BE32" s="44" t="inlineStr">
        <is>
          <t>Yes</t>
        </is>
      </c>
      <c r="BF32" s="44" t="inlineStr">
        <is>
          <t>G2.10.1</t>
        </is>
      </c>
      <c r="BG32" s="44" t="inlineStr">
        <is>
          <t>No</t>
        </is>
      </c>
      <c r="BH32" s="44" t="n"/>
      <c r="BI32" s="44" t="inlineStr">
        <is>
          <t>No</t>
        </is>
      </c>
      <c r="BJ32" s="44" t="n"/>
      <c r="BK32" s="44" t="n"/>
      <c r="BL32" s="44">
        <f>COUNTIF(D32:BJ32,"Yes")</f>
        <v/>
      </c>
      <c r="BM32" s="44">
        <f>COUNTIF(D32:BJ32,"No")</f>
        <v/>
      </c>
      <c r="BN32" s="44">
        <f>COUNTIF(D32:BJ32,"Partial")</f>
        <v/>
      </c>
      <c r="BO32" s="44" t="n"/>
      <c r="BP32" s="44">
        <f>COUNTIF(D32:BF32,"Yes")-COUNTIF(P32:V32,"Yes")</f>
        <v/>
      </c>
      <c r="BQ32" s="44">
        <f>COUNTIF(D32:BF32,"No")-COUNTIF(P32:V32,"No")</f>
        <v/>
      </c>
      <c r="BR32" s="44">
        <f>COUNTIF(D32:BF32,"Partial")-COUNTIF(P32:V32,"Partial")</f>
        <v/>
      </c>
    </row>
    <row r="33" ht="16.35" customFormat="1" customHeight="1" s="48">
      <c r="A33" s="50" t="inlineStr">
        <is>
          <t>Counts</t>
        </is>
      </c>
      <c r="C33" s="50" t="inlineStr">
        <is>
          <t>Covered</t>
        </is>
      </c>
      <c r="D33" s="48">
        <f>COUNTIF(D3:D32,"Yes")</f>
        <v/>
      </c>
      <c r="F33" s="48">
        <f>COUNTIF(F3:F32,"Yes")</f>
        <v/>
      </c>
      <c r="H33" s="48">
        <f>COUNTIF(H3:H32,"Yes")</f>
        <v/>
      </c>
      <c r="J33" s="48">
        <f>COUNTIF(J3:J32,"Yes")</f>
        <v/>
      </c>
      <c r="L33" s="48">
        <f>COUNTIF(L3:L32,"Yes")</f>
        <v/>
      </c>
      <c r="N33" s="48">
        <f>COUNTIF(N3:N32,"Yes")</f>
        <v/>
      </c>
      <c r="P33" s="48">
        <f>COUNTIF(P3:P32,"Yes")</f>
        <v/>
      </c>
      <c r="S33" s="48">
        <f>COUNTIF(S3:S32,"Yes")</f>
        <v/>
      </c>
      <c r="U33" s="48">
        <f>COUNTIF(U3:U32,"Yes")</f>
        <v/>
      </c>
      <c r="W33" s="48">
        <f>COUNTIF(W3:W32,"Yes")</f>
        <v/>
      </c>
      <c r="Y33" s="48">
        <f>COUNTIF(Y3:Y32,"Yes")</f>
        <v/>
      </c>
      <c r="AA33" s="48">
        <f>COUNTIF(AA3:AA32,"Yes")</f>
        <v/>
      </c>
      <c r="AC33" s="48">
        <f>COUNTIF(AC3:AC32,"Yes")</f>
        <v/>
      </c>
      <c r="AE33" s="48">
        <f>COUNTIF(AE3:AE32,"Yes")</f>
        <v/>
      </c>
      <c r="AG33" s="48">
        <f>COUNTIF(AG3:AG32,"Yes")</f>
        <v/>
      </c>
      <c r="AI33" s="48">
        <f>COUNTIF(AI3:AI32,"Yes")</f>
        <v/>
      </c>
      <c r="AK33" s="48">
        <f>COUNTIF(AK3:AK32,"Yes")</f>
        <v/>
      </c>
      <c r="AM33" s="48">
        <f>COUNTIF(AM3:AM32,"Yes")</f>
        <v/>
      </c>
      <c r="AO33" s="48">
        <f>COUNTIF(AO3:AO32,"Yes")</f>
        <v/>
      </c>
      <c r="AQ33" s="48">
        <f>COUNTIF(AQ3:AQ32,"Yes")</f>
        <v/>
      </c>
      <c r="AS33" s="48">
        <f>COUNTIF(AS3:AS32,"Yes")</f>
        <v/>
      </c>
      <c r="AU33" s="48">
        <f>COUNTIF(AU3:AU32,"Yes")</f>
        <v/>
      </c>
      <c r="AW33" s="48">
        <f>COUNTIF(AW3:AW32,"Yes")</f>
        <v/>
      </c>
      <c r="AY33" s="48">
        <f>COUNTIF(AY3:AY32,"Yes")</f>
        <v/>
      </c>
      <c r="BA33" s="48">
        <f>COUNTIF(BA3:BA32,"Yes")</f>
        <v/>
      </c>
      <c r="BC33" s="48">
        <f>COUNTIF(BC3:BC32,"Yes")</f>
        <v/>
      </c>
      <c r="BE33" s="48">
        <f>COUNTIF(BE3:BE32,"Yes")</f>
        <v/>
      </c>
      <c r="BG33" s="48">
        <f>COUNTIF(BG3:BG32,"Yes")</f>
        <v/>
      </c>
      <c r="BI33" s="48">
        <f>COUNTIF(BI3:BI32,"Yes")</f>
        <v/>
      </c>
    </row>
    <row r="34" customFormat="1" s="48">
      <c r="C34" s="50" t="inlineStr">
        <is>
          <t>Uncovered</t>
        </is>
      </c>
      <c r="D34" s="48">
        <f>COUNTIF(D3:D32,"No")</f>
        <v/>
      </c>
      <c r="F34" s="48">
        <f>COUNTIF(F3:F32,"No")</f>
        <v/>
      </c>
      <c r="H34" s="48">
        <f>COUNTIF(H3:H32,"No")</f>
        <v/>
      </c>
      <c r="J34" s="48">
        <f>COUNTIF(J3:J32,"No")</f>
        <v/>
      </c>
      <c r="L34" s="48">
        <f>COUNTIF(L3:L32,"No")</f>
        <v/>
      </c>
      <c r="N34" s="48">
        <f>COUNTIF(N3:N32,"No")</f>
        <v/>
      </c>
      <c r="P34" s="48">
        <f>COUNTIF(P3:P32,"No")</f>
        <v/>
      </c>
      <c r="S34" s="48">
        <f>COUNTIF(S3:S32,"No")</f>
        <v/>
      </c>
      <c r="U34" s="48">
        <f>COUNTIF(U3:U32,"No")</f>
        <v/>
      </c>
      <c r="W34" s="48">
        <f>COUNTIF(W3:W32,"No")</f>
        <v/>
      </c>
      <c r="Y34" s="48">
        <f>COUNTIF(Y3:Y32,"No")</f>
        <v/>
      </c>
      <c r="AA34" s="48">
        <f>COUNTIF(AA3:AA32,"No")</f>
        <v/>
      </c>
      <c r="AC34" s="48">
        <f>COUNTIF(AC3:AC32,"No")</f>
        <v/>
      </c>
      <c r="AE34" s="48">
        <f>COUNTIF(AE3:AE32,"No")</f>
        <v/>
      </c>
      <c r="AG34" s="48">
        <f>COUNTIF(AG3:AG32,"No")</f>
        <v/>
      </c>
      <c r="AI34" s="48">
        <f>COUNTIF(AI3:AI32,"No")</f>
        <v/>
      </c>
      <c r="AK34" s="48">
        <f>COUNTIF(AK3:AK32,"No")</f>
        <v/>
      </c>
      <c r="AM34" s="48">
        <f>COUNTIF(AM3:AM32,"No")</f>
        <v/>
      </c>
      <c r="AO34" s="48">
        <f>COUNTIF(AO3:AO32,"No")</f>
        <v/>
      </c>
      <c r="AQ34" s="48">
        <f>COUNTIF(AQ3:AQ32,"No")</f>
        <v/>
      </c>
      <c r="AS34" s="48">
        <f>COUNTIF(AS3:AS32,"No")</f>
        <v/>
      </c>
      <c r="AU34" s="48">
        <f>COUNTIF(AU3:AU32,"No")</f>
        <v/>
      </c>
      <c r="AW34" s="48">
        <f>COUNTIF(AW3:AW32,"No")</f>
        <v/>
      </c>
      <c r="AY34" s="48">
        <f>COUNTIF(AY3:AY32,"No")</f>
        <v/>
      </c>
      <c r="BA34" s="48">
        <f>COUNTIF(BA3:BA32,"No")</f>
        <v/>
      </c>
      <c r="BC34" s="48">
        <f>COUNTIF(BC3:BC32,"No")</f>
        <v/>
      </c>
      <c r="BE34" s="48">
        <f>COUNTIF(BE3:BE32,"No")</f>
        <v/>
      </c>
      <c r="BG34" s="48">
        <f>COUNTIF(BG3:BG32,"No")</f>
        <v/>
      </c>
      <c r="BI34" s="48">
        <f>COUNTIF(BI3:BI32,"No")</f>
        <v/>
      </c>
    </row>
    <row r="35">
      <c r="A35" s="48" t="n"/>
      <c r="B35" s="48" t="n"/>
      <c r="C35" s="50" t="inlineStr">
        <is>
          <t>Partial</t>
        </is>
      </c>
      <c r="D35" s="48">
        <f>COUNTIF(D3:D32,"Partial")</f>
        <v/>
      </c>
      <c r="E35" s="48" t="n"/>
      <c r="F35" s="48">
        <f>COUNTIF(F3:F32,"Partial")</f>
        <v/>
      </c>
      <c r="G35" s="48" t="n"/>
      <c r="H35" s="48">
        <f>COUNTIF(H3:H32,"Partial")</f>
        <v/>
      </c>
      <c r="I35" s="48" t="n"/>
      <c r="J35" s="48">
        <f>COUNTIF(J3:J32,"Partial")</f>
        <v/>
      </c>
      <c r="K35" s="48" t="n"/>
      <c r="L35" s="48">
        <f>COUNTIF(L3:L32,"Partial")</f>
        <v/>
      </c>
      <c r="M35" s="48" t="n"/>
      <c r="N35" s="48">
        <f>COUNTIF(N3:N32,"Partial")</f>
        <v/>
      </c>
      <c r="O35" s="48" t="n"/>
      <c r="P35" s="48">
        <f>COUNTIF(P3:P32,"Partial")</f>
        <v/>
      </c>
      <c r="Q35" s="48" t="n"/>
      <c r="R35" s="48" t="n"/>
      <c r="S35" s="48">
        <f>COUNTIF(S3:S32,"Partial")</f>
        <v/>
      </c>
      <c r="T35" s="48" t="n"/>
      <c r="U35" s="48">
        <f>COUNTIF(U3:U32,"Partial")</f>
        <v/>
      </c>
      <c r="V35" s="48" t="n"/>
      <c r="W35" s="48">
        <f>COUNTIF(W3:W32,"Partial")</f>
        <v/>
      </c>
      <c r="X35" s="48" t="n"/>
      <c r="Y35" s="48">
        <f>COUNTIF(Y3:Y32,"Partial")</f>
        <v/>
      </c>
      <c r="Z35" s="48" t="n"/>
      <c r="AA35" s="48">
        <f>COUNTIF(AA3:AA32,"Partial")</f>
        <v/>
      </c>
      <c r="AB35" s="48" t="n"/>
      <c r="AC35" s="48">
        <f>COUNTIF(AC3:AC32,"Partial")</f>
        <v/>
      </c>
      <c r="AD35" s="48" t="n"/>
      <c r="AE35" s="48">
        <f>COUNTIF(AE3:AE32,"Partial")</f>
        <v/>
      </c>
      <c r="AF35" s="48" t="n"/>
      <c r="AG35" s="48">
        <f>COUNTIF(AG3:AG32,"Partial")</f>
        <v/>
      </c>
      <c r="AH35" s="48" t="n"/>
      <c r="AI35" s="48">
        <f>COUNTIF(AI3:AI32,"Partial")</f>
        <v/>
      </c>
      <c r="AJ35" s="48" t="n"/>
      <c r="AK35" s="48">
        <f>COUNTIF(AK3:AK32,"Partial")</f>
        <v/>
      </c>
      <c r="AL35" s="48" t="n"/>
      <c r="AM35" s="48">
        <f>COUNTIF(AM3:AM32,"Partial")</f>
        <v/>
      </c>
      <c r="AN35" s="48" t="n"/>
      <c r="AO35" s="48">
        <f>COUNTIF(AO3:AO32,"Partial")</f>
        <v/>
      </c>
      <c r="AP35" s="48" t="n"/>
      <c r="AQ35" s="48">
        <f>COUNTIF(AQ3:AQ32,"Partial")</f>
        <v/>
      </c>
      <c r="AR35" s="48" t="n"/>
      <c r="AS35" s="48">
        <f>COUNTIF(AS3:AS32,"Partial")</f>
        <v/>
      </c>
      <c r="AT35" s="48" t="n"/>
      <c r="AU35" s="48">
        <f>COUNTIF(AU3:AU32,"Partial")</f>
        <v/>
      </c>
      <c r="AV35" s="48" t="n"/>
      <c r="AW35" s="48">
        <f>COUNTIF(AW3:AW32,"Partial")</f>
        <v/>
      </c>
      <c r="AX35" s="48" t="n"/>
      <c r="AY35" s="48">
        <f>COUNTIF(AY3:AY32,"Partial")</f>
        <v/>
      </c>
      <c r="AZ35" s="48" t="n"/>
      <c r="BA35" s="48">
        <f>COUNTIF(BA3:BA32,"Partial")</f>
        <v/>
      </c>
      <c r="BB35" s="48" t="n"/>
      <c r="BC35" s="48">
        <f>COUNTIF(BC3:BC32,"Partial")</f>
        <v/>
      </c>
      <c r="BD35" s="48" t="n"/>
      <c r="BE35" s="48">
        <f>COUNTIF(BE3:BE32,"Partial")</f>
        <v/>
      </c>
      <c r="BF35" s="48" t="n"/>
      <c r="BG35" s="48">
        <f>COUNTIF(BG3:BG32,"Partial")</f>
        <v/>
      </c>
      <c r="BH35" s="48" t="n"/>
      <c r="BI35" s="48">
        <f>COUNTIF(BI3:BI32,"Partial")</f>
        <v/>
      </c>
      <c r="BJ35" s="48" t="n"/>
      <c r="BK35" s="48" t="n"/>
      <c r="BL35" s="48" t="n"/>
      <c r="BM35" s="48" t="n"/>
      <c r="BN35" s="48" t="n"/>
      <c r="BO35" s="48" t="n"/>
      <c r="BP35" s="48" t="n"/>
      <c r="BQ35" s="48" t="n"/>
      <c r="BR35" s="48" t="n"/>
    </row>
    <row r="72"/>
  </sheetData>
  <mergeCells count="41">
    <mergeCell ref="D1:E1"/>
    <mergeCell ref="AG1:AH1"/>
    <mergeCell ref="AI1:AJ1"/>
    <mergeCell ref="H1:I1"/>
    <mergeCell ref="J1:K1"/>
    <mergeCell ref="P1:Q1"/>
    <mergeCell ref="C1:C2"/>
    <mergeCell ref="AA1:AB1"/>
    <mergeCell ref="AS1:AT1"/>
    <mergeCell ref="A23:A25"/>
    <mergeCell ref="AU1:AV1"/>
    <mergeCell ref="A3:A4"/>
    <mergeCell ref="W1:X1"/>
    <mergeCell ref="BE1:BF1"/>
    <mergeCell ref="Y1:Z1"/>
    <mergeCell ref="BG1:BH1"/>
    <mergeCell ref="B1:B2"/>
    <mergeCell ref="N1:O1"/>
    <mergeCell ref="AM1:AN1"/>
    <mergeCell ref="A5:A6"/>
    <mergeCell ref="A30:A32"/>
    <mergeCell ref="A12:A19"/>
    <mergeCell ref="A33:B33"/>
    <mergeCell ref="AK1:AL1"/>
    <mergeCell ref="L1:M1"/>
    <mergeCell ref="AC1:AD1"/>
    <mergeCell ref="AO1:AP1"/>
    <mergeCell ref="AE1:AF1"/>
    <mergeCell ref="A20:A21"/>
    <mergeCell ref="AQ1:AR1"/>
    <mergeCell ref="AW1:AX1"/>
    <mergeCell ref="A7:A11"/>
    <mergeCell ref="AY1:AZ1"/>
    <mergeCell ref="S1:T1"/>
    <mergeCell ref="BA1:BB1"/>
    <mergeCell ref="U1:V1"/>
    <mergeCell ref="BI1:BJ1"/>
    <mergeCell ref="BC1:BD1"/>
    <mergeCell ref="F1:G1"/>
    <mergeCell ref="A27:A29"/>
    <mergeCell ref="A1:A2"/>
  </mergeCells>
  <conditionalFormatting sqref="D3:D32 F3:F32 H3:H32 J3:J32 L3:L32 N3:N32 P3:P32 S3:S32 U3:U32 W3:W32 Y3:Y32 AA3:AA32 AC3:AC32 AE3:AE32 AG3:AG32 AI3:AI32 AK3:AK32 AM3:AM32 AO3:AO32 AQ3:AQ32 AS3:AS32 AU3:AU32 AW3:AW32 AY3:AY32 BA3:BA32 BC3:BC32 BE3:BE32 BG3:BG32 BI3:BI32">
    <cfRule type="containsText" priority="10" operator="containsText" dxfId="6" text="Partial">
      <formula>NOT(ISERROR(SEARCH("Partial",D3)))</formula>
    </cfRule>
    <cfRule type="containsText" priority="11" operator="containsText" dxfId="0" text="No">
      <formula>NOT(ISERROR(SEARCH("No",D3)))</formula>
    </cfRule>
    <cfRule type="containsText" priority="12" operator="containsText" dxfId="1" text="Yes">
      <formula>NOT(ISERROR(SEARCH("Yes",D3)))</formula>
    </cfRule>
  </conditionalFormatting>
  <conditionalFormatting sqref="BL3:BL32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P3:BP32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M3:BM32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N3:BN32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Q3:BQ32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3:BR32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dataValidations count="2">
    <dataValidation sqref="D3:D32 F3:F32 H3:H32 J3:J32 L3:L32 N3:N32 P3:P32 S3:S32 U3:U32 W3:W32 Y3:Y32 AA3:AA32 AC3:AC32 AE3:AE32 AG3:AG32 AI3:AI32 AK3:AK32 AM3:AM32 AO3:AO32 AQ3:AQ32 AS3:AS32 AU3:AU32 AW3:AW32 AY3:AY32 BA3:BA32 BG12:BG14 BG18 BI12:BI14 BI18" showDropDown="0" showInputMessage="1" showErrorMessage="1" allowBlank="1" type="list" operator="equal">
      <formula1>"Yes,No,Partial"</formula1>
      <formula2>0</formula2>
    </dataValidation>
    <dataValidation sqref="BC3:BC32 BE3:BE32 BG3:BG11 BG15:BG17 BG19:BG32 BI3:BI11 BI15:BI17 BI19:BI32" showDropDown="0" showInputMessage="1" showErrorMessage="1" allowBlank="1" type="list" operator="equal">
      <formula1>"Yes;No;Partial"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73"/>
  <sheetViews>
    <sheetView zoomScale="85" zoomScaleNormal="85" workbookViewId="0">
      <selection activeCell="E36" sqref="E36:F36"/>
    </sheetView>
  </sheetViews>
  <sheetFormatPr baseColWidth="8" defaultColWidth="9.140625" defaultRowHeight="14.45"/>
  <cols>
    <col width="60.7109375" customWidth="1" style="44" min="1" max="1"/>
    <col width="60.7109375" customWidth="1" style="54" min="3" max="3"/>
    <col width="14.7109375" customWidth="1" style="54" min="4" max="4"/>
    <col width="30.7109375" customWidth="1" style="54" min="5" max="5"/>
    <col width="14.7109375" customWidth="1" style="54" min="6" max="7"/>
    <col width="60.7109375" customWidth="1" style="54" min="8" max="8"/>
  </cols>
  <sheetData>
    <row r="1" customFormat="1" s="53">
      <c r="A1" s="48" t="inlineStr">
        <is>
          <t>Norm</t>
        </is>
      </c>
      <c r="B1" s="53" t="inlineStr">
        <is>
          <t>L0.#</t>
        </is>
      </c>
      <c r="C1" s="53" t="inlineStr">
        <is>
          <t>Automated requirement name</t>
        </is>
      </c>
      <c r="D1" s="53" t="inlineStr">
        <is>
          <t>Present</t>
        </is>
      </c>
      <c r="E1" s="53" t="inlineStr">
        <is>
          <t>Support</t>
        </is>
      </c>
      <c r="F1" s="53" t="inlineStr">
        <is>
          <t>Hallucination</t>
        </is>
      </c>
      <c r="G1" s="53" t="inlineStr">
        <is>
          <t>Hall. Type</t>
        </is>
      </c>
      <c r="H1" s="53" t="inlineStr">
        <is>
          <t>Rationale</t>
        </is>
      </c>
    </row>
    <row r="2" ht="15" customHeight="1" s="54">
      <c r="A2" s="49" t="inlineStr">
        <is>
          <t>Help messages during the {log-on procedure} must not aid an unauthorized user, e.g., by indicating which {parts of the data} are correct or incorrect</t>
        </is>
      </c>
      <c r="B2" t="inlineStr">
        <is>
          <t>L0.1.1</t>
        </is>
      </c>
      <c r="C2" t="inlineStr">
        <is>
          <t>Secure Log-on Feedback for Factory Employees</t>
        </is>
      </c>
      <c r="D2" t="inlineStr">
        <is>
          <t>Yes</t>
        </is>
      </c>
      <c r="E2" t="inlineStr">
        <is>
          <t>H.1.1</t>
        </is>
      </c>
    </row>
    <row r="3" ht="15" customHeight="1" s="54">
      <c r="B3" t="inlineStr">
        <is>
          <t>L0.1.2</t>
        </is>
      </c>
      <c r="C3" t="inlineStr">
        <is>
          <t>Protection of Sensitive Information during Employee Authentication</t>
        </is>
      </c>
      <c r="D3" t="inlineStr">
        <is>
          <t>Yes</t>
        </is>
      </c>
      <c r="E3" t="inlineStr">
        <is>
          <t>H.1.1</t>
        </is>
      </c>
      <c r="H3" t="inlineStr">
        <is>
          <t>Homogeneous to previous</t>
        </is>
      </c>
    </row>
    <row r="4" ht="16.35" customHeight="1" s="54">
      <c r="A4" s="49" t="inlineStr">
        <is>
          <t>A security incident must be raised if a potential attempted or successful breach of {log-on controls} is detected, and, when the risk of the incident warrants it, the account shall be temporarily restricted, plus an alert shall be sent to the {account owner}, and to the {organization's system administrators}.</t>
        </is>
      </c>
      <c r="B4" t="inlineStr">
        <is>
          <t>L0.2.1</t>
        </is>
      </c>
      <c r="C4" t="inlineStr">
        <is>
          <t>Access Gate Breach Detection</t>
        </is>
      </c>
      <c r="D4" t="inlineStr">
        <is>
          <t>Yes</t>
        </is>
      </c>
      <c r="E4" t="inlineStr">
        <is>
          <t>H.2.1</t>
        </is>
      </c>
      <c r="H4" t="inlineStr">
        <is>
          <t>Somewhat restrictive to access gate</t>
        </is>
      </c>
    </row>
    <row r="5">
      <c r="B5" t="inlineStr">
        <is>
          <t>L0.2.2</t>
        </is>
      </c>
      <c r="C5" t="inlineStr">
        <is>
          <t>Security Breach Notification to Employees</t>
        </is>
      </c>
      <c r="D5" t="inlineStr">
        <is>
          <t>Yes</t>
        </is>
      </c>
      <c r="E5" t="inlineStr">
        <is>
          <t>H.2.1</t>
        </is>
      </c>
    </row>
    <row r="6">
      <c r="B6" t="inlineStr">
        <is>
          <t>L0.2.3</t>
        </is>
      </c>
      <c r="C6" t="inlineStr">
        <is>
          <t>Security Event Logging</t>
        </is>
      </c>
      <c r="D6" t="inlineStr">
        <is>
          <t>No</t>
        </is>
      </c>
      <c r="F6" t="inlineStr">
        <is>
          <t>No</t>
        </is>
      </c>
    </row>
    <row r="7" ht="15" customHeight="1" s="54">
      <c r="A7" s="49" t="inlineStr">
        <is>
          <t>Physical or logical access controls must be implemented to isolate {sensitive applications, data, or systems}.</t>
        </is>
      </c>
      <c r="B7" t="inlineStr">
        <is>
          <t>L0.3.1</t>
        </is>
      </c>
      <c r="C7" t="inlineStr">
        <is>
          <t>Access Control for Sensitive Data Stores</t>
        </is>
      </c>
      <c r="D7" t="inlineStr">
        <is>
          <t>Yes</t>
        </is>
      </c>
      <c r="E7" t="inlineStr">
        <is>
          <t>H.3.1</t>
        </is>
      </c>
    </row>
    <row r="8" ht="15" customHeight="1" s="54">
      <c r="B8" t="inlineStr">
        <is>
          <t>L0.3.2</t>
        </is>
      </c>
      <c r="C8" t="inlineStr">
        <is>
          <t>Factory IT Infrastructure Access Control</t>
        </is>
      </c>
      <c r="D8" t="inlineStr">
        <is>
          <t>Yes</t>
        </is>
      </c>
      <c r="E8" t="inlineStr">
        <is>
          <t>H.3.2; H.3.5</t>
        </is>
      </c>
    </row>
    <row r="9" ht="15" customHeight="1" s="54">
      <c r="B9" t="inlineStr">
        <is>
          <t>L0.3.3</t>
        </is>
      </c>
      <c r="C9" t="inlineStr">
        <is>
          <t>Physical Access Control for Factory Premises</t>
        </is>
      </c>
      <c r="D9" t="inlineStr">
        <is>
          <t>No</t>
        </is>
      </c>
      <c r="F9" t="inlineStr">
        <is>
          <t>Yes</t>
        </is>
      </c>
      <c r="G9" t="inlineStr">
        <is>
          <t>Scope misalignment</t>
        </is>
      </c>
      <c r="H9" t="inlineStr">
        <is>
          <t>Factory access is out-of-the-scope of system cybersecurity nfrs</t>
        </is>
      </c>
    </row>
    <row r="10" ht="16.35" customHeight="1" s="54">
      <c r="A10" s="49" t="inlineStr">
        <is>
          <t>{Access to data} must be controlled based on {user identity, group membership, and assigned roles}</t>
        </is>
      </c>
      <c r="B10" t="inlineStr">
        <is>
          <t>L0.4.1</t>
        </is>
      </c>
      <c r="C10" t="inlineStr">
        <is>
          <t>Role-Based Access Control for Factory Datastores</t>
        </is>
      </c>
      <c r="D10" t="inlineStr">
        <is>
          <t>Yes</t>
        </is>
      </c>
      <c r="E10" t="inlineStr">
        <is>
          <t>H.4.1; H.4.2; H.4.3; H.4.4; H.4.5</t>
        </is>
      </c>
    </row>
    <row r="11">
      <c r="B11" t="inlineStr">
        <is>
          <t>L0.4.2</t>
        </is>
      </c>
      <c r="C11" t="inlineStr">
        <is>
          <t>Factory Employee Access to Datastores</t>
        </is>
      </c>
      <c r="D11" t="inlineStr">
        <is>
          <t>Yes</t>
        </is>
      </c>
      <c r="E11" t="inlineStr">
        <is>
          <t>H.4.1; H.4.2; H.4.3; H.4.4; H.4.5</t>
        </is>
      </c>
    </row>
    <row r="12">
      <c r="B12" t="inlineStr">
        <is>
          <t>L0.4.3</t>
        </is>
      </c>
      <c r="C12" t="inlineStr">
        <is>
          <t>Role-Based Access Control for External Entities</t>
        </is>
      </c>
      <c r="D12" t="inlineStr">
        <is>
          <t>No</t>
        </is>
      </c>
      <c r="F12" t="inlineStr">
        <is>
          <t>No</t>
        </is>
      </c>
      <c r="H12" t="inlineStr">
        <is>
          <t>Dealer RBAC</t>
        </is>
      </c>
    </row>
    <row r="13">
      <c r="B13" t="inlineStr">
        <is>
          <t>L0.4.4</t>
        </is>
      </c>
      <c r="C13" t="inlineStr">
        <is>
          <t>System Admin Access Control</t>
        </is>
      </c>
      <c r="D13" t="inlineStr">
        <is>
          <t>No</t>
        </is>
      </c>
      <c r="F13" t="inlineStr">
        <is>
          <t>No</t>
        </is>
      </c>
    </row>
    <row r="14">
      <c r="B14" t="inlineStr">
        <is>
          <t>L0.4.5</t>
        </is>
      </c>
      <c r="C14" t="inlineStr">
        <is>
          <t>Operations Manager Access Control</t>
        </is>
      </c>
      <c r="D14" t="inlineStr">
        <is>
          <t>No</t>
        </is>
      </c>
      <c r="F14" t="inlineStr">
        <is>
          <t>No</t>
        </is>
      </c>
    </row>
    <row r="15">
      <c r="B15" t="inlineStr">
        <is>
          <t>L0.4.6</t>
        </is>
      </c>
      <c r="C15" t="inlineStr">
        <is>
          <t>Security Manager Access Control</t>
        </is>
      </c>
      <c r="D15" t="inlineStr">
        <is>
          <t>No</t>
        </is>
      </c>
      <c r="F15" t="inlineStr">
        <is>
          <t>No</t>
        </is>
      </c>
    </row>
    <row r="16" ht="16.35" customHeight="1" s="54">
      <c r="A16" s="49" t="inlineStr">
        <is>
          <t>The {organization} shall maintain a record of {all privileges allocated}</t>
        </is>
      </c>
      <c r="B16" t="inlineStr">
        <is>
          <t>L0.5.1</t>
        </is>
      </c>
      <c r="C16" t="inlineStr">
        <is>
          <t>Record of Access Privileges for Car Manufacturer Employees</t>
        </is>
      </c>
      <c r="D16" t="inlineStr">
        <is>
          <t>Yes</t>
        </is>
      </c>
      <c r="E16" t="inlineStr">
        <is>
          <t>H.5.1; H.5.2</t>
        </is>
      </c>
    </row>
    <row r="17">
      <c r="B17" t="inlineStr">
        <is>
          <t>L0.5.2</t>
        </is>
      </c>
      <c r="C17" t="inlineStr">
        <is>
          <t>Record of Privileges for Factory System Admins</t>
        </is>
      </c>
      <c r="D17" t="inlineStr">
        <is>
          <t>No</t>
        </is>
      </c>
      <c r="F17" t="inlineStr">
        <is>
          <t>No</t>
        </is>
      </c>
    </row>
    <row r="18">
      <c r="B18" t="inlineStr">
        <is>
          <t>L0.5.3</t>
        </is>
      </c>
      <c r="C18" t="inlineStr">
        <is>
          <t>Record of Role-Based Permissions for Employee Roles</t>
        </is>
      </c>
      <c r="D18" t="inlineStr">
        <is>
          <t>Yes</t>
        </is>
      </c>
      <c r="E18" t="inlineStr">
        <is>
          <t>H.5.1</t>
        </is>
      </c>
      <c r="H18" t="inlineStr">
        <is>
          <t>Homogeneous to L0.5.1</t>
        </is>
      </c>
    </row>
    <row r="19">
      <c r="B19" t="inlineStr">
        <is>
          <t>L0.5.4</t>
        </is>
      </c>
      <c r="C19" t="inlineStr">
        <is>
          <t>Record of Access Privileges for Forwarder Contractors</t>
        </is>
      </c>
      <c r="D19" t="inlineStr">
        <is>
          <t>No</t>
        </is>
      </c>
      <c r="F19" t="inlineStr">
        <is>
          <t>Yes</t>
        </is>
      </c>
      <c r="G19" t="inlineStr">
        <is>
          <t>Responsibility leakage</t>
        </is>
      </c>
      <c r="H19" t="inlineStr">
        <is>
          <t>Forwarder is out-of-the-scope of SOT</t>
        </is>
      </c>
    </row>
    <row r="20" ht="16.35" customHeight="1" s="54">
      <c r="A20" s="44" t="inlineStr">
        <is>
          <t>The {organization} shall regularly review {users} with privileged access rights to ensure that their {duties}, {roles}, {responsibilities}, and {competence} still justify such access</t>
        </is>
      </c>
      <c r="B20" t="inlineStr">
        <is>
          <t>L0.6.1</t>
        </is>
      </c>
      <c r="C20" t="inlineStr">
        <is>
          <t>Regular Review of Privileged Access Rights</t>
        </is>
      </c>
      <c r="D20" t="inlineStr">
        <is>
          <t>Yes</t>
        </is>
      </c>
      <c r="E20" t="inlineStr">
        <is>
          <t>H.6.1</t>
        </is>
      </c>
    </row>
    <row r="21">
      <c r="B21" t="inlineStr">
        <is>
          <t>L0.6.2</t>
        </is>
      </c>
      <c r="C21" t="inlineStr">
        <is>
          <t>Justification of Privileged Access Rights</t>
        </is>
      </c>
      <c r="D21" t="inlineStr">
        <is>
          <t>No</t>
        </is>
      </c>
      <c r="F21" t="inlineStr">
        <is>
          <t>No</t>
        </is>
      </c>
    </row>
    <row r="22" ht="16.35" customHeight="1" s="54">
      <c r="A22" s="49" t="inlineStr">
        <is>
          <t>{Connection} of {systems} to the {network} must be restricted and filtered, e.g., using firewalls.</t>
        </is>
      </c>
      <c r="B22" t="inlineStr">
        <is>
          <t>L0.7.1</t>
        </is>
      </c>
      <c r="C22" t="inlineStr">
        <is>
          <t>Factory Network Connection Restriction and Filtering</t>
        </is>
      </c>
      <c r="D22" t="inlineStr">
        <is>
          <t>Yes</t>
        </is>
      </c>
      <c r="E22" t="inlineStr">
        <is>
          <t>H.7.1</t>
        </is>
      </c>
    </row>
    <row r="23">
      <c r="B23" t="inlineStr">
        <is>
          <t>L0.7.2</t>
        </is>
      </c>
      <c r="C23" t="inlineStr">
        <is>
          <t>Secure IT Infrastructure Configuration</t>
        </is>
      </c>
      <c r="D23" t="inlineStr">
        <is>
          <t>No</t>
        </is>
      </c>
      <c r="F23" t="inlineStr">
        <is>
          <t>No</t>
        </is>
      </c>
      <c r="H23" t="inlineStr">
        <is>
          <t>Securize internal net</t>
        </is>
      </c>
    </row>
    <row r="24">
      <c r="B24" t="inlineStr">
        <is>
          <t>L0.7.3</t>
        </is>
      </c>
      <c r="C24" t="inlineStr">
        <is>
          <t>Filtered Network Access for IoT Middleware Platforms</t>
        </is>
      </c>
      <c r="D24" t="inlineStr">
        <is>
          <t>No</t>
        </is>
      </c>
      <c r="F24" t="inlineStr">
        <is>
          <t>No</t>
        </is>
      </c>
    </row>
    <row r="25">
      <c r="B25" t="inlineStr">
        <is>
          <t>L0.7.4</t>
        </is>
      </c>
      <c r="C25" t="inlineStr">
        <is>
          <t>Secure Network Access for AGVs and Robots</t>
        </is>
      </c>
      <c r="D25" t="inlineStr">
        <is>
          <t>No</t>
        </is>
      </c>
      <c r="F25" t="inlineStr">
        <is>
          <t>No</t>
        </is>
      </c>
    </row>
    <row r="26" ht="15" customHeight="1" s="54">
      <c r="A26" s="44" t="inlineStr">
        <is>
          <t>{Network administration channels} must be segregated from {other network traffic}</t>
        </is>
      </c>
      <c r="B26" t="inlineStr">
        <is>
          <t>L0.8.1</t>
        </is>
      </c>
      <c r="C26" t="inlineStr">
        <is>
          <t>Segregation of System Admin Network Channels</t>
        </is>
      </c>
      <c r="D26" t="inlineStr">
        <is>
          <t>Yes</t>
        </is>
      </c>
      <c r="E26" t="inlineStr">
        <is>
          <t>H.8.1</t>
        </is>
      </c>
    </row>
    <row r="27">
      <c r="B27" t="inlineStr">
        <is>
          <t>L0.8.2</t>
        </is>
      </c>
      <c r="C27" t="inlineStr">
        <is>
          <t>Isolation of Network Administration from Logistics Network Traffic</t>
        </is>
      </c>
      <c r="D27" t="inlineStr">
        <is>
          <t>No</t>
        </is>
      </c>
      <c r="F27" t="inlineStr">
        <is>
          <t>No</t>
        </is>
      </c>
      <c r="H27" t="inlineStr">
        <is>
          <t>Nets must not only be segregated but also isolated</t>
        </is>
      </c>
    </row>
    <row r="28" ht="16.35" customHeight="1" s="54">
      <c r="A28" s="49" t="inlineStr">
        <is>
          <t>Implement cryptographic measures to safeguard {information stored} on {mobile user} {endpoint devices} or {storage media} and transmitted over {networks}</t>
        </is>
      </c>
      <c r="B28" t="inlineStr">
        <is>
          <t>L0.9.1</t>
        </is>
      </c>
      <c r="C28" t="inlineStr">
        <is>
          <t>Cryptographic Protection of Warehouse Inventory Data</t>
        </is>
      </c>
      <c r="D28" t="inlineStr">
        <is>
          <t>Yes</t>
        </is>
      </c>
      <c r="E28" t="inlineStr">
        <is>
          <t>H.9.1</t>
        </is>
      </c>
    </row>
    <row r="29">
      <c r="B29" t="inlineStr">
        <is>
          <t>L0.9.2</t>
        </is>
      </c>
      <c r="C29" t="inlineStr">
        <is>
          <t>Secure Communication for Handheld Devices</t>
        </is>
      </c>
      <c r="D29" t="inlineStr">
        <is>
          <t>Yes</t>
        </is>
      </c>
      <c r="E29" t="inlineStr">
        <is>
          <t>H.9.2</t>
        </is>
      </c>
    </row>
    <row r="30">
      <c r="B30" t="inlineStr">
        <is>
          <t>L0.9.3</t>
        </is>
      </c>
      <c r="C30" t="inlineStr">
        <is>
          <t>Encryption of AIDC Data Carriers</t>
        </is>
      </c>
      <c r="D30" t="inlineStr">
        <is>
          <t>Yes</t>
        </is>
      </c>
      <c r="E30" t="inlineStr">
        <is>
          <t>H.9.1</t>
        </is>
      </c>
    </row>
    <row r="31">
      <c r="B31" t="inlineStr">
        <is>
          <t>L0.9.4</t>
        </is>
      </c>
      <c r="C31" t="inlineStr">
        <is>
          <t>Secure Transmission of Production Plans and Shipment Details</t>
        </is>
      </c>
      <c r="D31" t="inlineStr">
        <is>
          <t>Partial</t>
        </is>
      </c>
      <c r="E31" t="inlineStr">
        <is>
          <t>H.9.3</t>
        </is>
      </c>
      <c r="F31" t="inlineStr">
        <is>
          <t>No</t>
        </is>
      </c>
      <c r="H31" t="inlineStr">
        <is>
          <t>Partial hallucination and partial discovery</t>
        </is>
      </c>
    </row>
    <row r="32" ht="16.35" customHeight="1" s="54">
      <c r="A32" s="49" t="inlineStr">
        <is>
          <t>Establish a comprehensive key management system, including procedures for generating and protecting {cryptographic keys} and recovering {encrypted data} in case of lost, compromised, or damaged {keys}</t>
        </is>
      </c>
      <c r="B32" t="inlineStr">
        <is>
          <t>L0.10.1</t>
        </is>
      </c>
      <c r="C32" t="inlineStr">
        <is>
          <t>Comprehensive Key Management for Factory IT Infrastructure</t>
        </is>
      </c>
      <c r="D32" t="inlineStr">
        <is>
          <t>Partial</t>
        </is>
      </c>
      <c r="E32" t="inlineStr">
        <is>
          <t>H.10.3</t>
        </is>
      </c>
      <c r="F32" t="inlineStr">
        <is>
          <t>No</t>
        </is>
      </c>
    </row>
    <row r="33">
      <c r="B33" t="inlineStr">
        <is>
          <t>L0.10.2</t>
        </is>
      </c>
      <c r="C33" t="inlineStr">
        <is>
          <t>Secure Key Management for Automated Systems</t>
        </is>
      </c>
      <c r="D33" t="inlineStr">
        <is>
          <t>No</t>
        </is>
      </c>
      <c r="F33" t="inlineStr">
        <is>
          <t>No</t>
        </is>
      </c>
    </row>
    <row r="34">
      <c r="B34" t="inlineStr">
        <is>
          <t>L0.10.3</t>
        </is>
      </c>
      <c r="C34" t="inlineStr">
        <is>
          <t>Key Management Roles and Responsibilities</t>
        </is>
      </c>
      <c r="D34" t="inlineStr">
        <is>
          <t>Yes</t>
        </is>
      </c>
      <c r="E34" t="inlineStr">
        <is>
          <t>H.10.1</t>
        </is>
      </c>
    </row>
    <row r="35" ht="14.45" customHeight="1" s="54">
      <c r="B35" s="16" t="inlineStr">
        <is>
          <t>Count</t>
        </is>
      </c>
      <c r="C35" s="16" t="inlineStr">
        <is>
          <t>No</t>
        </is>
      </c>
      <c r="D35" s="16">
        <f>COUNTIF(D2:D34,"No")</f>
        <v/>
      </c>
      <c r="E35" s="16" t="inlineStr">
        <is>
          <t>Hallucinations</t>
        </is>
      </c>
      <c r="F35" s="16">
        <f>COUNTIF(F2:F34,"Yes")</f>
        <v/>
      </c>
    </row>
    <row r="36" ht="15" customHeight="1" s="54">
      <c r="B36" s="47" t="n"/>
      <c r="C36" s="16" t="inlineStr">
        <is>
          <t>Yes</t>
        </is>
      </c>
      <c r="D36" s="16">
        <f>COUNTIF(D2:D34,"Yes")</f>
        <v/>
      </c>
      <c r="E36" s="16" t="inlineStr">
        <is>
          <t>Partial hallucinations</t>
        </is>
      </c>
      <c r="F36">
        <f>COUNTIFS(D:D,"Partial",F:F,"Yes")</f>
        <v/>
      </c>
    </row>
    <row r="37" ht="15" customHeight="1" s="54">
      <c r="B37" s="47" t="n"/>
      <c r="C37" s="16" t="inlineStr">
        <is>
          <t>Partial</t>
        </is>
      </c>
      <c r="D37" s="16">
        <f>COUNTIF(D2:D34,"Partial")</f>
        <v/>
      </c>
      <c r="E37" s="10" t="inlineStr">
        <is>
          <t>Template drift</t>
        </is>
      </c>
      <c r="F37">
        <f>COUNTIF($G$2:$G$34,E37)</f>
        <v/>
      </c>
    </row>
    <row r="38" ht="15" customHeight="1" s="54">
      <c r="E38" s="10" t="inlineStr">
        <is>
          <t>Contextual misfit</t>
        </is>
      </c>
      <c r="F38">
        <f>COUNTIF($G$2:$G$34,E38)</f>
        <v/>
      </c>
    </row>
    <row r="39" ht="15" customHeight="1" s="54">
      <c r="E39" s="10" t="inlineStr">
        <is>
          <t>Scope misalignment</t>
        </is>
      </c>
      <c r="F39">
        <f>COUNTIF($G$2:$G$34,E39)</f>
        <v/>
      </c>
    </row>
    <row r="40" ht="15" customHeight="1" s="54">
      <c r="E40" s="10" t="inlineStr">
        <is>
          <t>Responsibility leakage</t>
        </is>
      </c>
      <c r="F40">
        <f>COUNTIF($G$2:$G$34,E40)</f>
        <v/>
      </c>
    </row>
    <row r="41" ht="15" customHeight="1" s="54">
      <c r="E41" s="10" t="inlineStr">
        <is>
          <t>Architectural infeasibility</t>
        </is>
      </c>
      <c r="F41">
        <f>COUNTIF($G$2:$G$34,E41)</f>
        <v/>
      </c>
    </row>
    <row r="42" ht="15" customHeight="1" s="54"/>
    <row r="43" ht="15" customHeight="1" s="54">
      <c r="E43" s="16" t="inlineStr">
        <is>
          <t>Discoveries</t>
        </is>
      </c>
      <c r="F43" s="16">
        <f>COUNTIF(F2:F34,"No")</f>
        <v/>
      </c>
    </row>
    <row r="73">
      <c r="AA73" t="inlineStr">
        <is>
          <t>G0_ii.10.2</t>
        </is>
      </c>
    </row>
  </sheetData>
  <mergeCells count="10">
    <mergeCell ref="A7:A9"/>
    <mergeCell ref="A4:A6"/>
    <mergeCell ref="A26:A27"/>
    <mergeCell ref="A28:A31"/>
    <mergeCell ref="A20:A21"/>
    <mergeCell ref="A10:A15"/>
    <mergeCell ref="A2:A3"/>
    <mergeCell ref="A32:A34"/>
    <mergeCell ref="A16:A19"/>
    <mergeCell ref="A22:A25"/>
  </mergeCells>
  <conditionalFormatting sqref="D2:D34">
    <cfRule type="containsText" priority="4" operator="containsText" dxfId="6" text="Partial">
      <formula>NOT(ISERROR(SEARCH("Partial",D2)))</formula>
    </cfRule>
    <cfRule type="containsText" priority="5" operator="containsText" dxfId="0" text="No">
      <formula>NOT(ISERROR(SEARCH("No",D2)))</formula>
    </cfRule>
    <cfRule type="containsText" priority="6" operator="containsText" dxfId="1" text="Yes">
      <formula>NOT(ISERROR(SEARCH("Yes",D2)))</formula>
    </cfRule>
  </conditionalFormatting>
  <conditionalFormatting sqref="F2:F34 G2:G108">
    <cfRule type="containsText" priority="2" operator="containsText" dxfId="1" text="No">
      <formula>NOT(ISERROR(SEARCH("No",F2)))</formula>
    </cfRule>
    <cfRule type="containsText" priority="3" operator="containsText" dxfId="0" text="Yes">
      <formula>NOT(ISERROR(SEARCH("Yes",F2)))</formula>
    </cfRule>
  </conditionalFormatting>
  <dataValidations count="3">
    <dataValidation sqref="D2:D34" showDropDown="0" showInputMessage="1" showErrorMessage="1" allowBlank="1" type="list" operator="equal">
      <formula1>"Yes,No,Partial"</formula1>
      <formula2>0</formula2>
    </dataValidation>
    <dataValidation sqref="F2:F34" showDropDown="0" showInputMessage="1" showErrorMessage="1" allowBlank="1" type="list" operator="equal">
      <formula1>"Yes,No"</formula1>
      <formula2>0</formula2>
    </dataValidation>
    <dataValidation sqref="G2:G108" showDropDown="0" showInputMessage="1" showErrorMessage="1" allowBlank="1" operator="equal">
      <formula1>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78"/>
  <sheetViews>
    <sheetView zoomScale="85" zoomScaleNormal="85" workbookViewId="0">
      <selection activeCell="F41" sqref="F41"/>
    </sheetView>
  </sheetViews>
  <sheetFormatPr baseColWidth="8" defaultColWidth="9.140625" defaultRowHeight="14.45"/>
  <cols>
    <col width="60.7109375" customWidth="1" style="44" min="1" max="1"/>
    <col width="60.7109375" customWidth="1" style="54" min="3" max="3"/>
    <col width="14.7109375" customWidth="1" style="54" min="4" max="4"/>
    <col width="30.7109375" customWidth="1" style="54" min="5" max="5"/>
    <col width="14.7109375" customWidth="1" style="54" min="6" max="7"/>
    <col width="60.7109375" customWidth="1" style="54" min="8" max="8"/>
  </cols>
  <sheetData>
    <row r="1">
      <c r="A1" s="48" t="inlineStr">
        <is>
          <t>Norm</t>
        </is>
      </c>
      <c r="B1" s="53" t="inlineStr">
        <is>
          <t>L0_ii.#</t>
        </is>
      </c>
      <c r="C1" s="53" t="inlineStr">
        <is>
          <t>Automated requirement name</t>
        </is>
      </c>
      <c r="D1" s="53" t="inlineStr">
        <is>
          <t>Present</t>
        </is>
      </c>
      <c r="E1" s="53" t="inlineStr">
        <is>
          <t>Support</t>
        </is>
      </c>
      <c r="F1" s="53" t="inlineStr">
        <is>
          <t>Hallucination</t>
        </is>
      </c>
      <c r="G1" s="53" t="inlineStr">
        <is>
          <t>Hall. Type</t>
        </is>
      </c>
      <c r="H1" s="53" t="inlineStr">
        <is>
          <t>Rationale</t>
        </is>
      </c>
    </row>
    <row r="2" ht="15" customHeight="1" s="54">
      <c r="A2" s="49" t="inlineStr">
        <is>
          <t>Help messages during the {log-on procedure} must not aid an unauthorized user, e.g., by indicating which {parts of the data} are correct or incorrect</t>
        </is>
      </c>
      <c r="B2" t="inlineStr">
        <is>
          <t>L0_ii.1.1</t>
        </is>
      </c>
      <c r="C2" t="inlineStr">
        <is>
          <t>Secure Log-on Feedback</t>
        </is>
      </c>
      <c r="D2" t="inlineStr">
        <is>
          <t>Yes</t>
        </is>
      </c>
      <c r="E2" t="inlineStr">
        <is>
          <t>H.1.1</t>
        </is>
      </c>
    </row>
    <row r="3" ht="15" customHeight="1" s="54">
      <c r="B3" t="inlineStr">
        <is>
          <t>L0_ii.1.2</t>
        </is>
      </c>
      <c r="C3" t="inlineStr">
        <is>
          <t>Protection of Sensitive Log-on Information</t>
        </is>
      </c>
      <c r="D3" t="inlineStr">
        <is>
          <t>Yes</t>
        </is>
      </c>
      <c r="E3" t="inlineStr">
        <is>
          <t>H.1.1</t>
        </is>
      </c>
    </row>
    <row r="4" ht="16.35" customHeight="1" s="54">
      <c r="A4" s="49" t="inlineStr">
        <is>
          <t>A security incident must be raised if a potential attempted or successful breach of {log-on controls} is detected, and, when the risk of the incident warrants it, the account shall be temporarily restricted, plus an alert shall be sent to the {account owner}, and to the {organization's system administrators}.</t>
        </is>
      </c>
      <c r="B4" t="inlineStr">
        <is>
          <t>L0_ii.2.1</t>
        </is>
      </c>
      <c r="C4" t="inlineStr">
        <is>
          <t>Intrusion Detection</t>
        </is>
      </c>
      <c r="D4" t="inlineStr">
        <is>
          <t>No</t>
        </is>
      </c>
      <c r="F4" t="inlineStr">
        <is>
          <t>Yes</t>
        </is>
      </c>
      <c r="G4" t="inlineStr">
        <is>
          <t>Scope misalignment</t>
        </is>
      </c>
    </row>
    <row r="5">
      <c r="B5" t="inlineStr">
        <is>
          <t>L0_ii.2.2</t>
        </is>
      </c>
      <c r="C5" t="inlineStr">
        <is>
          <t>System Access Control</t>
        </is>
      </c>
      <c r="D5" t="inlineStr">
        <is>
          <t>Yes</t>
        </is>
      </c>
      <c r="E5" t="inlineStr">
        <is>
          <t>H.2.1</t>
        </is>
      </c>
    </row>
    <row r="6">
      <c r="B6" t="inlineStr">
        <is>
          <t>L0_ii.2.3</t>
        </is>
      </c>
      <c r="C6" t="inlineStr">
        <is>
          <t>Asset Access Control</t>
        </is>
      </c>
      <c r="D6" t="inlineStr">
        <is>
          <t>No</t>
        </is>
      </c>
      <c r="F6" t="inlineStr">
        <is>
          <t>Yes</t>
        </is>
      </c>
      <c r="G6" t="inlineStr">
        <is>
          <t>Scope misalignment</t>
        </is>
      </c>
    </row>
    <row r="7" ht="15" customHeight="1" s="54">
      <c r="A7" s="49" t="inlineStr">
        <is>
          <t>Physical or logical access controls must be implemented to isolate {sensitive applications, data, or systems}.</t>
        </is>
      </c>
      <c r="B7" t="inlineStr">
        <is>
          <t>L0_ii.3.1</t>
        </is>
      </c>
      <c r="C7" t="inlineStr">
        <is>
          <t>Access Control for Sensitive Data Stores</t>
        </is>
      </c>
      <c r="D7" t="inlineStr">
        <is>
          <t>Yes</t>
        </is>
      </c>
      <c r="E7" s="44" t="inlineStr">
        <is>
          <t>H.3.1</t>
        </is>
      </c>
    </row>
    <row r="8" ht="15" customHeight="1" s="54">
      <c r="B8" t="inlineStr">
        <is>
          <t>L0_ii.3.2</t>
        </is>
      </c>
      <c r="C8" t="inlineStr">
        <is>
          <t>Factory Premises Access Control</t>
        </is>
      </c>
      <c r="D8" t="inlineStr">
        <is>
          <t>No</t>
        </is>
      </c>
      <c r="F8" t="inlineStr">
        <is>
          <t>Yes</t>
        </is>
      </c>
      <c r="G8" t="inlineStr">
        <is>
          <t>Scope misalignment</t>
        </is>
      </c>
    </row>
    <row r="9" ht="15" customHeight="1" s="54">
      <c r="B9" t="inlineStr">
        <is>
          <t>L0_ii.3.3</t>
        </is>
      </c>
      <c r="C9" t="inlineStr">
        <is>
          <t>System Front-end Application Access Control</t>
        </is>
      </c>
      <c r="D9" t="inlineStr">
        <is>
          <t>Yes</t>
        </is>
      </c>
      <c r="E9" s="44" t="inlineStr">
        <is>
          <t>H.3.4</t>
        </is>
      </c>
    </row>
    <row r="10" ht="15" customHeight="1" s="54">
      <c r="B10" t="inlineStr">
        <is>
          <t>L0_ii.3.4</t>
        </is>
      </c>
      <c r="C10" t="inlineStr">
        <is>
          <t>AIDC Technologies Access Control</t>
        </is>
      </c>
      <c r="D10" t="inlineStr">
        <is>
          <t>Yes</t>
        </is>
      </c>
      <c r="E10" s="44" t="inlineStr">
        <is>
          <t>H.3.5</t>
        </is>
      </c>
    </row>
    <row r="11" ht="15" customHeight="1" s="54">
      <c r="B11" t="inlineStr">
        <is>
          <t>L0_ii.3.5</t>
        </is>
      </c>
      <c r="C11" t="inlineStr">
        <is>
          <t>IT Infrastructure Access Control</t>
        </is>
      </c>
      <c r="D11" t="inlineStr">
        <is>
          <t>Yes</t>
        </is>
      </c>
      <c r="E11" s="44" t="inlineStr">
        <is>
          <t>H.3.2</t>
        </is>
      </c>
    </row>
    <row r="12" ht="16.35" customHeight="1" s="54">
      <c r="A12" s="49" t="inlineStr">
        <is>
          <t>{Access to data} must be controlled based on {user identity, group membership, and assigned roles}</t>
        </is>
      </c>
      <c r="B12" t="inlineStr">
        <is>
          <t>L0_ii.4.1</t>
        </is>
      </c>
      <c r="C12" t="inlineStr">
        <is>
          <t>Role-Based Access Control</t>
        </is>
      </c>
      <c r="D12" t="inlineStr">
        <is>
          <t>Yes</t>
        </is>
      </c>
      <c r="E12" t="inlineStr">
        <is>
          <t>H.4.1; H.4.2; H.4.3; H.4.5; H.4.7</t>
        </is>
      </c>
    </row>
    <row r="13">
      <c r="B13" t="inlineStr">
        <is>
          <t>L0_ii.4.2</t>
        </is>
      </c>
      <c r="C13" t="inlineStr">
        <is>
          <t>Group-Based Access Control</t>
        </is>
      </c>
      <c r="D13" t="inlineStr">
        <is>
          <t>Yes</t>
        </is>
      </c>
      <c r="E13" t="inlineStr">
        <is>
          <t>H.4.1; H.4.2; H.4.3</t>
        </is>
      </c>
    </row>
    <row r="14">
      <c r="B14" t="inlineStr">
        <is>
          <t>L0_ii.4.3</t>
        </is>
      </c>
      <c r="C14" t="inlineStr">
        <is>
          <t>User Identity-Based Access Control</t>
        </is>
      </c>
      <c r="D14" t="inlineStr">
        <is>
          <t>Yes</t>
        </is>
      </c>
      <c r="E14" t="inlineStr">
        <is>
          <t>H.4.1; H.4.2; H.4.3</t>
        </is>
      </c>
    </row>
    <row r="15">
      <c r="B15" t="inlineStr">
        <is>
          <t>L0_ii.4.4</t>
        </is>
      </c>
      <c r="C15" t="inlineStr">
        <is>
          <t>Secure Access to Sensitive Data Stores</t>
        </is>
      </c>
      <c r="D15" t="inlineStr">
        <is>
          <t>Yes</t>
        </is>
      </c>
      <c r="E15" t="inlineStr">
        <is>
          <t>H.4.1; H.4.2; H.4.3</t>
        </is>
      </c>
    </row>
    <row r="16" ht="16.35" customHeight="1" s="54">
      <c r="A16" s="49" t="inlineStr">
        <is>
          <t>The {organization} shall maintain a record of {all privileges allocated}</t>
        </is>
      </c>
      <c r="B16" t="inlineStr">
        <is>
          <t>L0_ii.5.1</t>
        </is>
      </c>
      <c r="C16" t="inlineStr">
        <is>
          <t>Role-Based Access Control Record</t>
        </is>
      </c>
      <c r="D16" t="inlineStr">
        <is>
          <t>Partial</t>
        </is>
      </c>
      <c r="E16" t="inlineStr">
        <is>
          <t>H.5.1</t>
        </is>
      </c>
      <c r="F16" t="inlineStr">
        <is>
          <t>No</t>
        </is>
      </c>
    </row>
    <row r="17">
      <c r="B17" t="inlineStr">
        <is>
          <t>L0_ii.5.2</t>
        </is>
      </c>
      <c r="C17" t="inlineStr">
        <is>
          <t>Privilege Allocation Tracking</t>
        </is>
      </c>
      <c r="D17" t="inlineStr">
        <is>
          <t>Yes</t>
        </is>
      </c>
      <c r="E17" t="inlineStr">
        <is>
          <t>H.5.1</t>
        </is>
      </c>
    </row>
    <row r="18">
      <c r="B18" t="inlineStr">
        <is>
          <t>L0_ii.5.3</t>
        </is>
      </c>
      <c r="C18" t="inlineStr">
        <is>
          <t>Security Procedure Accountability</t>
        </is>
      </c>
      <c r="D18" t="inlineStr">
        <is>
          <t>Yes</t>
        </is>
      </c>
      <c r="E18" t="inlineStr">
        <is>
          <t>H.5.1</t>
        </is>
      </c>
    </row>
    <row r="19">
      <c r="B19" t="inlineStr">
        <is>
          <t>L0_ii.5.4</t>
        </is>
      </c>
      <c r="C19" t="inlineStr">
        <is>
          <t>User Management Record</t>
        </is>
      </c>
      <c r="D19" t="inlineStr">
        <is>
          <t>Yes</t>
        </is>
      </c>
      <c r="E19" t="inlineStr">
        <is>
          <t>H.5.2</t>
        </is>
      </c>
    </row>
    <row r="20">
      <c r="B20" t="inlineStr">
        <is>
          <t>L0_ii.5.5</t>
        </is>
      </c>
      <c r="C20" t="inlineStr">
        <is>
          <t>Operations Management Privilege Record</t>
        </is>
      </c>
      <c r="D20" t="inlineStr">
        <is>
          <t>Yes</t>
        </is>
      </c>
      <c r="E20" t="inlineStr">
        <is>
          <t>H.5.1</t>
        </is>
      </c>
    </row>
    <row r="21" ht="16.35" customHeight="1" s="54">
      <c r="A21" s="44" t="inlineStr">
        <is>
          <t>The {organization} shall regularly review {users} with privileged access rights to ensure that their {duties}, {roles}, {responsibilities}, and {competence} still justify such access</t>
        </is>
      </c>
      <c r="B21" t="inlineStr">
        <is>
          <t>L0_ii.6.1</t>
        </is>
      </c>
      <c r="C21" t="inlineStr">
        <is>
          <t>Regular Privileged Access Review</t>
        </is>
      </c>
      <c r="D21" t="inlineStr">
        <is>
          <t>Partial</t>
        </is>
      </c>
      <c r="E21" t="inlineStr">
        <is>
          <t>H.6.1</t>
        </is>
      </c>
      <c r="F21" t="inlineStr">
        <is>
          <t>No</t>
        </is>
      </c>
    </row>
    <row r="22">
      <c r="B22" t="inlineStr">
        <is>
          <t>L0_ii.6.2</t>
        </is>
      </c>
      <c r="C22" t="inlineStr">
        <is>
          <t>Role-Based Access Control</t>
        </is>
      </c>
      <c r="D22" t="inlineStr">
        <is>
          <t>No</t>
        </is>
      </c>
      <c r="F22" t="inlineStr">
        <is>
          <t>Yes</t>
        </is>
      </c>
      <c r="G22" t="inlineStr">
        <is>
          <t>Template drift</t>
        </is>
      </c>
    </row>
    <row r="23" ht="16.35" customHeight="1" s="54">
      <c r="A23" s="49" t="inlineStr">
        <is>
          <t>{Connection} of {systems} to the {network} must be restricted and filtered, e.g., using firewalls.</t>
        </is>
      </c>
      <c r="B23" t="inlineStr">
        <is>
          <t>L0_ii.7.1</t>
        </is>
      </c>
      <c r="C23" t="inlineStr">
        <is>
          <t>Factory Network Access Control</t>
        </is>
      </c>
      <c r="D23" t="inlineStr">
        <is>
          <t>Yes</t>
        </is>
      </c>
      <c r="E23" t="inlineStr">
        <is>
          <t>H.7.1</t>
        </is>
      </c>
    </row>
    <row r="24" ht="13.9" customHeight="1" s="54">
      <c r="B24" t="inlineStr">
        <is>
          <t>L0_ii.7.2</t>
        </is>
      </c>
      <c r="C24" t="inlineStr">
        <is>
          <t>Warehouse Inventory Data Protection</t>
        </is>
      </c>
      <c r="D24" t="inlineStr">
        <is>
          <t>No</t>
        </is>
      </c>
      <c r="F24" t="inlineStr">
        <is>
          <t>Yes</t>
        </is>
      </c>
      <c r="G24" t="inlineStr">
        <is>
          <t>Template drift</t>
        </is>
      </c>
    </row>
    <row r="25" ht="13.9" customHeight="1" s="54">
      <c r="B25" t="inlineStr">
        <is>
          <t>L0_ii.7.3</t>
        </is>
      </c>
      <c r="C25" t="inlineStr">
        <is>
          <t>Production Plan Data Store Security</t>
        </is>
      </c>
      <c r="D25" t="inlineStr">
        <is>
          <t>Yes</t>
        </is>
      </c>
      <c r="E25" t="inlineStr">
        <is>
          <t>H.7.1</t>
        </is>
      </c>
    </row>
    <row r="26">
      <c r="B26" t="inlineStr">
        <is>
          <t>L0_ii.7.4</t>
        </is>
      </c>
      <c r="C26" t="inlineStr">
        <is>
          <t>Finished Car Registry Data Protection</t>
        </is>
      </c>
      <c r="D26" t="inlineStr">
        <is>
          <t>Yes</t>
        </is>
      </c>
      <c r="E26" t="inlineStr">
        <is>
          <t>H.7.1</t>
        </is>
      </c>
    </row>
    <row r="27">
      <c r="B27" t="inlineStr">
        <is>
          <t>L0_ii.7.5</t>
        </is>
      </c>
      <c r="C27" t="inlineStr">
        <is>
          <t>Supply Chain Network Segmentation</t>
        </is>
      </c>
      <c r="D27" t="inlineStr">
        <is>
          <t>Yes</t>
        </is>
      </c>
      <c r="E27" t="inlineStr">
        <is>
          <t>H.7.1</t>
        </is>
      </c>
    </row>
    <row r="28">
      <c r="B28" t="inlineStr">
        <is>
          <t>L0_ii.7.6</t>
        </is>
      </c>
      <c r="C28" t="inlineStr">
        <is>
          <t>External Network Connection Control</t>
        </is>
      </c>
      <c r="D28" t="inlineStr">
        <is>
          <t>Yes</t>
        </is>
      </c>
      <c r="E28" t="inlineStr">
        <is>
          <t>H.7.2</t>
        </is>
      </c>
    </row>
    <row r="29" ht="15" customHeight="1" s="54">
      <c r="A29" s="44" t="inlineStr">
        <is>
          <t>{Network administration channels} must be segregated from {other network traffic}</t>
        </is>
      </c>
      <c r="B29" t="inlineStr">
        <is>
          <t>L0_ii.8.1</t>
        </is>
      </c>
      <c r="C29" t="inlineStr">
        <is>
          <t>Segregation of System Admin Communication Channels</t>
        </is>
      </c>
      <c r="D29" t="inlineStr">
        <is>
          <t>Partial</t>
        </is>
      </c>
      <c r="E29" t="inlineStr">
        <is>
          <t>H.8.1</t>
        </is>
      </c>
      <c r="F29" t="inlineStr">
        <is>
          <t>No</t>
        </is>
      </c>
    </row>
    <row r="30" ht="16.35" customHeight="1" s="54">
      <c r="A30" s="49" t="inlineStr">
        <is>
          <t>Implement cryptographic measures to safeguard {information stored} on {mobile user} {endpoint devices} or {storage media} and transmitted over {networks}</t>
        </is>
      </c>
      <c r="B30" t="inlineStr">
        <is>
          <t>L0_ii.9.1</t>
        </is>
      </c>
      <c r="C30" t="inlineStr">
        <is>
          <t>Cryptographic Protection of Sensitive Data</t>
        </is>
      </c>
      <c r="D30" t="inlineStr">
        <is>
          <t>Partial</t>
        </is>
      </c>
      <c r="E30" t="inlineStr">
        <is>
          <t>H.9.1; H.9.3</t>
        </is>
      </c>
      <c r="F30" t="inlineStr">
        <is>
          <t>No</t>
        </is>
      </c>
    </row>
    <row r="31">
      <c r="B31" t="inlineStr">
        <is>
          <t>L0_ii.9.2</t>
        </is>
      </c>
      <c r="C31" t="inlineStr">
        <is>
          <t>Secure Data Storage on Physical Data Carriers</t>
        </is>
      </c>
      <c r="D31" t="inlineStr">
        <is>
          <t>Yes</t>
        </is>
      </c>
      <c r="E31" t="inlineStr">
        <is>
          <t>H.9.2</t>
        </is>
      </c>
    </row>
    <row r="32">
      <c r="B32" t="inlineStr">
        <is>
          <t>L0_ii.9.3</t>
        </is>
      </c>
      <c r="C32" t="inlineStr">
        <is>
          <t>Secure Data Transmission over External Networks</t>
        </is>
      </c>
      <c r="D32" t="inlineStr">
        <is>
          <t>No</t>
        </is>
      </c>
      <c r="F32" t="inlineStr">
        <is>
          <t>No</t>
        </is>
      </c>
    </row>
    <row r="33">
      <c r="B33" t="inlineStr">
        <is>
          <t>L0_ii.9.4</t>
        </is>
      </c>
      <c r="C33" t="inlineStr">
        <is>
          <t>Cryptographic Protection of Automated Equipment</t>
        </is>
      </c>
      <c r="D33" t="inlineStr">
        <is>
          <t>Yes</t>
        </is>
      </c>
      <c r="E33" t="inlineStr">
        <is>
          <t>H.9.2; H.9.3</t>
        </is>
      </c>
    </row>
    <row r="34" ht="16.35" customHeight="1" s="54">
      <c r="A34" s="49" t="inlineStr">
        <is>
          <t>Establish a comprehensive key management system, including procedures for generating and protecting {cryptographic keys} and recovering {encrypted data} in case of lost, compromised, or damaged {keys}</t>
        </is>
      </c>
      <c r="B34" t="inlineStr">
        <is>
          <t>L0_ii.10.1</t>
        </is>
      </c>
      <c r="C34" t="inlineStr">
        <is>
          <t>Component Data Encryption</t>
        </is>
      </c>
      <c r="D34" t="inlineStr">
        <is>
          <t>Partial</t>
        </is>
      </c>
      <c r="E34" t="inlineStr">
        <is>
          <t>H.10.2</t>
        </is>
      </c>
    </row>
    <row r="35" ht="13.9" customHeight="1" s="54">
      <c r="B35" t="inlineStr">
        <is>
          <t>L0_ii.10.2</t>
        </is>
      </c>
      <c r="C35" t="inlineStr">
        <is>
          <t>Car Data Protection</t>
        </is>
      </c>
      <c r="D35" t="inlineStr">
        <is>
          <t>No</t>
        </is>
      </c>
      <c r="F35" t="inlineStr">
        <is>
          <t>No</t>
        </is>
      </c>
    </row>
    <row r="36">
      <c r="B36" t="inlineStr">
        <is>
          <t>L0_ii.10.3</t>
        </is>
      </c>
      <c r="C36" t="inlineStr">
        <is>
          <t>Requisition and Delivery Note Encryption</t>
        </is>
      </c>
      <c r="D36" t="inlineStr">
        <is>
          <t>No</t>
        </is>
      </c>
      <c r="F36" t="inlineStr">
        <is>
          <t>No</t>
        </is>
      </c>
    </row>
    <row r="37">
      <c r="B37" t="inlineStr">
        <is>
          <t>L0_ii.10.4</t>
        </is>
      </c>
      <c r="C37" t="inlineStr">
        <is>
          <t>Purchase Order and Waybill Data Security</t>
        </is>
      </c>
      <c r="D37" t="inlineStr">
        <is>
          <t>No</t>
        </is>
      </c>
      <c r="F37" t="inlineStr">
        <is>
          <t>No</t>
        </is>
      </c>
    </row>
    <row r="38">
      <c r="B38" t="inlineStr">
        <is>
          <t>L0_ii.10.5</t>
        </is>
      </c>
      <c r="C38" t="inlineStr">
        <is>
          <t>Assembly Line Data Protection</t>
        </is>
      </c>
      <c r="D38" t="inlineStr">
        <is>
          <t>No</t>
        </is>
      </c>
      <c r="F38" t="inlineStr">
        <is>
          <t>No</t>
        </is>
      </c>
    </row>
    <row r="39">
      <c r="B39" t="inlineStr">
        <is>
          <t>L0_ii.10.6</t>
        </is>
      </c>
      <c r="C39" t="inlineStr">
        <is>
          <t>Finished Car Yard Data Encryption</t>
        </is>
      </c>
      <c r="D39" t="inlineStr">
        <is>
          <t>No</t>
        </is>
      </c>
      <c r="F39" t="inlineStr">
        <is>
          <t>No</t>
        </is>
      </c>
    </row>
    <row r="40" ht="14.45" customHeight="1" s="54">
      <c r="B40" s="16" t="inlineStr">
        <is>
          <t>Count</t>
        </is>
      </c>
      <c r="C40" s="16" t="inlineStr">
        <is>
          <t>No</t>
        </is>
      </c>
      <c r="D40" s="16">
        <f>COUNTIF(D2:D39,"No")</f>
        <v/>
      </c>
      <c r="E40" s="16" t="inlineStr">
        <is>
          <t>Hallucinations</t>
        </is>
      </c>
      <c r="F40" s="16">
        <f>COUNTIF(F2:F39,"Yes")</f>
        <v/>
      </c>
    </row>
    <row r="41" ht="14.45" customHeight="1" s="54">
      <c r="B41" s="47" t="n"/>
      <c r="C41" s="16" t="inlineStr">
        <is>
          <t>Yes</t>
        </is>
      </c>
      <c r="D41" s="16">
        <f>COUNTIF(D2:D39,"Yes")</f>
        <v/>
      </c>
      <c r="E41" s="16" t="inlineStr">
        <is>
          <t>Partial hallucinations</t>
        </is>
      </c>
      <c r="F41">
        <f>COUNTIFS(D:D,"Partial",F:F,"Yes")</f>
        <v/>
      </c>
    </row>
    <row r="42" ht="14.45" customHeight="1" s="54">
      <c r="B42" s="47" t="n"/>
      <c r="C42" s="16" t="inlineStr">
        <is>
          <t>Partial</t>
        </is>
      </c>
      <c r="D42" s="16">
        <f>COUNTIF(D2:D39,"Partial")</f>
        <v/>
      </c>
      <c r="E42" s="10" t="inlineStr">
        <is>
          <t>Template drift</t>
        </is>
      </c>
      <c r="F42">
        <f>COUNTIF($G$2:$G$39,E42)</f>
        <v/>
      </c>
    </row>
    <row r="43" ht="15" customHeight="1" s="54">
      <c r="E43" s="10" t="inlineStr">
        <is>
          <t>Contextual misfit</t>
        </is>
      </c>
      <c r="F43">
        <f>COUNTIF($G$2:$G$39,E43)</f>
        <v/>
      </c>
    </row>
    <row r="44" ht="15" customHeight="1" s="54">
      <c r="E44" s="10" t="inlineStr">
        <is>
          <t>Scope misalignment</t>
        </is>
      </c>
      <c r="F44">
        <f>COUNTIF($G$2:$G$39,E44)</f>
        <v/>
      </c>
      <c r="G44" s="26" t="n"/>
    </row>
    <row r="45" ht="15" customHeight="1" s="54">
      <c r="E45" s="10" t="inlineStr">
        <is>
          <t>Responsibility leakage</t>
        </is>
      </c>
      <c r="F45">
        <f>COUNTIF($G$2:$G$39,E45)</f>
        <v/>
      </c>
    </row>
    <row r="46" ht="15" customHeight="1" s="54">
      <c r="E46" s="10" t="inlineStr">
        <is>
          <t>Architectural infeasibility</t>
        </is>
      </c>
      <c r="F46">
        <f>COUNTIF($G$2:$G$39,E46)</f>
        <v/>
      </c>
    </row>
    <row r="47" ht="15" customHeight="1" s="54"/>
    <row r="48" ht="15" customHeight="1" s="54">
      <c r="E48" s="16" t="inlineStr">
        <is>
          <t>Discoveries</t>
        </is>
      </c>
      <c r="F48" s="16">
        <f>COUNTIF(F2:F39,"No")</f>
        <v/>
      </c>
    </row>
    <row r="78">
      <c r="AA78" t="inlineStr">
        <is>
          <t>G0_ii.10.2</t>
        </is>
      </c>
    </row>
  </sheetData>
  <mergeCells count="9">
    <mergeCell ref="A4:A6"/>
    <mergeCell ref="A16:A20"/>
    <mergeCell ref="A12:A15"/>
    <mergeCell ref="A34:A39"/>
    <mergeCell ref="A30:A33"/>
    <mergeCell ref="A2:A3"/>
    <mergeCell ref="A7:A11"/>
    <mergeCell ref="A23:A28"/>
    <mergeCell ref="A21:A22"/>
  </mergeCells>
  <conditionalFormatting sqref="D2:D39">
    <cfRule type="containsText" priority="1" operator="containsText" dxfId="6" text="Partial">
      <formula>NOT(ISERROR(SEARCH("Partial",D2)))</formula>
    </cfRule>
    <cfRule type="containsText" priority="2" operator="containsText" dxfId="0" text="No">
      <formula>NOT(ISERROR(SEARCH("No",D2)))</formula>
    </cfRule>
    <cfRule type="containsText" priority="3" operator="containsText" dxfId="1" text="Yes">
      <formula>NOT(ISERROR(SEARCH("Yes",D2)))</formula>
    </cfRule>
  </conditionalFormatting>
  <conditionalFormatting sqref="F2:G39">
    <cfRule type="containsText" priority="7" operator="containsText" dxfId="1" text="No">
      <formula>NOT(ISERROR(SEARCH("No",F2)))</formula>
    </cfRule>
    <cfRule type="containsText" priority="8" operator="containsText" dxfId="0" text="Yes">
      <formula>NOT(ISERROR(SEARCH("Yes",F2)))</formula>
    </cfRule>
  </conditionalFormatting>
  <conditionalFormatting sqref="G40:G113">
    <cfRule type="containsText" priority="27" operator="containsText" dxfId="1" text="No">
      <formula>NOT(ISERROR(SEARCH("No",G40)))</formula>
    </cfRule>
    <cfRule type="containsText" priority="28" operator="containsText" dxfId="0" text="Yes">
      <formula>NOT(ISERROR(SEARCH("Yes",G40)))</formula>
    </cfRule>
  </conditionalFormatting>
  <dataValidations count="3">
    <dataValidation sqref="D2:D39" showDropDown="0" showInputMessage="1" showErrorMessage="1" allowBlank="1" type="list" operator="equal">
      <formula1>"Yes,No,Partial"</formula1>
      <formula2>0</formula2>
    </dataValidation>
    <dataValidation sqref="F2:F39" showDropDown="0" showInputMessage="1" showErrorMessage="1" allowBlank="1" type="list" operator="equal">
      <formula1>"Yes,No"</formula1>
      <formula2>0</formula2>
    </dataValidation>
    <dataValidation sqref="G2:G113" showDropDown="0" showInputMessage="1" showErrorMessage="1" allowBlank="1" operator="equal">
      <formula1>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82"/>
  <sheetViews>
    <sheetView zoomScale="85" zoomScaleNormal="85" workbookViewId="0">
      <selection activeCell="E45" sqref="E45:F45"/>
    </sheetView>
  </sheetViews>
  <sheetFormatPr baseColWidth="8" defaultColWidth="9.140625" defaultRowHeight="14.45"/>
  <cols>
    <col width="60.7109375" customWidth="1" style="44" min="1" max="1"/>
    <col width="60.7109375" customWidth="1" style="54" min="3" max="3"/>
    <col width="14.7109375" customWidth="1" style="54" min="4" max="4"/>
    <col width="30.7109375" customWidth="1" style="54" min="5" max="5"/>
    <col width="14.7109375" customWidth="1" style="54" min="6" max="7"/>
    <col width="60.7109375" customWidth="1" style="54" min="8" max="8"/>
  </cols>
  <sheetData>
    <row r="1">
      <c r="A1" s="48" t="inlineStr">
        <is>
          <t>Norm</t>
        </is>
      </c>
      <c r="B1" s="53" t="inlineStr">
        <is>
          <t>L0_iii.#</t>
        </is>
      </c>
      <c r="C1" s="53" t="inlineStr">
        <is>
          <t>Automated requirement name</t>
        </is>
      </c>
      <c r="D1" s="53" t="inlineStr">
        <is>
          <t>Present</t>
        </is>
      </c>
      <c r="E1" s="53" t="inlineStr">
        <is>
          <t>Support</t>
        </is>
      </c>
      <c r="F1" s="53" t="inlineStr">
        <is>
          <t>Hallucination</t>
        </is>
      </c>
      <c r="G1" s="53" t="inlineStr">
        <is>
          <t>Hall. Type</t>
        </is>
      </c>
      <c r="H1" s="53" t="inlineStr">
        <is>
          <t>Rationale</t>
        </is>
      </c>
    </row>
    <row r="2" ht="15" customHeight="1" s="54">
      <c r="A2" s="49" t="inlineStr">
        <is>
          <t>Help messages during the {log-on procedure} must not aid an unauthorized user, e.g., by indicating which {parts of the data} are correct or incorrect</t>
        </is>
      </c>
      <c r="B2" t="inlineStr">
        <is>
          <t>L0_iii.1.1</t>
        </is>
      </c>
      <c r="C2" t="inlineStr">
        <is>
          <t>Secure Employee Login Feedback</t>
        </is>
      </c>
      <c r="D2" t="inlineStr">
        <is>
          <t>Yes</t>
        </is>
      </c>
      <c r="E2" t="inlineStr">
        <is>
          <t>H.1.1</t>
        </is>
      </c>
    </row>
    <row r="3" ht="15" customHeight="1" s="54">
      <c r="B3" t="inlineStr">
        <is>
          <t>L0_iii.1.2</t>
        </is>
      </c>
      <c r="C3" t="inlineStr">
        <is>
          <t>Unauthorized Access Prevention</t>
        </is>
      </c>
      <c r="D3" t="inlineStr">
        <is>
          <t>Yes</t>
        </is>
      </c>
      <c r="E3" t="inlineStr">
        <is>
          <t>H.1.1</t>
        </is>
      </c>
    </row>
    <row r="4" ht="16.35" customHeight="1" s="54">
      <c r="A4" s="49" t="inlineStr">
        <is>
          <t>A security incident must be raised if a potential attempted or successful breach of {log-on controls} is detected, and, when the risk of the incident warrants it, the account shall be temporarily restricted, plus an alert shall be sent to the {account owner}, and to the {organization's system administrators}.</t>
        </is>
      </c>
      <c r="B4" t="inlineStr">
        <is>
          <t>L0_iii.2.1</t>
        </is>
      </c>
      <c r="C4" t="inlineStr">
        <is>
          <t>Intrusion Detection for Employee Log-on</t>
        </is>
      </c>
      <c r="D4" t="inlineStr">
        <is>
          <t>Yes</t>
        </is>
      </c>
      <c r="E4" t="inlineStr">
        <is>
          <t>H.2.1</t>
        </is>
      </c>
    </row>
    <row r="5" ht="13.9" customHeight="1" s="54">
      <c r="B5" t="inlineStr">
        <is>
          <t>L0_iii.2.2</t>
        </is>
      </c>
      <c r="C5" t="inlineStr">
        <is>
          <t>Unauthorized Access Attempt Alert for Restricted Areas</t>
        </is>
      </c>
      <c r="D5" t="inlineStr">
        <is>
          <t>No</t>
        </is>
      </c>
      <c r="F5" t="inlineStr">
        <is>
          <t>Yes</t>
        </is>
      </c>
      <c r="G5" t="inlineStr">
        <is>
          <t>Scope misalignment</t>
        </is>
      </c>
    </row>
    <row r="6" ht="13.9" customHeight="1" s="54">
      <c r="B6" t="inlineStr">
        <is>
          <t>L0_iii.2.3</t>
        </is>
      </c>
      <c r="C6" t="inlineStr">
        <is>
          <t>External User Log-on Breach Detection</t>
        </is>
      </c>
      <c r="D6" t="inlineStr">
        <is>
          <t>Yes</t>
        </is>
      </c>
      <c r="E6" t="inlineStr">
        <is>
          <t>H.2.2</t>
        </is>
      </c>
    </row>
    <row r="7">
      <c r="B7" t="inlineStr">
        <is>
          <t>L0_iii.2.4</t>
        </is>
      </c>
      <c r="C7" t="inlineStr">
        <is>
          <t>Log-on Breach Detection for System Administrators</t>
        </is>
      </c>
      <c r="D7" t="inlineStr">
        <is>
          <t>Yes</t>
        </is>
      </c>
      <c r="E7" t="inlineStr">
        <is>
          <t>H.2.1</t>
        </is>
      </c>
    </row>
    <row r="8">
      <c r="B8" t="inlineStr">
        <is>
          <t>L0_iii.2.5</t>
        </is>
      </c>
      <c r="C8" t="inlineStr">
        <is>
          <t>Access Gate Control Breach Detection</t>
        </is>
      </c>
      <c r="D8" t="inlineStr">
        <is>
          <t>No</t>
        </is>
      </c>
      <c r="F8" t="inlineStr">
        <is>
          <t>Yes</t>
        </is>
      </c>
      <c r="G8" t="inlineStr">
        <is>
          <t>Scope misalignment</t>
        </is>
      </c>
    </row>
    <row r="9">
      <c r="B9" t="inlineStr">
        <is>
          <t>L0_iii.2.6</t>
        </is>
      </c>
      <c r="C9" t="inlineStr">
        <is>
          <t>Warehouse Inventory Breach Detection</t>
        </is>
      </c>
      <c r="D9" t="inlineStr">
        <is>
          <t>Yes</t>
        </is>
      </c>
      <c r="E9" t="inlineStr">
        <is>
          <t>H.2.1</t>
        </is>
      </c>
    </row>
    <row r="10">
      <c r="B10" t="inlineStr">
        <is>
          <t>L0_iii.2.7</t>
        </is>
      </c>
      <c r="C10" t="inlineStr">
        <is>
          <t>Finished Car Registry Breach Detection</t>
        </is>
      </c>
      <c r="D10" t="inlineStr">
        <is>
          <t>Yes</t>
        </is>
      </c>
      <c r="E10" t="inlineStr">
        <is>
          <t>H.2.1</t>
        </is>
      </c>
    </row>
    <row r="11">
      <c r="B11" t="inlineStr">
        <is>
          <t>L0_iii.2.8</t>
        </is>
      </c>
      <c r="C11" t="inlineStr">
        <is>
          <t>Purchase Order and Transport Order Breach Detection</t>
        </is>
      </c>
      <c r="D11" t="inlineStr">
        <is>
          <t>Yes</t>
        </is>
      </c>
      <c r="E11" t="inlineStr">
        <is>
          <t>H.2.1</t>
        </is>
      </c>
    </row>
    <row r="12" ht="15" customHeight="1" s="54">
      <c r="A12" s="49" t="inlineStr">
        <is>
          <t>Physical or logical access controls must be implemented to isolate {sensitive applications, data, or systems}.</t>
        </is>
      </c>
      <c r="B12" t="inlineStr">
        <is>
          <t>L0_iii.3.1</t>
        </is>
      </c>
      <c r="C12" t="inlineStr">
        <is>
          <t>Access Control for Sensitive Data Stores</t>
        </is>
      </c>
      <c r="D12" t="inlineStr">
        <is>
          <t>Yes</t>
        </is>
      </c>
      <c r="E12" t="inlineStr">
        <is>
          <t>H.3.1</t>
        </is>
      </c>
    </row>
    <row r="13" ht="15" customHeight="1" s="54">
      <c r="B13" t="inlineStr">
        <is>
          <t>L0_iii.3.2</t>
        </is>
      </c>
      <c r="C13" t="inlineStr">
        <is>
          <t>Secure System Access for Critical Roles</t>
        </is>
      </c>
      <c r="D13" t="inlineStr">
        <is>
          <t>Yes</t>
        </is>
      </c>
      <c r="E13" t="inlineStr">
        <is>
          <t>H.3.1</t>
        </is>
      </c>
    </row>
    <row r="14" ht="15" customHeight="1" s="54">
      <c r="B14" t="inlineStr">
        <is>
          <t>L0_iii.3.3</t>
        </is>
      </c>
      <c r="C14" t="inlineStr">
        <is>
          <t>Physical Access Control for Sensitive Areas</t>
        </is>
      </c>
      <c r="D14" t="inlineStr">
        <is>
          <t>Yes</t>
        </is>
      </c>
      <c r="E14" t="inlineStr">
        <is>
          <t>H.3.2; H.3.5</t>
        </is>
      </c>
    </row>
    <row r="15" ht="16.35" customHeight="1" s="54">
      <c r="A15" s="49" t="inlineStr">
        <is>
          <t>{Access to data} must be controlled based on {user identity, group membership, and assigned roles}</t>
        </is>
      </c>
      <c r="B15" t="inlineStr">
        <is>
          <t>L0_iii.4.1</t>
        </is>
      </c>
      <c r="C15" t="inlineStr">
        <is>
          <t>Role-Based Access Control for Datastores</t>
        </is>
      </c>
      <c r="D15" t="inlineStr">
        <is>
          <t>Yes</t>
        </is>
      </c>
      <c r="E15" t="inlineStr">
        <is>
          <t>H.4.1; H.4.2; H.4.3; H.4.5; H.4.7</t>
        </is>
      </c>
    </row>
    <row r="16">
      <c r="B16" t="inlineStr">
        <is>
          <t>L0_iii.4.2</t>
        </is>
      </c>
      <c r="C16" t="inlineStr">
        <is>
          <t>Employee Role-Based Data Access</t>
        </is>
      </c>
      <c r="D16" t="inlineStr">
        <is>
          <t>Yes</t>
        </is>
      </c>
      <c r="E16" t="inlineStr">
        <is>
          <t>H.4.1; H.4.2; H.4.3</t>
        </is>
      </c>
    </row>
    <row r="17" ht="16.35" customHeight="1" s="54">
      <c r="A17" s="49" t="inlineStr">
        <is>
          <t>The {organization} shall maintain a record of {all privileges allocated}</t>
        </is>
      </c>
      <c r="B17" t="inlineStr">
        <is>
          <t>L0_iii.5.1</t>
        </is>
      </c>
      <c r="C17" t="inlineStr">
        <is>
          <t>Access Privilege Record</t>
        </is>
      </c>
      <c r="D17" t="inlineStr">
        <is>
          <t>Partial</t>
        </is>
      </c>
      <c r="E17" t="inlineStr">
        <is>
          <t>H.5.1</t>
        </is>
      </c>
      <c r="F17" t="inlineStr">
        <is>
          <t>No</t>
        </is>
      </c>
    </row>
    <row r="18">
      <c r="B18" t="inlineStr">
        <is>
          <t>L0_iii.5.2</t>
        </is>
      </c>
      <c r="C18" t="inlineStr">
        <is>
          <t>Privilege Allocation Record</t>
        </is>
      </c>
      <c r="D18" t="inlineStr">
        <is>
          <t>Yes</t>
        </is>
      </c>
      <c r="E18" t="inlineStr">
        <is>
          <t>H.5.1</t>
        </is>
      </c>
    </row>
    <row r="19">
      <c r="B19" t="inlineStr">
        <is>
          <t>L0_iii.5.3</t>
        </is>
      </c>
      <c r="C19" t="inlineStr">
        <is>
          <t>Role-Based Access Control Record</t>
        </is>
      </c>
      <c r="D19" t="inlineStr">
        <is>
          <t>Yes</t>
        </is>
      </c>
      <c r="E19" t="inlineStr">
        <is>
          <t>H.5.2</t>
        </is>
      </c>
    </row>
    <row r="20" ht="16.35" customHeight="1" s="54">
      <c r="A20" s="44" t="inlineStr">
        <is>
          <t>The {organization} shall regularly review {users} with privileged access rights to ensure that their {duties}, {roles}, {responsibilities}, and {competence} still justify such access</t>
        </is>
      </c>
      <c r="B20" t="inlineStr">
        <is>
          <t>L0_iii.6.1</t>
        </is>
      </c>
      <c r="C20" t="inlineStr">
        <is>
          <t>Privileged Access Review for System Admins</t>
        </is>
      </c>
      <c r="D20" t="inlineStr">
        <is>
          <t>Partial</t>
        </is>
      </c>
      <c r="E20" t="inlineStr">
        <is>
          <t>H.6.1</t>
        </is>
      </c>
      <c r="F20" t="inlineStr">
        <is>
          <t>No</t>
        </is>
      </c>
    </row>
    <row r="21" ht="13.9" customHeight="1" s="54">
      <c r="B21" t="inlineStr">
        <is>
          <t>L0_iii.6.2</t>
        </is>
      </c>
      <c r="C21" t="inlineStr">
        <is>
          <t>Privileged Access Review for Operations Managers</t>
        </is>
      </c>
      <c r="D21" t="inlineStr">
        <is>
          <t>Partial</t>
        </is>
      </c>
      <c r="E21" t="inlineStr">
        <is>
          <t>H.6.1</t>
        </is>
      </c>
      <c r="F21" t="inlineStr">
        <is>
          <t>No</t>
        </is>
      </c>
    </row>
    <row r="22">
      <c r="B22" t="inlineStr">
        <is>
          <t>L0_iii.6.3</t>
        </is>
      </c>
      <c r="C22" t="inlineStr">
        <is>
          <t>Privileged Access Review for Security Managers</t>
        </is>
      </c>
      <c r="D22" t="inlineStr">
        <is>
          <t>Partial</t>
        </is>
      </c>
      <c r="E22" t="inlineStr">
        <is>
          <t>H.6.1</t>
        </is>
      </c>
      <c r="F22" t="inlineStr">
        <is>
          <t>No</t>
        </is>
      </c>
    </row>
    <row r="23" ht="16.35" customHeight="1" s="54">
      <c r="A23" s="49" t="inlineStr">
        <is>
          <t>{Connection} of {systems} to the {network} must be restricted and filtered, e.g., using firewalls.</t>
        </is>
      </c>
      <c r="B23" t="inlineStr">
        <is>
          <t>L0_iii.7.1</t>
        </is>
      </c>
      <c r="C23" t="inlineStr">
        <is>
          <t>Factory Network Access Control</t>
        </is>
      </c>
      <c r="D23" t="inlineStr">
        <is>
          <t>Yes</t>
        </is>
      </c>
      <c r="E23" t="inlineStr">
        <is>
          <t>H.7.1</t>
        </is>
      </c>
    </row>
    <row r="24" ht="13.9" customHeight="1" s="54">
      <c r="B24" t="inlineStr">
        <is>
          <t>L0_iii.7.2</t>
        </is>
      </c>
      <c r="C24" t="inlineStr">
        <is>
          <t>Secure Internet Connection for Supply Vehicles</t>
        </is>
      </c>
      <c r="D24" t="inlineStr">
        <is>
          <t>No</t>
        </is>
      </c>
      <c r="F24" t="inlineStr">
        <is>
          <t>Yes</t>
        </is>
      </c>
      <c r="G24" t="inlineStr">
        <is>
          <t>Contextual misfit</t>
        </is>
      </c>
    </row>
    <row r="25" ht="13.9" customHeight="1" s="54">
      <c r="B25" t="inlineStr">
        <is>
          <t>L0_iii.7.3</t>
        </is>
      </c>
      <c r="C25" t="inlineStr">
        <is>
          <t>Filtered Network Connection for Logistics Terminal</t>
        </is>
      </c>
      <c r="D25" t="inlineStr">
        <is>
          <t>Yes</t>
        </is>
      </c>
      <c r="E25" s="44" t="inlineStr">
        <is>
          <t>H.7.2</t>
        </is>
      </c>
    </row>
    <row r="26">
      <c r="B26" t="inlineStr">
        <is>
          <t>L0_iii.7.4</t>
        </is>
      </c>
      <c r="C26" t="inlineStr">
        <is>
          <t>Firewall Protection for Data Stores</t>
        </is>
      </c>
      <c r="D26" t="inlineStr">
        <is>
          <t>Yes</t>
        </is>
      </c>
      <c r="E26" t="inlineStr">
        <is>
          <t>H.7.1</t>
        </is>
      </c>
    </row>
    <row r="27">
      <c r="B27" t="inlineStr">
        <is>
          <t>L0_iii.7.5</t>
        </is>
      </c>
      <c r="C27" t="inlineStr">
        <is>
          <t>Secure Connection for Remote Access</t>
        </is>
      </c>
      <c r="D27" t="inlineStr">
        <is>
          <t>No</t>
        </is>
      </c>
      <c r="F27" t="inlineStr">
        <is>
          <t>Yes</t>
        </is>
      </c>
      <c r="G27" t="inlineStr">
        <is>
          <t>Contextual misfit</t>
        </is>
      </c>
    </row>
    <row r="28">
      <c r="B28" t="inlineStr">
        <is>
          <t>L0_iii.7.6</t>
        </is>
      </c>
      <c r="C28" t="inlineStr">
        <is>
          <t>Network Segmentation for IoT Devices</t>
        </is>
      </c>
      <c r="D28" t="inlineStr">
        <is>
          <t>No</t>
        </is>
      </c>
      <c r="F28" t="inlineStr">
        <is>
          <t>No</t>
        </is>
      </c>
    </row>
    <row r="29">
      <c r="B29" t="inlineStr">
        <is>
          <t>L0_iii.7.7</t>
        </is>
      </c>
      <c r="C29" t="inlineStr">
        <is>
          <t>Secure Data Exchange with External Partners</t>
        </is>
      </c>
      <c r="D29" t="inlineStr">
        <is>
          <t>Yes</t>
        </is>
      </c>
      <c r="E29" t="inlineStr">
        <is>
          <t>H.7.3</t>
        </is>
      </c>
    </row>
    <row r="30">
      <c r="B30" t="inlineStr">
        <is>
          <t>L0_iii.7.8</t>
        </is>
      </c>
      <c r="C30" t="inlineStr">
        <is>
          <t>Role-Based Network Access Control</t>
        </is>
      </c>
      <c r="D30" t="inlineStr">
        <is>
          <t>No</t>
        </is>
      </c>
      <c r="F30" t="inlineStr">
        <is>
          <t>Yes</t>
        </is>
      </c>
      <c r="G30" t="inlineStr">
        <is>
          <t>Template drift</t>
        </is>
      </c>
    </row>
    <row r="31" ht="15" customHeight="1" s="54">
      <c r="A31" s="44" t="inlineStr">
        <is>
          <t>{Network administration channels} must be segregated from {other network traffic}</t>
        </is>
      </c>
      <c r="B31" t="inlineStr">
        <is>
          <t>L0_iii.8.1</t>
        </is>
      </c>
      <c r="C31" t="inlineStr">
        <is>
          <t>Factory Network Segregation</t>
        </is>
      </c>
      <c r="D31" t="inlineStr">
        <is>
          <t>Yes</t>
        </is>
      </c>
      <c r="E31" t="inlineStr">
        <is>
          <t>H.8.1</t>
        </is>
      </c>
    </row>
    <row r="32">
      <c r="B32" t="inlineStr">
        <is>
          <t>L0_iii.8.2</t>
        </is>
      </c>
      <c r="C32" t="inlineStr">
        <is>
          <t>System Admin Network Access Control</t>
        </is>
      </c>
      <c r="D32" t="inlineStr">
        <is>
          <t>Yes</t>
        </is>
      </c>
      <c r="E32" t="inlineStr">
        <is>
          <t>H.8.1</t>
        </is>
      </c>
    </row>
    <row r="33">
      <c r="B33" t="inlineStr">
        <is>
          <t>L0_iii.8.3</t>
        </is>
      </c>
      <c r="C33" t="inlineStr">
        <is>
          <t>Secure Network Administration</t>
        </is>
      </c>
      <c r="D33" t="inlineStr">
        <is>
          <t>No</t>
        </is>
      </c>
      <c r="F33" t="inlineStr">
        <is>
          <t>No</t>
        </is>
      </c>
    </row>
    <row r="34">
      <c r="B34" t="inlineStr">
        <is>
          <t>L0_iii.8.4</t>
        </is>
      </c>
      <c r="C34" t="inlineStr">
        <is>
          <t>Network Traffic Segmentation</t>
        </is>
      </c>
      <c r="D34" t="inlineStr">
        <is>
          <t>Yes</t>
        </is>
      </c>
      <c r="E34" t="inlineStr">
        <is>
          <t>H.8.1</t>
        </is>
      </c>
    </row>
    <row r="35">
      <c r="B35" t="inlineStr">
        <is>
          <t>L0_iii.8.5</t>
        </is>
      </c>
      <c r="C35" t="inlineStr">
        <is>
          <t>Role-Based Network Access</t>
        </is>
      </c>
      <c r="D35" t="inlineStr">
        <is>
          <t>No</t>
        </is>
      </c>
      <c r="F35" t="inlineStr">
        <is>
          <t>Yes</t>
        </is>
      </c>
      <c r="G35" t="inlineStr">
        <is>
          <t>Template drift</t>
        </is>
      </c>
    </row>
    <row r="36" ht="16.35" customHeight="1" s="54">
      <c r="A36" s="49" t="inlineStr">
        <is>
          <t>Implement cryptographic measures to safeguard {information stored} on {mobile user} {endpoint devices} or {storage media} and transmitted over {networks}</t>
        </is>
      </c>
      <c r="B36" t="inlineStr">
        <is>
          <t>L0_iii.9.1</t>
        </is>
      </c>
      <c r="C36" t="inlineStr">
        <is>
          <t>Cryptographic Protection of Sensitive Data</t>
        </is>
      </c>
      <c r="D36" t="inlineStr">
        <is>
          <t>Yes</t>
        </is>
      </c>
      <c r="E36" t="inlineStr">
        <is>
          <t>H.9.1; H.9.3</t>
        </is>
      </c>
    </row>
    <row r="37">
      <c r="B37" t="inlineStr">
        <is>
          <t>L0_iii.9.2</t>
        </is>
      </c>
      <c r="C37" t="inlineStr">
        <is>
          <t>Secure Data Storage</t>
        </is>
      </c>
      <c r="D37" t="inlineStr">
        <is>
          <t>Partial</t>
        </is>
      </c>
      <c r="E37" t="inlineStr">
        <is>
          <t>H.9.1; H.9.2</t>
        </is>
      </c>
      <c r="F37" t="inlineStr">
        <is>
          <t>No</t>
        </is>
      </c>
    </row>
    <row r="38">
      <c r="B38" t="inlineStr">
        <is>
          <t>L0_iii.9.3</t>
        </is>
      </c>
      <c r="C38" t="inlineStr">
        <is>
          <t>Secure Communication</t>
        </is>
      </c>
      <c r="D38" t="inlineStr">
        <is>
          <t>Partial</t>
        </is>
      </c>
      <c r="E38" t="inlineStr">
        <is>
          <t>H.9.3</t>
        </is>
      </c>
      <c r="F38" t="inlineStr">
        <is>
          <t>No</t>
        </is>
      </c>
    </row>
    <row r="39" ht="16.35" customHeight="1" s="54">
      <c r="A39" s="49" t="inlineStr">
        <is>
          <t>Establish a comprehensive key management system, including procedures for generating and protecting {cryptographic keys} and recovering {encrypted data} in case of lost, compromised, or damaged {keys}</t>
        </is>
      </c>
      <c r="B39" t="inlineStr">
        <is>
          <t>L0_iii.10.1</t>
        </is>
      </c>
      <c r="C39" t="inlineStr">
        <is>
          <t>Secure Requisition and Purchase Order Data Exchange</t>
        </is>
      </c>
      <c r="D39" t="inlineStr">
        <is>
          <t>No</t>
        </is>
      </c>
      <c r="F39" t="inlineStr">
        <is>
          <t>No</t>
        </is>
      </c>
    </row>
    <row r="40" ht="13.9" customHeight="1" s="54">
      <c r="B40" t="inlineStr">
        <is>
          <t>L0_iii.10.2</t>
        </is>
      </c>
      <c r="C40" t="inlineStr">
        <is>
          <t>Authentication and Authorization Key Management</t>
        </is>
      </c>
      <c r="D40" t="inlineStr">
        <is>
          <t>Yes</t>
        </is>
      </c>
      <c r="E40" t="inlineStr">
        <is>
          <t>H.10.2</t>
        </is>
      </c>
    </row>
    <row r="41">
      <c r="B41" t="inlineStr">
        <is>
          <t>L0_iii.10.3</t>
        </is>
      </c>
      <c r="C41" t="inlineStr">
        <is>
          <t>Secure Communication with External Entities</t>
        </is>
      </c>
      <c r="D41" t="inlineStr">
        <is>
          <t>No</t>
        </is>
      </c>
      <c r="F41" t="inlineStr">
        <is>
          <t>No</t>
        </is>
      </c>
    </row>
    <row r="42">
      <c r="B42" t="inlineStr">
        <is>
          <t>L0_iii.10.4</t>
        </is>
      </c>
      <c r="C42" t="inlineStr">
        <is>
          <t>Datastore Encryption Key Management</t>
        </is>
      </c>
      <c r="D42" t="inlineStr">
        <is>
          <t>Yes</t>
        </is>
      </c>
      <c r="E42" t="inlineStr">
        <is>
          <t>H.10.2</t>
        </is>
      </c>
    </row>
    <row r="43">
      <c r="B43" t="inlineStr">
        <is>
          <t>L0_iii.10.5</t>
        </is>
      </c>
      <c r="C43" t="inlineStr">
        <is>
          <t>Key Recovery and Revocation</t>
        </is>
      </c>
      <c r="D43" t="inlineStr">
        <is>
          <t>No</t>
        </is>
      </c>
      <c r="F43" t="inlineStr">
        <is>
          <t>No</t>
        </is>
      </c>
    </row>
    <row r="44" ht="14.45" customHeight="1" s="54">
      <c r="B44" s="16" t="inlineStr">
        <is>
          <t>Count</t>
        </is>
      </c>
      <c r="C44" s="16" t="inlineStr">
        <is>
          <t>No</t>
        </is>
      </c>
      <c r="D44" s="16">
        <f>COUNTIF(D2:D43,"No")</f>
        <v/>
      </c>
      <c r="E44" s="16" t="inlineStr">
        <is>
          <t>Hallucinations</t>
        </is>
      </c>
      <c r="F44" s="16">
        <f>COUNTIF(F2:F43,"Yes")</f>
        <v/>
      </c>
    </row>
    <row r="45" ht="14.45" customHeight="1" s="54">
      <c r="B45" s="47" t="n"/>
      <c r="C45" s="16" t="inlineStr">
        <is>
          <t>Yes</t>
        </is>
      </c>
      <c r="D45" s="16">
        <f>COUNTIF(D2:D43,"Yes")</f>
        <v/>
      </c>
      <c r="E45" s="16" t="inlineStr">
        <is>
          <t>Partial hallucinations</t>
        </is>
      </c>
      <c r="F45">
        <f>COUNTIFS(D:D,"Partial",F:F,"Yes")</f>
        <v/>
      </c>
    </row>
    <row r="46" ht="14.45" customHeight="1" s="54">
      <c r="B46" s="47" t="n"/>
      <c r="C46" s="16" t="inlineStr">
        <is>
          <t>Partial</t>
        </is>
      </c>
      <c r="D46" s="16">
        <f>COUNTIF(D2:D43,"Partial")</f>
        <v/>
      </c>
      <c r="E46" s="10" t="inlineStr">
        <is>
          <t>Template drift</t>
        </is>
      </c>
      <c r="F46">
        <f>COUNTIF($G$2:$G$43,E46)</f>
        <v/>
      </c>
    </row>
    <row r="47" ht="15" customHeight="1" s="54">
      <c r="E47" s="10" t="inlineStr">
        <is>
          <t>Contextual misfit</t>
        </is>
      </c>
      <c r="F47">
        <f>COUNTIF($G$2:$G$43,E47)</f>
        <v/>
      </c>
    </row>
    <row r="48" ht="15" customHeight="1" s="54">
      <c r="E48" s="10" t="inlineStr">
        <is>
          <t>Scope misalignment</t>
        </is>
      </c>
      <c r="F48">
        <f>COUNTIF($G$2:$G$43,E48)</f>
        <v/>
      </c>
    </row>
    <row r="49" ht="15" customHeight="1" s="54">
      <c r="E49" s="10" t="inlineStr">
        <is>
          <t>Responsibility leakage</t>
        </is>
      </c>
      <c r="F49">
        <f>COUNTIF($G$2:$G$43,E49)</f>
        <v/>
      </c>
    </row>
    <row r="50" ht="15" customHeight="1" s="54">
      <c r="E50" s="10" t="inlineStr">
        <is>
          <t>Architectural infeasibility</t>
        </is>
      </c>
      <c r="F50">
        <f>COUNTIF($G$2:$G$43,E50)</f>
        <v/>
      </c>
    </row>
    <row r="51" ht="15" customHeight="1" s="54"/>
    <row r="52" ht="15" customHeight="1" s="54">
      <c r="E52" s="16" t="inlineStr">
        <is>
          <t>Discoveries</t>
        </is>
      </c>
      <c r="F52" s="16">
        <f>COUNTIF(F2:F43,"No")</f>
        <v/>
      </c>
    </row>
    <row r="82">
      <c r="AA82" t="inlineStr">
        <is>
          <t>G0_ii.10.2</t>
        </is>
      </c>
    </row>
  </sheetData>
  <mergeCells count="10">
    <mergeCell ref="A12:A14"/>
    <mergeCell ref="A4:A11"/>
    <mergeCell ref="A39:A43"/>
    <mergeCell ref="A17:A19"/>
    <mergeCell ref="A20:A22"/>
    <mergeCell ref="A15:A16"/>
    <mergeCell ref="A23:A30"/>
    <mergeCell ref="A2:A3"/>
    <mergeCell ref="A31:A35"/>
    <mergeCell ref="A36:A38"/>
  </mergeCells>
  <conditionalFormatting sqref="D2:D43">
    <cfRule type="containsText" priority="9" operator="containsText" dxfId="6" text="Partial">
      <formula>NOT(ISERROR(SEARCH("Partial",D2)))</formula>
    </cfRule>
    <cfRule type="containsText" priority="10" operator="containsText" dxfId="0" text="No">
      <formula>NOT(ISERROR(SEARCH("No",D2)))</formula>
    </cfRule>
    <cfRule type="containsText" priority="11" operator="containsText" dxfId="1" text="Yes">
      <formula>NOT(ISERROR(SEARCH("Yes",D2)))</formula>
    </cfRule>
  </conditionalFormatting>
  <conditionalFormatting sqref="F36:F43 G36:G117">
    <cfRule type="containsText" priority="30" operator="containsText" dxfId="1" text="No">
      <formula>NOT(ISERROR(SEARCH("No",F36)))</formula>
    </cfRule>
    <cfRule type="containsText" priority="31" operator="containsText" dxfId="0" text="Yes">
      <formula>NOT(ISERROR(SEARCH("Yes",F36)))</formula>
    </cfRule>
  </conditionalFormatting>
  <conditionalFormatting sqref="F2:G35">
    <cfRule type="containsText" priority="1" operator="containsText" dxfId="1" text="No">
      <formula>NOT(ISERROR(SEARCH("No",F2)))</formula>
    </cfRule>
    <cfRule type="containsText" priority="2" operator="containsText" dxfId="0" text="Yes">
      <formula>NOT(ISERROR(SEARCH("Yes",F2)))</formula>
    </cfRule>
  </conditionalFormatting>
  <dataValidations count="3">
    <dataValidation sqref="D2:D43" showDropDown="0" showInputMessage="1" showErrorMessage="1" allowBlank="1" type="list" operator="equal">
      <formula1>"Yes,No,Partial"</formula1>
      <formula2>0</formula2>
    </dataValidation>
    <dataValidation sqref="F2:F43" showDropDown="0" showInputMessage="1" showErrorMessage="1" allowBlank="1" type="list" operator="equal">
      <formula1>"Yes,No"</formula1>
      <formula2>0</formula2>
    </dataValidation>
    <dataValidation sqref="G2:G117" showDropDown="0" showInputMessage="1" showErrorMessage="1" allowBlank="1" operator="equal">
      <formula1>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76"/>
  <sheetViews>
    <sheetView zoomScale="85" zoomScaleNormal="85" workbookViewId="0">
      <selection activeCell="E39" sqref="E39:F39"/>
    </sheetView>
  </sheetViews>
  <sheetFormatPr baseColWidth="8" defaultColWidth="9.140625" defaultRowHeight="14.45"/>
  <cols>
    <col width="60.7109375" customWidth="1" style="44" min="1" max="1"/>
    <col width="60.7109375" customWidth="1" style="54" min="3" max="3"/>
    <col width="14.7109375" customWidth="1" style="54" min="4" max="4"/>
    <col width="30.7109375" customWidth="1" style="54" min="5" max="5"/>
    <col width="14.7109375" customWidth="1" style="54" min="6" max="7"/>
    <col width="60.7109375" customWidth="1" style="54" min="8" max="8"/>
  </cols>
  <sheetData>
    <row r="1">
      <c r="A1" s="48" t="inlineStr">
        <is>
          <t>Norm</t>
        </is>
      </c>
      <c r="B1" s="53" t="inlineStr">
        <is>
          <t>L0_iv.#</t>
        </is>
      </c>
      <c r="C1" s="53" t="inlineStr">
        <is>
          <t>Automated requirement name</t>
        </is>
      </c>
      <c r="D1" s="53" t="inlineStr">
        <is>
          <t>Present</t>
        </is>
      </c>
      <c r="E1" s="53" t="inlineStr">
        <is>
          <t>Support</t>
        </is>
      </c>
      <c r="F1" s="53" t="inlineStr">
        <is>
          <t>Hallucination</t>
        </is>
      </c>
      <c r="G1" s="53" t="inlineStr">
        <is>
          <t>Hall. Type</t>
        </is>
      </c>
      <c r="H1" s="53" t="inlineStr">
        <is>
          <t>Rationale</t>
        </is>
      </c>
    </row>
    <row r="2" ht="15" customHeight="1" s="54">
      <c r="A2" s="49" t="inlineStr">
        <is>
          <t>Help messages during the {log-on procedure} must not aid an unauthorized user, e.g., by indicating which {parts of the data} are correct or incorrect</t>
        </is>
      </c>
      <c r="B2" t="inlineStr">
        <is>
          <t>L0_iv.1.1</t>
        </is>
      </c>
      <c r="C2" t="inlineStr">
        <is>
          <t>Secure Login Feedback</t>
        </is>
      </c>
      <c r="D2" t="inlineStr">
        <is>
          <t>Yes</t>
        </is>
      </c>
      <c r="E2" t="inlineStr">
        <is>
          <t>H.1.1</t>
        </is>
      </c>
    </row>
    <row r="3" ht="15" customHeight="1" s="54">
      <c r="B3" t="inlineStr">
        <is>
          <t>L0_iv.1.2</t>
        </is>
      </c>
      <c r="C3" t="inlineStr">
        <is>
          <t>Limited Login Error Messages for System Admins</t>
        </is>
      </c>
      <c r="D3" t="inlineStr">
        <is>
          <t>Yes</t>
        </is>
      </c>
      <c r="E3" t="inlineStr">
        <is>
          <t>H.1.1</t>
        </is>
      </c>
    </row>
    <row r="4" ht="15" customHeight="1" s="54">
      <c r="B4" t="inlineStr">
        <is>
          <t>L0_iv.1.3</t>
        </is>
      </c>
      <c r="C4" t="inlineStr">
        <is>
          <t>No Helpful Error Messages for Operations and Security Managers</t>
        </is>
      </c>
      <c r="D4" t="inlineStr">
        <is>
          <t>Yes</t>
        </is>
      </c>
      <c r="E4" t="inlineStr">
        <is>
          <t>H.1.1</t>
        </is>
      </c>
    </row>
    <row r="5" ht="16.35" customHeight="1" s="54">
      <c r="A5" s="49" t="inlineStr">
        <is>
          <t>A security incident must be raised if a potential attempted or successful breach of {log-on controls} is detected, and, when the risk of the incident warrants it, the account shall be temporarily restricted, plus an alert shall be sent to the {account owner}, and to the {organization's system administrators}.</t>
        </is>
      </c>
      <c r="B5" t="inlineStr">
        <is>
          <t>L0_iv.2.1</t>
        </is>
      </c>
      <c r="C5" t="inlineStr">
        <is>
          <t>Unauthorized System Access Detection</t>
        </is>
      </c>
      <c r="D5" t="inlineStr">
        <is>
          <t>Yes</t>
        </is>
      </c>
      <c r="E5" t="inlineStr">
        <is>
          <t>H.2.1</t>
        </is>
      </c>
    </row>
    <row r="6">
      <c r="B6" t="inlineStr">
        <is>
          <t>L0_iv.2.2</t>
        </is>
      </c>
      <c r="C6" t="inlineStr">
        <is>
          <t>Notification of System Admin and Security Manager</t>
        </is>
      </c>
      <c r="D6" t="inlineStr">
        <is>
          <t>Yes</t>
        </is>
      </c>
      <c r="E6" t="inlineStr">
        <is>
          <t>H.2.1</t>
        </is>
      </c>
    </row>
    <row r="7">
      <c r="B7" t="inlineStr">
        <is>
          <t>L0_iv.2.3</t>
        </is>
      </c>
      <c r="C7" t="inlineStr">
        <is>
          <t>Real-time Alert for Security Events</t>
        </is>
      </c>
      <c r="D7" t="inlineStr">
        <is>
          <t>Yes</t>
        </is>
      </c>
      <c r="E7" t="inlineStr">
        <is>
          <t>H.2.1</t>
        </is>
      </c>
    </row>
    <row r="8" ht="15" customHeight="1" s="54">
      <c r="A8" s="49" t="inlineStr">
        <is>
          <t>Physical or logical access controls must be implemented to isolate {sensitive applications, data, or systems}.</t>
        </is>
      </c>
      <c r="B8" t="inlineStr">
        <is>
          <t>L0_iv.3.1</t>
        </is>
      </c>
      <c r="C8" t="inlineStr">
        <is>
          <t>Access Control for Sensitive Data Stores</t>
        </is>
      </c>
      <c r="D8" t="inlineStr">
        <is>
          <t>Yes</t>
        </is>
      </c>
      <c r="E8" t="inlineStr">
        <is>
          <t>H.3.1</t>
        </is>
      </c>
    </row>
    <row r="9" ht="15" customHeight="1" s="54">
      <c r="B9" t="inlineStr">
        <is>
          <t>L0_iv.3.2</t>
        </is>
      </c>
      <c r="C9" t="inlineStr">
        <is>
          <t>Role-Based Access Control for Supply Chain Data</t>
        </is>
      </c>
      <c r="D9" t="inlineStr">
        <is>
          <t>Yes</t>
        </is>
      </c>
      <c r="E9" t="inlineStr">
        <is>
          <t>H.3.1</t>
        </is>
      </c>
    </row>
    <row r="10" ht="15" customHeight="1" s="54">
      <c r="B10" t="inlineStr">
        <is>
          <t>L0_iv.3.3</t>
        </is>
      </c>
      <c r="C10" t="inlineStr">
        <is>
          <t>Data Protection for Warehouse Inventory</t>
        </is>
      </c>
      <c r="D10" t="inlineStr">
        <is>
          <t>Yes</t>
        </is>
      </c>
      <c r="E10" t="inlineStr">
        <is>
          <t>H.3.1</t>
        </is>
      </c>
    </row>
    <row r="11" ht="15" customHeight="1" s="54">
      <c r="B11" t="inlineStr">
        <is>
          <t>L0_iv.3.4</t>
        </is>
      </c>
      <c r="C11" t="inlineStr">
        <is>
          <t>Access Control for Production Planning Data</t>
        </is>
      </c>
      <c r="D11" t="inlineStr">
        <is>
          <t>Yes</t>
        </is>
      </c>
      <c r="E11" t="inlineStr">
        <is>
          <t>H.3.1</t>
        </is>
      </c>
    </row>
    <row r="12" ht="15" customHeight="1" s="54">
      <c r="B12" t="inlineStr">
        <is>
          <t>L0_iv.3.5</t>
        </is>
      </c>
      <c r="C12" t="inlineStr">
        <is>
          <t>Restrict Access for System Administration and Security Roles</t>
        </is>
      </c>
      <c r="D12" t="inlineStr">
        <is>
          <t>Yes</t>
        </is>
      </c>
      <c r="E12" s="44" t="inlineStr">
        <is>
          <t>H.3.2; H.3.5</t>
        </is>
      </c>
    </row>
    <row r="13" ht="16.35" customHeight="1" s="54">
      <c r="A13" s="49" t="inlineStr">
        <is>
          <t>{Access to data} must be controlled based on {user identity, group membership, and assigned roles}</t>
        </is>
      </c>
      <c r="B13" t="inlineStr">
        <is>
          <t>L0_iv.4.1</t>
        </is>
      </c>
      <c r="C13" t="inlineStr">
        <is>
          <t>Role-Based Access Control</t>
        </is>
      </c>
      <c r="D13" t="inlineStr">
        <is>
          <t>Yes</t>
        </is>
      </c>
      <c r="E13" t="inlineStr">
        <is>
          <t>H.4.1; H.4.2; H.4.3; H.4.5; H.4.7</t>
        </is>
      </c>
    </row>
    <row r="14">
      <c r="B14" t="inlineStr">
        <is>
          <t>L0_iv.4.2</t>
        </is>
      </c>
      <c r="C14" t="inlineStr">
        <is>
          <t>Group-Based Access Control</t>
        </is>
      </c>
      <c r="D14" t="inlineStr">
        <is>
          <t>Yes</t>
        </is>
      </c>
      <c r="E14" t="inlineStr">
        <is>
          <t>H.4.1; H.4.2; H.4.3</t>
        </is>
      </c>
    </row>
    <row r="15">
      <c r="B15" t="inlineStr">
        <is>
          <t>L0_iv.4.3</t>
        </is>
      </c>
      <c r="C15" t="inlineStr">
        <is>
          <t>Task-Based Access Control</t>
        </is>
      </c>
      <c r="D15" t="inlineStr">
        <is>
          <t>Yes</t>
        </is>
      </c>
      <c r="E15" t="inlineStr">
        <is>
          <t>H.4.1; H.4.2; H.4.3</t>
        </is>
      </c>
    </row>
    <row r="16" ht="16.35" customHeight="1" s="54">
      <c r="A16" s="49" t="inlineStr">
        <is>
          <t>The {organization} shall maintain a record of {all privileges allocated}</t>
        </is>
      </c>
      <c r="B16" t="inlineStr">
        <is>
          <t>L0_iv.5.1</t>
        </is>
      </c>
      <c r="C16" t="inlineStr">
        <is>
          <t>Employee Access Privileges Record</t>
        </is>
      </c>
      <c r="D16" t="inlineStr">
        <is>
          <t>Partial</t>
        </is>
      </c>
      <c r="E16" t="inlineStr">
        <is>
          <t>H.5.1; H.5.2</t>
        </is>
      </c>
      <c r="F16" t="inlineStr">
        <is>
          <t>No</t>
        </is>
      </c>
    </row>
    <row r="17">
      <c r="B17" t="inlineStr">
        <is>
          <t>L0_iv.5.2</t>
        </is>
      </c>
      <c r="C17" t="inlineStr">
        <is>
          <t>Automated System Privileges Record</t>
        </is>
      </c>
      <c r="D17" t="inlineStr">
        <is>
          <t>Yes</t>
        </is>
      </c>
      <c r="E17" t="inlineStr">
        <is>
          <t>H.5.1</t>
        </is>
      </c>
    </row>
    <row r="18">
      <c r="B18" t="inlineStr">
        <is>
          <t>L0_iv.5.3</t>
        </is>
      </c>
      <c r="C18" t="inlineStr">
        <is>
          <t>Car Manufacturer and Forwarder Privileges Record</t>
        </is>
      </c>
      <c r="D18" t="inlineStr">
        <is>
          <t>No</t>
        </is>
      </c>
      <c r="F18" t="inlineStr">
        <is>
          <t>Yes</t>
        </is>
      </c>
      <c r="G18" t="inlineStr">
        <is>
          <t>Responsibility leakage</t>
        </is>
      </c>
      <c r="H18" t="inlineStr">
        <is>
          <t>Forwarder is out-of-the-scope of SOT</t>
        </is>
      </c>
    </row>
    <row r="19" ht="16.35" customHeight="1" s="54">
      <c r="A19" s="44" t="inlineStr">
        <is>
          <t>The {organization} shall regularly review {users} with privileged access rights to ensure that their {duties}, {roles}, {responsibilities}, and {competence} still justify such access</t>
        </is>
      </c>
      <c r="B19" t="inlineStr">
        <is>
          <t>L0_iv.6.1</t>
        </is>
      </c>
      <c r="C19" t="inlineStr">
        <is>
          <t>Regular Review of System Admin Privileges</t>
        </is>
      </c>
      <c r="D19" t="inlineStr">
        <is>
          <t>Partial</t>
        </is>
      </c>
      <c r="F19" t="inlineStr">
        <is>
          <t>No</t>
        </is>
      </c>
    </row>
    <row r="20" ht="13.9" customHeight="1" s="54">
      <c r="B20" t="inlineStr">
        <is>
          <t>L0_iv.6.2</t>
        </is>
      </c>
      <c r="C20" t="inlineStr">
        <is>
          <t>Periodic Evaluation of Operations Manager Access</t>
        </is>
      </c>
      <c r="D20" t="inlineStr">
        <is>
          <t>Partial</t>
        </is>
      </c>
      <c r="F20" t="inlineStr">
        <is>
          <t>No</t>
        </is>
      </c>
    </row>
    <row r="21">
      <c r="B21" t="inlineStr">
        <is>
          <t>L0_iv.6.3</t>
        </is>
      </c>
      <c r="C21" t="inlineStr">
        <is>
          <t>Security Manager Privilege Review</t>
        </is>
      </c>
      <c r="D21" t="inlineStr">
        <is>
          <t>Partial</t>
        </is>
      </c>
      <c r="F21" t="inlineStr">
        <is>
          <t>No</t>
        </is>
      </c>
    </row>
    <row r="22" ht="16.35" customHeight="1" s="54">
      <c r="A22" s="49" t="inlineStr">
        <is>
          <t>{Connection} of {systems} to the {network} must be restricted and filtered, e.g., using firewalls.</t>
        </is>
      </c>
      <c r="B22" t="inlineStr">
        <is>
          <t>L0_iv.7.1</t>
        </is>
      </c>
      <c r="C22" t="inlineStr">
        <is>
          <t>Factory Network Access Control</t>
        </is>
      </c>
      <c r="D22" t="inlineStr">
        <is>
          <t>Yes</t>
        </is>
      </c>
      <c r="E22" t="inlineStr">
        <is>
          <t>H.7.1</t>
        </is>
      </c>
    </row>
    <row r="23" ht="13.9" customHeight="1" s="54">
      <c r="B23" t="inlineStr">
        <is>
          <t>L0_iv.7.2</t>
        </is>
      </c>
      <c r="C23" t="inlineStr">
        <is>
          <t>System-to-Network Connection Validation</t>
        </is>
      </c>
      <c r="D23" t="inlineStr">
        <is>
          <t>Partial</t>
        </is>
      </c>
      <c r="E23" t="inlineStr">
        <is>
          <t>H.7.1</t>
        </is>
      </c>
      <c r="F23" t="inlineStr">
        <is>
          <t>No</t>
        </is>
      </c>
    </row>
    <row r="24" ht="13.9" customHeight="1" s="54">
      <c r="B24" t="inlineStr">
        <is>
          <t>L0_iv.7.3</t>
        </is>
      </c>
      <c r="C24" t="inlineStr">
        <is>
          <t>Network Segmentation and Isolation</t>
        </is>
      </c>
      <c r="D24" t="inlineStr">
        <is>
          <t>Yes</t>
        </is>
      </c>
      <c r="E24" t="inlineStr">
        <is>
          <t>H.7.1</t>
        </is>
      </c>
    </row>
    <row r="25" ht="13.9" customHeight="1" s="54">
      <c r="B25" t="inlineStr">
        <is>
          <t>L0_iv.7.4</t>
        </is>
      </c>
      <c r="C25" t="inlineStr">
        <is>
          <t>Firewall Configuration and Management</t>
        </is>
      </c>
      <c r="D25" t="inlineStr">
        <is>
          <t>Yes</t>
        </is>
      </c>
      <c r="E25" t="inlineStr">
        <is>
          <t>H.7.2; H.7.3</t>
        </is>
      </c>
    </row>
    <row r="26">
      <c r="B26" t="inlineStr">
        <is>
          <t>L0_iv.7.5</t>
        </is>
      </c>
      <c r="C26" t="inlineStr">
        <is>
          <t>Real-time Network Monitoring and Alerting</t>
        </is>
      </c>
      <c r="D26" t="inlineStr">
        <is>
          <t>No</t>
        </is>
      </c>
      <c r="F26" t="inlineStr">
        <is>
          <t>No</t>
        </is>
      </c>
    </row>
    <row r="27" ht="15" customHeight="1" s="54">
      <c r="A27" s="44" t="inlineStr">
        <is>
          <t>{Network administration channels} must be segregated from {other network traffic}</t>
        </is>
      </c>
      <c r="B27" t="inlineStr">
        <is>
          <t>L0_iv.8.1</t>
        </is>
      </c>
      <c r="C27" t="inlineStr">
        <is>
          <t>Segregation of System Admin Operations</t>
        </is>
      </c>
      <c r="D27" t="inlineStr">
        <is>
          <t>Yes</t>
        </is>
      </c>
      <c r="E27" t="inlineStr">
        <is>
          <t>H.8.1</t>
        </is>
      </c>
    </row>
    <row r="28" ht="13.9" customHeight="1" s="54">
      <c r="B28" t="inlineStr">
        <is>
          <t>L0_iv.8.2</t>
        </is>
      </c>
      <c r="C28" t="inlineStr">
        <is>
          <t>Isolation of Administration Procedures</t>
        </is>
      </c>
      <c r="D28" t="inlineStr">
        <is>
          <t>No</t>
        </is>
      </c>
      <c r="F28" t="inlineStr">
        <is>
          <t>No</t>
        </is>
      </c>
    </row>
    <row r="29">
      <c r="B29" t="inlineStr">
        <is>
          <t>L0_iv.8.3</t>
        </is>
      </c>
      <c r="C29" t="inlineStr">
        <is>
          <t>Separation of IT Infrastructure Management</t>
        </is>
      </c>
      <c r="D29" t="inlineStr">
        <is>
          <t>Yes</t>
        </is>
      </c>
      <c r="E29" t="inlineStr">
        <is>
          <t>H.8.1</t>
        </is>
      </c>
    </row>
    <row r="30" ht="16.35" customHeight="1" s="54">
      <c r="A30" s="49" t="inlineStr">
        <is>
          <t>Implement cryptographic measures to safeguard {information stored} on {mobile user} {endpoint devices} or {storage media} and transmitted over {networks}</t>
        </is>
      </c>
      <c r="B30" t="inlineStr">
        <is>
          <t>L0_iv.9.1</t>
        </is>
      </c>
      <c r="C30" t="inlineStr">
        <is>
          <t>Secure Data Storage in Factory Datastores</t>
        </is>
      </c>
      <c r="D30" t="inlineStr">
        <is>
          <t>Partial</t>
        </is>
      </c>
      <c r="E30" t="inlineStr">
        <is>
          <t>H.9.1</t>
        </is>
      </c>
      <c r="F30" t="inlineStr">
        <is>
          <t>No</t>
        </is>
      </c>
    </row>
    <row r="31">
      <c r="B31" t="inlineStr">
        <is>
          <t>L0_iv.9.2</t>
        </is>
      </c>
      <c r="C31" t="inlineStr">
        <is>
          <t>Secure Data Transmission over Factory Networks</t>
        </is>
      </c>
      <c r="D31" t="inlineStr">
        <is>
          <t>Yes</t>
        </is>
      </c>
      <c r="E31" t="inlineStr">
        <is>
          <t>H.9.2</t>
        </is>
      </c>
    </row>
    <row r="32">
      <c r="B32" t="inlineStr">
        <is>
          <t>L0_iv.9.3</t>
        </is>
      </c>
      <c r="C32" t="inlineStr">
        <is>
          <t>Secure Data on Handheld Devices and Sensors</t>
        </is>
      </c>
      <c r="D32" t="inlineStr">
        <is>
          <t>Yes</t>
        </is>
      </c>
      <c r="E32" t="inlineStr">
        <is>
          <t>H.9.3</t>
        </is>
      </c>
    </row>
    <row r="33" ht="16.35" customHeight="1" s="54">
      <c r="A33" s="49" t="inlineStr">
        <is>
          <t>Establish a comprehensive key management system, including procedures for generating and protecting {cryptographic keys} and recovering {encrypted data} in case of lost, compromised, or damaged {keys}</t>
        </is>
      </c>
      <c r="B33" t="inlineStr">
        <is>
          <t>L0_iv.10.1</t>
        </is>
      </c>
      <c r="C33" t="inlineStr">
        <is>
          <t>Comprehensive Key Management System</t>
        </is>
      </c>
      <c r="D33" t="inlineStr">
        <is>
          <t>No</t>
        </is>
      </c>
      <c r="F33" t="inlineStr">
        <is>
          <t>No</t>
        </is>
      </c>
    </row>
    <row r="34" ht="13.9" customHeight="1" s="54">
      <c r="B34" t="inlineStr">
        <is>
          <t>L0_iv.10.2</t>
        </is>
      </c>
      <c r="C34" t="inlineStr">
        <is>
          <t>Encrypted Data Recovery Procedure</t>
        </is>
      </c>
      <c r="D34" t="inlineStr">
        <is>
          <t>No</t>
        </is>
      </c>
      <c r="F34" t="inlineStr">
        <is>
          <t>No</t>
        </is>
      </c>
    </row>
    <row r="35" ht="13.9" customHeight="1" s="54">
      <c r="B35" t="inlineStr">
        <is>
          <t>L0_iv.10.3</t>
        </is>
      </c>
      <c r="C35" t="inlineStr">
        <is>
          <t>Role-Based Key Management Access Control</t>
        </is>
      </c>
      <c r="D35" t="inlineStr">
        <is>
          <t>Yes</t>
        </is>
      </c>
      <c r="E35" t="inlineStr">
        <is>
          <t>H.10.2; H.10.3</t>
        </is>
      </c>
    </row>
    <row r="36">
      <c r="B36" t="inlineStr">
        <is>
          <t>L0_iv.10.4</t>
        </is>
      </c>
      <c r="C36" t="inlineStr">
        <is>
          <t>Key Management System Integration with IoT Middleware</t>
        </is>
      </c>
      <c r="D36" t="inlineStr">
        <is>
          <t>No</t>
        </is>
      </c>
      <c r="F36" t="inlineStr">
        <is>
          <t>Yes</t>
        </is>
      </c>
      <c r="G36" t="inlineStr">
        <is>
          <t>Architectural infeasibility</t>
        </is>
      </c>
    </row>
    <row r="37">
      <c r="B37" t="inlineStr">
        <is>
          <t>L0_iv.10.5</t>
        </is>
      </c>
      <c r="C37" t="inlineStr">
        <is>
          <t>Key Management System Auditing and Compliance</t>
        </is>
      </c>
      <c r="D37" t="inlineStr">
        <is>
          <t>No</t>
        </is>
      </c>
      <c r="F37" t="inlineStr">
        <is>
          <t>Yes</t>
        </is>
      </c>
      <c r="G37" t="inlineStr">
        <is>
          <t>Template drift</t>
        </is>
      </c>
    </row>
    <row r="38" ht="14.45" customHeight="1" s="54">
      <c r="B38" s="16" t="inlineStr">
        <is>
          <t>Count</t>
        </is>
      </c>
      <c r="C38" s="16" t="inlineStr">
        <is>
          <t>No</t>
        </is>
      </c>
      <c r="D38" s="16">
        <f>COUNTIF(D2:D37,"No")</f>
        <v/>
      </c>
      <c r="E38" s="16" t="inlineStr">
        <is>
          <t>Hallucinations</t>
        </is>
      </c>
      <c r="F38" s="16">
        <f>COUNTIF(F2:F37,"Yes")</f>
        <v/>
      </c>
    </row>
    <row r="39" ht="14.45" customHeight="1" s="54">
      <c r="B39" s="47" t="n"/>
      <c r="C39" s="16" t="inlineStr">
        <is>
          <t>Yes</t>
        </is>
      </c>
      <c r="D39" s="16">
        <f>COUNTIF(D2:D37,"Yes")</f>
        <v/>
      </c>
      <c r="E39" s="16" t="inlineStr">
        <is>
          <t>Partial hallucinations</t>
        </is>
      </c>
      <c r="F39">
        <f>COUNTIFS(D:D,"Partial",F:F,"Yes")</f>
        <v/>
      </c>
    </row>
    <row r="40" ht="14.45" customHeight="1" s="54">
      <c r="B40" s="47" t="n"/>
      <c r="C40" s="16" t="inlineStr">
        <is>
          <t>Partial</t>
        </is>
      </c>
      <c r="D40" s="16">
        <f>COUNTIF(D2:D37,"Partial")</f>
        <v/>
      </c>
      <c r="E40" s="10" t="inlineStr">
        <is>
          <t>Template drift</t>
        </is>
      </c>
      <c r="F40">
        <f>COUNTIF($G$2:$G$37,E40)</f>
        <v/>
      </c>
    </row>
    <row r="41" ht="15" customHeight="1" s="54">
      <c r="E41" s="10" t="inlineStr">
        <is>
          <t>Contextual misfit</t>
        </is>
      </c>
      <c r="F41">
        <f>COUNTIF($G$2:$G$37,E41)</f>
        <v/>
      </c>
    </row>
    <row r="42" ht="15" customHeight="1" s="54">
      <c r="E42" s="10" t="inlineStr">
        <is>
          <t>Scope misalignment</t>
        </is>
      </c>
      <c r="F42">
        <f>COUNTIF($G$2:$G$37,E42)</f>
        <v/>
      </c>
    </row>
    <row r="43" ht="15" customHeight="1" s="54">
      <c r="E43" s="10" t="inlineStr">
        <is>
          <t>Responsibility leakage</t>
        </is>
      </c>
      <c r="F43">
        <f>COUNTIF($G$2:$G$37,E43)</f>
        <v/>
      </c>
    </row>
    <row r="44" ht="15" customHeight="1" s="54">
      <c r="E44" s="10" t="inlineStr">
        <is>
          <t>Architectural infeasibility</t>
        </is>
      </c>
      <c r="F44">
        <f>COUNTIF($G$2:$G$37,E44)</f>
        <v/>
      </c>
    </row>
    <row r="45" ht="15" customHeight="1" s="54">
      <c r="E45" s="10" t="n"/>
    </row>
    <row r="46" ht="15" customHeight="1" s="54">
      <c r="E46" s="16" t="inlineStr">
        <is>
          <t>Discoveries</t>
        </is>
      </c>
      <c r="F46" s="16">
        <f>COUNTIF(F2:F37,"No")</f>
        <v/>
      </c>
    </row>
    <row r="76">
      <c r="AA76" t="inlineStr">
        <is>
          <t>G0_ii.10.2</t>
        </is>
      </c>
    </row>
  </sheetData>
  <mergeCells count="10">
    <mergeCell ref="A22:A26"/>
    <mergeCell ref="A30:A32"/>
    <mergeCell ref="A2:A4"/>
    <mergeCell ref="A16:A18"/>
    <mergeCell ref="A8:A12"/>
    <mergeCell ref="A19:A21"/>
    <mergeCell ref="A27:A29"/>
    <mergeCell ref="A5:A7"/>
    <mergeCell ref="A33:A37"/>
    <mergeCell ref="A13:A15"/>
  </mergeCells>
  <conditionalFormatting sqref="D2:D37">
    <cfRule type="containsText" priority="5" operator="containsText" dxfId="6" text="Partial">
      <formula>NOT(ISERROR(SEARCH("Partial",D2)))</formula>
    </cfRule>
    <cfRule type="containsText" priority="6" operator="containsText" dxfId="0" text="No">
      <formula>NOT(ISERROR(SEARCH("No",D2)))</formula>
    </cfRule>
    <cfRule type="containsText" priority="7" operator="containsText" dxfId="1" text="Yes">
      <formula>NOT(ISERROR(SEARCH("Yes",D2)))</formula>
    </cfRule>
  </conditionalFormatting>
  <conditionalFormatting sqref="F19:F37">
    <cfRule type="containsText" priority="8" operator="containsText" dxfId="1" text="No">
      <formula>NOT(ISERROR(SEARCH("No",F19)))</formula>
    </cfRule>
    <cfRule type="containsText" priority="9" operator="containsText" dxfId="0" text="Yes">
      <formula>NOT(ISERROR(SEARCH("Yes",F19)))</formula>
    </cfRule>
  </conditionalFormatting>
  <conditionalFormatting sqref="F2:G18">
    <cfRule type="containsText" priority="13" operator="containsText" dxfId="1" text="No">
      <formula>NOT(ISERROR(SEARCH("No",F2)))</formula>
    </cfRule>
    <cfRule type="containsText" priority="14" operator="containsText" dxfId="0" text="Yes">
      <formula>NOT(ISERROR(SEARCH("Yes",F2)))</formula>
    </cfRule>
  </conditionalFormatting>
  <conditionalFormatting sqref="G19:G111">
    <cfRule type="containsText" priority="1" operator="containsText" dxfId="1" text="No">
      <formula>NOT(ISERROR(SEARCH("No",G19)))</formula>
    </cfRule>
    <cfRule type="containsText" priority="2" operator="containsText" dxfId="0" text="Yes">
      <formula>NOT(ISERROR(SEARCH("Yes",G19)))</formula>
    </cfRule>
  </conditionalFormatting>
  <dataValidations count="3">
    <dataValidation sqref="D2:D37" showDropDown="0" showInputMessage="1" showErrorMessage="1" allowBlank="1" type="list" operator="equal">
      <formula1>"Yes,No,Partial"</formula1>
      <formula2>0</formula2>
    </dataValidation>
    <dataValidation sqref="F2:F37" showDropDown="0" showInputMessage="1" showErrorMessage="1" allowBlank="1" type="list" operator="equal">
      <formula1>"Yes,No"</formula1>
      <formula2>0</formula2>
    </dataValidation>
    <dataValidation sqref="G2:G111" showDropDown="0" showInputMessage="1" showErrorMessage="1" allowBlank="1" operator="equal">
      <formula1>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73"/>
  <sheetViews>
    <sheetView zoomScale="85" zoomScaleNormal="85" workbookViewId="0">
      <selection activeCell="E41" sqref="E41:F41"/>
    </sheetView>
  </sheetViews>
  <sheetFormatPr baseColWidth="8" defaultColWidth="9.140625" defaultRowHeight="14.45"/>
  <cols>
    <col width="60.7109375" customWidth="1" style="44" min="1" max="1"/>
    <col width="60.7109375" customWidth="1" style="54" min="3" max="3"/>
    <col width="14.7109375" customWidth="1" style="54" min="4" max="4"/>
    <col width="30.7109375" customWidth="1" style="54" min="5" max="5"/>
    <col width="14.7109375" customWidth="1" style="54" min="6" max="7"/>
    <col width="60.7109375" customWidth="1" style="54" min="8" max="8"/>
  </cols>
  <sheetData>
    <row r="1" customFormat="1" s="53">
      <c r="A1" s="48" t="inlineStr">
        <is>
          <t>Norm</t>
        </is>
      </c>
      <c r="B1" s="53" t="inlineStr">
        <is>
          <t>L1.#</t>
        </is>
      </c>
      <c r="C1" s="53" t="inlineStr">
        <is>
          <t>Automated requirement name</t>
        </is>
      </c>
      <c r="D1" s="53" t="inlineStr">
        <is>
          <t>Present</t>
        </is>
      </c>
      <c r="E1" s="53" t="inlineStr">
        <is>
          <t>Support</t>
        </is>
      </c>
      <c r="F1" s="53" t="inlineStr">
        <is>
          <t>Hallucination</t>
        </is>
      </c>
      <c r="G1" s="53" t="inlineStr">
        <is>
          <t>Hall. Type</t>
        </is>
      </c>
      <c r="H1" s="53" t="inlineStr">
        <is>
          <t>Rationale</t>
        </is>
      </c>
    </row>
    <row r="2" ht="15" customHeight="1" s="54">
      <c r="A2" s="49" t="inlineStr">
        <is>
          <t>Help messages during the {log-on procedure} must not aid an unauthorized user, e.g., by indicating which {parts of the data} are correct or incorrect</t>
        </is>
      </c>
      <c r="B2" t="inlineStr">
        <is>
          <t>L1.1.1</t>
        </is>
      </c>
      <c r="C2" t="inlineStr">
        <is>
          <t>Secure Access Control Manager Log-on</t>
        </is>
      </c>
      <c r="D2" t="inlineStr">
        <is>
          <t>Yes</t>
        </is>
      </c>
      <c r="E2" t="inlineStr">
        <is>
          <t>H.1.1</t>
        </is>
      </c>
    </row>
    <row r="3" ht="15" customHeight="1" s="54">
      <c r="B3" t="inlineStr">
        <is>
          <t>L1.1.2</t>
        </is>
      </c>
      <c r="C3" t="inlineStr">
        <is>
          <t>Employee Log-on Security</t>
        </is>
      </c>
      <c r="D3" t="inlineStr">
        <is>
          <t>Yes</t>
        </is>
      </c>
      <c r="E3" t="inlineStr">
        <is>
          <t>H.1.1</t>
        </is>
      </c>
    </row>
    <row r="4" ht="15" customHeight="1" s="54">
      <c r="B4" t="inlineStr">
        <is>
          <t>L1.1.3</t>
        </is>
      </c>
      <c r="C4" t="inlineStr">
        <is>
          <t>Secure Supply Vehicle Entry</t>
        </is>
      </c>
      <c r="D4" t="inlineStr">
        <is>
          <t>No</t>
        </is>
      </c>
      <c r="F4" t="inlineStr">
        <is>
          <t>Yes</t>
        </is>
      </c>
      <c r="G4" t="inlineStr">
        <is>
          <t>Scope misalignment</t>
        </is>
      </c>
      <c r="H4" t="inlineStr">
        <is>
          <t>Outside of the scope of the system</t>
        </is>
      </c>
    </row>
    <row r="5" ht="16.35" customHeight="1" s="54">
      <c r="A5" s="49" t="inlineStr">
        <is>
          <t>A security incident must be raised if a potential attempted or successful breach of {log-on controls} is detected, and, when the risk of the incident warrants it, the account shall be temporarily restricted, plus an alert shall be sent to the {account owner}, and to the {organization's system administrators}.</t>
        </is>
      </c>
      <c r="B5" t="inlineStr">
        <is>
          <t>L1.2.1</t>
        </is>
      </c>
      <c r="C5" t="inlineStr">
        <is>
          <t>Supply Vehicle Access Breach Detection</t>
        </is>
      </c>
      <c r="D5" t="inlineStr">
        <is>
          <t>No</t>
        </is>
      </c>
      <c r="F5" t="inlineStr">
        <is>
          <t>Yes</t>
        </is>
      </c>
      <c r="G5" t="inlineStr">
        <is>
          <t>Scope misalignment</t>
        </is>
      </c>
      <c r="H5" t="inlineStr">
        <is>
          <t>Outside of the scope of the system</t>
        </is>
      </c>
    </row>
    <row r="6">
      <c r="B6" t="inlineStr">
        <is>
          <t>L1.2.2</t>
        </is>
      </c>
      <c r="C6" t="inlineStr">
        <is>
          <t>Employee Access Breach Detection</t>
        </is>
      </c>
      <c r="D6" t="inlineStr">
        <is>
          <t>Yes</t>
        </is>
      </c>
      <c r="E6" t="inlineStr">
        <is>
          <t>H.2.1</t>
        </is>
      </c>
    </row>
    <row r="7" ht="15" customHeight="1" s="54">
      <c r="A7" s="49" t="inlineStr">
        <is>
          <t>Physical or logical access controls must be implemented to isolate {sensitive applications, data, or systems}.</t>
        </is>
      </c>
      <c r="B7" t="inlineStr">
        <is>
          <t>L1.3.1</t>
        </is>
      </c>
      <c r="C7" t="inlineStr">
        <is>
          <t>Sensitive Data Store Access Control</t>
        </is>
      </c>
      <c r="D7" t="inlineStr">
        <is>
          <t>Yes</t>
        </is>
      </c>
      <c r="E7" t="inlineStr">
        <is>
          <t>H.3.1</t>
        </is>
      </c>
    </row>
    <row r="8" ht="15" customHeight="1" s="54">
      <c r="B8" t="inlineStr">
        <is>
          <t>L1.3.2</t>
        </is>
      </c>
      <c r="C8" t="inlineStr">
        <is>
          <t>Assembly Line and Warehouse Access Control</t>
        </is>
      </c>
      <c r="D8" t="inlineStr">
        <is>
          <t>Partial</t>
        </is>
      </c>
      <c r="E8" t="inlineStr">
        <is>
          <t>H.3.2</t>
        </is>
      </c>
      <c r="F8" t="inlineStr">
        <is>
          <t>Yes</t>
        </is>
      </c>
      <c r="G8" t="inlineStr">
        <is>
          <t>Scope misalignment</t>
        </is>
      </c>
      <c r="H8" t="inlineStr">
        <is>
          <t>Partial hall. also areas non-related to IT</t>
        </is>
      </c>
    </row>
    <row r="9" ht="15" customHeight="1" s="54">
      <c r="B9" t="inlineStr">
        <is>
          <t>L1.3.3</t>
        </is>
      </c>
      <c r="C9" t="inlineStr">
        <is>
          <t>IoT Middleware Platform Isolation</t>
        </is>
      </c>
      <c r="D9" t="inlineStr">
        <is>
          <t>No</t>
        </is>
      </c>
      <c r="F9" t="inlineStr">
        <is>
          <t>No</t>
        </is>
      </c>
    </row>
    <row r="10" ht="15" customHeight="1" s="54">
      <c r="B10" t="inlineStr">
        <is>
          <t>L1.3.4</t>
        </is>
      </c>
      <c r="C10" t="inlineStr">
        <is>
          <t>Role-Based Access Control for System Administration</t>
        </is>
      </c>
      <c r="D10" t="inlineStr">
        <is>
          <t>No</t>
        </is>
      </c>
      <c r="F10" t="inlineStr">
        <is>
          <t>Yes</t>
        </is>
      </c>
      <c r="G10" t="inlineStr">
        <is>
          <t>Template drift</t>
        </is>
      </c>
    </row>
    <row r="11" ht="15" customHeight="1" s="54">
      <c r="B11" t="inlineStr">
        <is>
          <t>L1.3.5</t>
        </is>
      </c>
      <c r="C11" t="inlineStr">
        <is>
          <t>Secure AIDC Technology Management</t>
        </is>
      </c>
      <c r="D11" t="inlineStr">
        <is>
          <t>Yes</t>
        </is>
      </c>
      <c r="E11" t="inlineStr">
        <is>
          <t>H.3.5</t>
        </is>
      </c>
    </row>
    <row r="12" ht="16.35" customHeight="1" s="54">
      <c r="A12" s="49" t="inlineStr">
        <is>
          <t>{Access to data} must be controlled based on {user identity, group membership, and assigned roles}</t>
        </is>
      </c>
      <c r="B12" t="inlineStr">
        <is>
          <t>L1.4.1</t>
        </is>
      </c>
      <c r="C12" t="inlineStr">
        <is>
          <t>Role-Based Access Control</t>
        </is>
      </c>
      <c r="D12" t="inlineStr">
        <is>
          <t>Yes</t>
        </is>
      </c>
      <c r="E12" t="inlineStr">
        <is>
          <t>H.4.1; H.4.2; H.4.5</t>
        </is>
      </c>
    </row>
    <row r="13">
      <c r="B13" t="inlineStr">
        <is>
          <t>L1.4.2</t>
        </is>
      </c>
      <c r="C13" t="inlineStr">
        <is>
          <t>System Administration Access Control</t>
        </is>
      </c>
      <c r="D13" t="inlineStr">
        <is>
          <t>No</t>
        </is>
      </c>
      <c r="F13" t="inlineStr">
        <is>
          <t>No</t>
        </is>
      </c>
    </row>
    <row r="14">
      <c r="B14" t="inlineStr">
        <is>
          <t>L1.4.3</t>
        </is>
      </c>
      <c r="C14" t="inlineStr">
        <is>
          <t>Security Management Access Control</t>
        </is>
      </c>
      <c r="D14" t="inlineStr">
        <is>
          <t>No</t>
        </is>
      </c>
      <c r="F14" t="inlineStr">
        <is>
          <t>No</t>
        </is>
      </c>
    </row>
    <row r="15" ht="16.35" customHeight="1" s="54">
      <c r="A15" s="49" t="inlineStr">
        <is>
          <t>The {organization} shall maintain a record of {all privileges allocated}</t>
        </is>
      </c>
      <c r="B15" t="inlineStr">
        <is>
          <t>L1.5.1</t>
        </is>
      </c>
      <c r="C15" t="inlineStr">
        <is>
          <t>Privilege Allocation Record for Factory Roles</t>
        </is>
      </c>
      <c r="D15" t="inlineStr">
        <is>
          <t>Yes</t>
        </is>
      </c>
      <c r="E15" t="inlineStr">
        <is>
          <t>H.5.1</t>
        </is>
      </c>
    </row>
    <row r="16">
      <c r="B16" t="inlineStr">
        <is>
          <t>L1.5.2</t>
        </is>
      </c>
      <c r="C16" t="inlineStr">
        <is>
          <t>Role-Based Access Control Record</t>
        </is>
      </c>
      <c r="D16" t="inlineStr">
        <is>
          <t>Yes</t>
        </is>
      </c>
      <c r="E16" t="inlineStr">
        <is>
          <t>H.5.1</t>
        </is>
      </c>
      <c r="H16" t="inlineStr">
        <is>
          <t>Essentially the same as L1.5.1</t>
        </is>
      </c>
    </row>
    <row r="17">
      <c r="B17" t="inlineStr">
        <is>
          <t>L1.5.3</t>
        </is>
      </c>
      <c r="C17" t="inlineStr">
        <is>
          <t>Privilege Allocation Record for System Administration</t>
        </is>
      </c>
      <c r="D17" t="inlineStr">
        <is>
          <t>No</t>
        </is>
      </c>
      <c r="F17" t="inlineStr">
        <is>
          <t>No</t>
        </is>
      </c>
    </row>
    <row r="18">
      <c r="B18" t="inlineStr">
        <is>
          <t>L1.5.4</t>
        </is>
      </c>
      <c r="C18" t="inlineStr">
        <is>
          <t>Security Privilege Allocation Record</t>
        </is>
      </c>
      <c r="D18" t="inlineStr">
        <is>
          <t>Yes</t>
        </is>
      </c>
      <c r="E18" t="inlineStr">
        <is>
          <t>H.5.1</t>
        </is>
      </c>
      <c r="H18" t="inlineStr">
        <is>
          <t>Essentially the same as L1.5.1</t>
        </is>
      </c>
    </row>
    <row r="19" ht="16.35" customHeight="1" s="54">
      <c r="A19" s="49" t="inlineStr">
        <is>
          <t>The {organization} shall regularly review {users} with privileged access rights to ensure that their {duties}, {roles}, {responsibilities}, and {competence} still justify such access</t>
        </is>
      </c>
      <c r="B19" t="inlineStr">
        <is>
          <t>L1.6.1</t>
        </is>
      </c>
      <c r="C19" t="inlineStr">
        <is>
          <t>Privileged Access Review</t>
        </is>
      </c>
      <c r="D19" t="inlineStr">
        <is>
          <t>Yes</t>
        </is>
      </c>
      <c r="E19" t="inlineStr">
        <is>
          <t>H.6.1</t>
        </is>
      </c>
    </row>
    <row r="20">
      <c r="B20" t="inlineStr">
        <is>
          <t>L1.6.2</t>
        </is>
      </c>
      <c r="C20" t="inlineStr">
        <is>
          <t>Factory-Specific Privileged Access Review</t>
        </is>
      </c>
      <c r="D20" t="inlineStr">
        <is>
          <t>Yes</t>
        </is>
      </c>
      <c r="E20" t="inlineStr">
        <is>
          <t>H.6.1</t>
        </is>
      </c>
    </row>
    <row r="21">
      <c r="B21" t="inlineStr">
        <is>
          <t>L1.6.3</t>
        </is>
      </c>
      <c r="C21" t="inlineStr">
        <is>
          <t>Regular Competence Assessment for Privileged Users</t>
        </is>
      </c>
      <c r="D21" t="inlineStr">
        <is>
          <t>Yes</t>
        </is>
      </c>
      <c r="E21" t="inlineStr">
        <is>
          <t>H.6.1</t>
        </is>
      </c>
    </row>
    <row r="22">
      <c r="B22" t="inlineStr">
        <is>
          <t>L1.6.4</t>
        </is>
      </c>
      <c r="C22" t="inlineStr">
        <is>
          <t>Role-Based Privileged Access Review</t>
        </is>
      </c>
      <c r="D22" t="inlineStr">
        <is>
          <t>Partial</t>
        </is>
      </c>
      <c r="E22" t="inlineStr">
        <is>
          <t>H.6.1</t>
        </is>
      </c>
      <c r="F22" t="inlineStr">
        <is>
          <t>No</t>
        </is>
      </c>
    </row>
    <row r="23">
      <c r="B23" t="inlineStr">
        <is>
          <t>L1.6.5</t>
        </is>
      </c>
      <c r="C23" t="inlineStr">
        <is>
          <t>Duty-Specific Privileged Access Review</t>
        </is>
      </c>
      <c r="D23" t="inlineStr">
        <is>
          <t>Partial</t>
        </is>
      </c>
      <c r="E23" t="inlineStr">
        <is>
          <t>H.6.1</t>
        </is>
      </c>
      <c r="F23" t="inlineStr">
        <is>
          <t>No</t>
        </is>
      </c>
    </row>
    <row r="24" ht="16.35" customHeight="1" s="54">
      <c r="A24" s="49" t="inlineStr">
        <is>
          <t>{Connection} of {systems} to the {network} must be restricted and filtered, e.g., using firewalls.</t>
        </is>
      </c>
      <c r="B24" t="inlineStr">
        <is>
          <t>L1.7.1</t>
        </is>
      </c>
      <c r="C24" t="inlineStr">
        <is>
          <t>Restricted Factory Network Connections</t>
        </is>
      </c>
      <c r="D24" t="inlineStr">
        <is>
          <t>Yes</t>
        </is>
      </c>
      <c r="E24" t="inlineStr">
        <is>
          <t>H.7.1</t>
        </is>
      </c>
    </row>
    <row r="25">
      <c r="B25" t="inlineStr">
        <is>
          <t>L1.7.2</t>
        </is>
      </c>
      <c r="C25" t="inlineStr">
        <is>
          <t>Secure Logistics Terminal Connections</t>
        </is>
      </c>
      <c r="D25" s="30" t="inlineStr">
        <is>
          <t>Partial</t>
        </is>
      </c>
      <c r="E25" t="inlineStr">
        <is>
          <t>H.7.3</t>
        </is>
      </c>
      <c r="F25" t="inlineStr">
        <is>
          <t>No</t>
        </is>
      </c>
      <c r="H25" t="inlineStr">
        <is>
          <t>Securize internals</t>
        </is>
      </c>
    </row>
    <row r="26">
      <c r="B26" t="inlineStr">
        <is>
          <t>L1.7.3</t>
        </is>
      </c>
      <c r="C26" t="inlineStr">
        <is>
          <t>Filtered Forwarder Connections</t>
        </is>
      </c>
      <c r="D26" t="inlineStr">
        <is>
          <t>Yes</t>
        </is>
      </c>
      <c r="E26" t="inlineStr">
        <is>
          <t>H.7.2</t>
        </is>
      </c>
    </row>
    <row r="27">
      <c r="B27" t="inlineStr">
        <is>
          <t>L1.7.4</t>
        </is>
      </c>
      <c r="C27" t="inlineStr">
        <is>
          <t>Firewalled System Admin Access</t>
        </is>
      </c>
      <c r="D27" t="inlineStr">
        <is>
          <t>Yes</t>
        </is>
      </c>
      <c r="E27" t="inlineStr">
        <is>
          <t>H.7.1</t>
        </is>
      </c>
    </row>
    <row r="28">
      <c r="B28" t="inlineStr">
        <is>
          <t>L1.7.5</t>
        </is>
      </c>
      <c r="C28" t="inlineStr">
        <is>
          <t>Security Manager Oversight</t>
        </is>
      </c>
      <c r="D28" t="inlineStr">
        <is>
          <t>No</t>
        </is>
      </c>
      <c r="F28" t="inlineStr">
        <is>
          <t>No</t>
        </is>
      </c>
    </row>
    <row r="29" ht="15" customHeight="1" s="54">
      <c r="A29" s="44" t="inlineStr">
        <is>
          <t>{Network administration channels} must be segregated from {other network traffic}</t>
        </is>
      </c>
      <c r="B29" t="inlineStr">
        <is>
          <t>L1.8.1</t>
        </is>
      </c>
      <c r="C29" t="inlineStr">
        <is>
          <t>System Admin Network Channel Segregation</t>
        </is>
      </c>
      <c r="D29" t="inlineStr">
        <is>
          <t>Yes</t>
        </is>
      </c>
      <c r="E29" t="inlineStr">
        <is>
          <t>H.8.1</t>
        </is>
      </c>
    </row>
    <row r="30">
      <c r="B30" t="inlineStr">
        <is>
          <t>L1.8.2</t>
        </is>
      </c>
      <c r="C30" t="inlineStr">
        <is>
          <t>IT Infrastructure Management Communication Isolation</t>
        </is>
      </c>
      <c r="D30" t="inlineStr">
        <is>
          <t>Yes</t>
        </is>
      </c>
      <c r="E30" t="inlineStr">
        <is>
          <t>H.8.1</t>
        </is>
      </c>
    </row>
    <row r="31" ht="16.35" customHeight="1" s="54">
      <c r="A31" s="49" t="inlineStr">
        <is>
          <t>Implement cryptographic measures to safeguard {information stored} on {mobile user} {endpoint devices} or {storage media} and transmitted over {networks}</t>
        </is>
      </c>
      <c r="B31" t="inlineStr">
        <is>
          <t>L1.9.1</t>
        </is>
      </c>
      <c r="C31" t="inlineStr">
        <is>
          <t>Secure Data Transmission for Finished Car Registry</t>
        </is>
      </c>
      <c r="D31" t="inlineStr">
        <is>
          <t>Yes</t>
        </is>
      </c>
      <c r="E31" t="inlineStr">
        <is>
          <t>H.9.1; H.9.3</t>
        </is>
      </c>
    </row>
    <row r="32">
      <c r="B32" t="inlineStr">
        <is>
          <t>L1.9.2</t>
        </is>
      </c>
      <c r="C32" t="inlineStr">
        <is>
          <t>Endpoint Device Data Protection for Warehouse Workers</t>
        </is>
      </c>
      <c r="D32" t="inlineStr">
        <is>
          <t>Yes</t>
        </is>
      </c>
      <c r="E32" t="inlineStr">
        <is>
          <t>H.9.1; H.9.3</t>
        </is>
      </c>
    </row>
    <row r="33">
      <c r="B33" t="inlineStr">
        <is>
          <t>L1.9.3</t>
        </is>
      </c>
      <c r="C33" t="inlineStr">
        <is>
          <t>Secure Storage of Requisitions Data</t>
        </is>
      </c>
      <c r="D33" t="inlineStr">
        <is>
          <t>Yes</t>
        </is>
      </c>
      <c r="E33" t="inlineStr">
        <is>
          <t>H.9.1; H.9.3</t>
        </is>
      </c>
    </row>
    <row r="34">
      <c r="B34" t="inlineStr">
        <is>
          <t>L1.9.4</t>
        </is>
      </c>
      <c r="C34" t="inlineStr">
        <is>
          <t>Cryptographic Protection for Supply Vehicles Registry</t>
        </is>
      </c>
      <c r="D34" t="inlineStr">
        <is>
          <t>Yes</t>
        </is>
      </c>
      <c r="E34" t="inlineStr">
        <is>
          <t>H.9.1; H.9.3</t>
        </is>
      </c>
    </row>
    <row r="35">
      <c r="B35" t="inlineStr">
        <is>
          <t>L1.9.5</t>
        </is>
      </c>
      <c r="C35" t="inlineStr">
        <is>
          <t>Secure Transmission of Production Plan Data</t>
        </is>
      </c>
      <c r="D35" t="inlineStr">
        <is>
          <t>Yes</t>
        </is>
      </c>
      <c r="E35" t="inlineStr">
        <is>
          <t>H.9.1; H.9.3</t>
        </is>
      </c>
    </row>
    <row r="36">
      <c r="B36" t="inlineStr">
        <is>
          <t>L1.9.6</t>
        </is>
      </c>
      <c r="C36" t="inlineStr">
        <is>
          <t>Secure Storage and Transmission of Purchase Order and Transport Order Data</t>
        </is>
      </c>
      <c r="D36" t="inlineStr">
        <is>
          <t>Yes</t>
        </is>
      </c>
      <c r="E36" t="inlineStr">
        <is>
          <t>H.9.1; H.9.3</t>
        </is>
      </c>
    </row>
    <row r="37" ht="16.35" customHeight="1" s="54">
      <c r="A37" s="49" t="inlineStr">
        <is>
          <t>Establish a comprehensive key management system, including procedures for generating and protecting {cryptographic keys} and recovering {encrypted data} in case of lost, compromised, or damaged {keys}</t>
        </is>
      </c>
      <c r="B37" t="inlineStr">
        <is>
          <t>L1.10.1</t>
        </is>
      </c>
      <c r="C37" t="inlineStr">
        <is>
          <t>Component Identifier Key Management</t>
        </is>
      </c>
      <c r="D37" t="inlineStr">
        <is>
          <t>Yes</t>
        </is>
      </c>
      <c r="E37" t="inlineStr">
        <is>
          <t>H.10.1</t>
        </is>
      </c>
    </row>
    <row r="38">
      <c r="B38" t="inlineStr">
        <is>
          <t>L1.10.2</t>
        </is>
      </c>
      <c r="C38" t="inlineStr">
        <is>
          <t>Finished Car Registry Data Protection</t>
        </is>
      </c>
      <c r="D38" t="inlineStr">
        <is>
          <t>No</t>
        </is>
      </c>
      <c r="F38" t="inlineStr">
        <is>
          <t>Yes</t>
        </is>
      </c>
      <c r="G38" t="inlineStr">
        <is>
          <t>Template drift</t>
        </is>
      </c>
    </row>
    <row r="39">
      <c r="B39" t="inlineStr">
        <is>
          <t>L1.10.3</t>
        </is>
      </c>
      <c r="C39" t="inlineStr">
        <is>
          <t>Access Control Key Management</t>
        </is>
      </c>
      <c r="D39" t="inlineStr">
        <is>
          <t>Yes</t>
        </is>
      </c>
      <c r="E39" t="inlineStr">
        <is>
          <t>H.10.3</t>
        </is>
      </c>
    </row>
    <row r="40" ht="14.45" customHeight="1" s="54">
      <c r="B40" s="16" t="inlineStr">
        <is>
          <t>Count</t>
        </is>
      </c>
      <c r="C40" s="16" t="inlineStr">
        <is>
          <t>No</t>
        </is>
      </c>
      <c r="D40" s="16">
        <f>COUNTIF(D2:D39,"No")</f>
        <v/>
      </c>
      <c r="E40" s="16" t="inlineStr">
        <is>
          <t>Hallucinations</t>
        </is>
      </c>
      <c r="F40" s="16">
        <f>COUNTIF(F2:F39,"Yes")</f>
        <v/>
      </c>
    </row>
    <row r="41" ht="14.45" customHeight="1" s="54">
      <c r="B41" s="47" t="n"/>
      <c r="C41" s="16" t="inlineStr">
        <is>
          <t>Yes</t>
        </is>
      </c>
      <c r="D41" s="16">
        <f>COUNTIF(D2:D39,"Yes")</f>
        <v/>
      </c>
      <c r="E41" s="16" t="inlineStr">
        <is>
          <t>Partial hallucinations</t>
        </is>
      </c>
      <c r="F41">
        <f>COUNTIFS(D:D,"Partial",F:F,"Yes")</f>
        <v/>
      </c>
    </row>
    <row r="42" ht="14.45" customHeight="1" s="54">
      <c r="B42" s="47" t="n"/>
      <c r="C42" s="16" t="inlineStr">
        <is>
          <t>Partial</t>
        </is>
      </c>
      <c r="D42" s="16">
        <f>COUNTIF(D2:D39,"Partial")</f>
        <v/>
      </c>
      <c r="E42" s="10" t="inlineStr">
        <is>
          <t>Template drift</t>
        </is>
      </c>
      <c r="F42">
        <f>COUNTIF($G$2:$G$39,E42)</f>
        <v/>
      </c>
    </row>
    <row r="43" ht="15" customHeight="1" s="54">
      <c r="E43" s="10" t="inlineStr">
        <is>
          <t>Contextual misfit</t>
        </is>
      </c>
      <c r="F43">
        <f>COUNTIF($G$2:$G$39,E43)</f>
        <v/>
      </c>
    </row>
    <row r="44" ht="15" customHeight="1" s="54">
      <c r="E44" s="10" t="inlineStr">
        <is>
          <t>Scope misalignment</t>
        </is>
      </c>
      <c r="F44">
        <f>COUNTIF($G$2:$G$39,E44)</f>
        <v/>
      </c>
    </row>
    <row r="45" ht="15" customHeight="1" s="54">
      <c r="E45" s="10" t="inlineStr">
        <is>
          <t>Responsibility leakage</t>
        </is>
      </c>
      <c r="F45">
        <f>COUNTIF($G$2:$G$39,E45)</f>
        <v/>
      </c>
    </row>
    <row r="46" ht="15" customHeight="1" s="54">
      <c r="E46" s="10" t="inlineStr">
        <is>
          <t>Architectural infeasibility</t>
        </is>
      </c>
      <c r="F46">
        <f>COUNTIF($G$2:$G$39,E46)</f>
        <v/>
      </c>
    </row>
    <row r="47" ht="15" customHeight="1" s="54"/>
    <row r="48" ht="15" customHeight="1" s="54">
      <c r="E48" s="16" t="inlineStr">
        <is>
          <t>Discoveries</t>
        </is>
      </c>
      <c r="F48" s="16">
        <f>COUNTIF(F2:F39,"No")</f>
        <v/>
      </c>
    </row>
    <row r="73">
      <c r="AA73" t="inlineStr">
        <is>
          <t>G0_ii.10.2</t>
        </is>
      </c>
    </row>
  </sheetData>
  <mergeCells count="10">
    <mergeCell ref="A5:A6"/>
    <mergeCell ref="A31:A36"/>
    <mergeCell ref="A12:A14"/>
    <mergeCell ref="A2:A4"/>
    <mergeCell ref="A24:A28"/>
    <mergeCell ref="A29:A30"/>
    <mergeCell ref="A15:A18"/>
    <mergeCell ref="A19:A23"/>
    <mergeCell ref="A37:A39"/>
    <mergeCell ref="A7:A11"/>
  </mergeCells>
  <conditionalFormatting sqref="D2:D24 D26:D39">
    <cfRule type="containsText" priority="4" operator="containsText" dxfId="6" text="Partial">
      <formula>NOT(ISERROR(SEARCH("Partial",D2)))</formula>
    </cfRule>
    <cfRule type="containsText" priority="5" operator="containsText" dxfId="0" text="No">
      <formula>NOT(ISERROR(SEARCH("No",D2)))</formula>
    </cfRule>
    <cfRule type="containsText" priority="6" operator="containsText" dxfId="1" text="Yes">
      <formula>NOT(ISERROR(SEARCH("Yes",D2)))</formula>
    </cfRule>
  </conditionalFormatting>
  <conditionalFormatting sqref="F2:F39">
    <cfRule type="containsText" priority="2" operator="containsText" dxfId="1" text="No">
      <formula>NOT(ISERROR(SEARCH("No",F2)))</formula>
    </cfRule>
    <cfRule type="containsText" priority="3" operator="containsText" dxfId="0" text="Yes">
      <formula>NOT(ISERROR(SEARCH("Yes",F2)))</formula>
    </cfRule>
  </conditionalFormatting>
  <conditionalFormatting sqref="G2:G108">
    <cfRule type="containsText" priority="7" operator="containsText" dxfId="1" text="No">
      <formula>NOT(ISERROR(SEARCH("No",G2)))</formula>
    </cfRule>
    <cfRule type="containsText" priority="8" operator="containsText" dxfId="0" text="Yes">
      <formula>NOT(ISERROR(SEARCH("Yes",G2)))</formula>
    </cfRule>
  </conditionalFormatting>
  <dataValidations count="3">
    <dataValidation sqref="D2:D39" showDropDown="0" showInputMessage="1" showErrorMessage="1" allowBlank="1" type="list" operator="equal">
      <formula1>"Yes,No,Partial"</formula1>
      <formula2>0</formula2>
    </dataValidation>
    <dataValidation sqref="F2:F39" showDropDown="0" showInputMessage="1" showErrorMessage="1" allowBlank="1" type="list" operator="equal">
      <formula1>"Yes,No"</formula1>
      <formula2>0</formula2>
    </dataValidation>
    <dataValidation sqref="G2:G108" showDropDown="0" showInputMessage="1" showErrorMessage="1" allowBlank="1" operator="equal">
      <formula1>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73"/>
  <sheetViews>
    <sheetView zoomScale="85" zoomScaleNormal="85" workbookViewId="0">
      <selection activeCell="E36" sqref="E36:F36"/>
    </sheetView>
  </sheetViews>
  <sheetFormatPr baseColWidth="8" defaultColWidth="9.140625" defaultRowHeight="14.45"/>
  <cols>
    <col width="60.7109375" customWidth="1" style="44" min="1" max="1"/>
    <col width="60.7109375" customWidth="1" style="54" min="3" max="3"/>
    <col width="14.7109375" customWidth="1" style="54" min="4" max="4"/>
    <col width="30.7109375" customWidth="1" style="54" min="5" max="5"/>
    <col width="14.7109375" customWidth="1" style="54" min="6" max="7"/>
    <col width="60.7109375" customWidth="1" style="54" min="8" max="8"/>
  </cols>
  <sheetData>
    <row r="1" customFormat="1" s="53">
      <c r="A1" s="48" t="inlineStr">
        <is>
          <t>Norm</t>
        </is>
      </c>
      <c r="B1" s="53" t="inlineStr">
        <is>
          <t>L2.#</t>
        </is>
      </c>
      <c r="C1" s="53" t="inlineStr">
        <is>
          <t>Automated requirement name</t>
        </is>
      </c>
      <c r="D1" s="53" t="inlineStr">
        <is>
          <t>Present</t>
        </is>
      </c>
      <c r="E1" s="53" t="inlineStr">
        <is>
          <t>Support</t>
        </is>
      </c>
      <c r="F1" s="53" t="inlineStr">
        <is>
          <t>Hallucination</t>
        </is>
      </c>
      <c r="G1" s="53" t="inlineStr">
        <is>
          <t>Hall. Type</t>
        </is>
      </c>
      <c r="H1" s="53" t="inlineStr">
        <is>
          <t>Rationale</t>
        </is>
      </c>
    </row>
    <row r="2" ht="15" customHeight="1" s="54">
      <c r="A2" s="49" t="inlineStr">
        <is>
          <t>Help messages during the {log-on procedure} must not aid an unauthorized user, e.g., by indicating which {parts of the data} are correct or incorrect</t>
        </is>
      </c>
      <c r="B2" t="inlineStr">
        <is>
          <t>L2.1.1</t>
        </is>
      </c>
      <c r="C2" t="inlineStr">
        <is>
          <t>Secure Employee Login Feedback</t>
        </is>
      </c>
      <c r="D2" t="inlineStr">
        <is>
          <t>Yes</t>
        </is>
      </c>
      <c r="E2" t="inlineStr">
        <is>
          <t>H.1.1</t>
        </is>
      </c>
    </row>
    <row r="3" ht="15" customHeight="1" s="54">
      <c r="B3" t="inlineStr">
        <is>
          <t>L2.1.2</t>
        </is>
      </c>
      <c r="C3" t="inlineStr">
        <is>
          <t>Controlled Access Attempt Feedback</t>
        </is>
      </c>
      <c r="D3" t="inlineStr">
        <is>
          <t>No</t>
        </is>
      </c>
      <c r="F3" t="inlineStr">
        <is>
          <t>Yes</t>
        </is>
      </c>
      <c r="G3" t="inlineStr">
        <is>
          <t>Scope misalignment</t>
        </is>
      </c>
      <c r="H3" t="inlineStr">
        <is>
          <t>Outside of the scope of the system</t>
        </is>
      </c>
    </row>
    <row r="4" ht="16.35" customHeight="1" s="54">
      <c r="A4" s="49" t="inlineStr">
        <is>
          <t>A security incident must be raised if a potential attempted or successful breach of {log-on controls} is detected, and, when the risk of the incident warrants it, the account shall be temporarily restricted, plus an alert shall be sent to the {account owner}, and to the {organization's system administrators}.</t>
        </is>
      </c>
      <c r="B4" t="inlineStr">
        <is>
          <t>L2.2.1</t>
        </is>
      </c>
      <c r="C4" t="inlineStr">
        <is>
          <t>Detection of Potential Breach of Employee Log-on Controls</t>
        </is>
      </c>
      <c r="D4" t="inlineStr">
        <is>
          <t>Yes</t>
        </is>
      </c>
      <c r="E4" t="inlineStr">
        <is>
          <t>H.2.1</t>
        </is>
      </c>
    </row>
    <row r="5">
      <c r="B5" t="inlineStr">
        <is>
          <t>L2.2.2</t>
        </is>
      </c>
      <c r="C5" t="inlineStr">
        <is>
          <t>Notification of Security Manager in Case of Potential Breach</t>
        </is>
      </c>
      <c r="D5" t="inlineStr">
        <is>
          <t>Yes</t>
        </is>
      </c>
      <c r="E5" t="inlineStr">
        <is>
          <t>H.2.1</t>
        </is>
      </c>
    </row>
    <row r="6">
      <c r="B6" t="inlineStr">
        <is>
          <t>L2.2.3</t>
        </is>
      </c>
      <c r="C6" t="inlineStr">
        <is>
          <t>Real-time Alerting for Suspicious Log-on Activity</t>
        </is>
      </c>
      <c r="D6" t="inlineStr">
        <is>
          <t>Yes</t>
        </is>
      </c>
      <c r="E6" t="inlineStr">
        <is>
          <t>H.2.1</t>
        </is>
      </c>
    </row>
    <row r="7">
      <c r="B7" t="inlineStr">
        <is>
          <t>L2.2.4</t>
        </is>
      </c>
      <c r="C7" t="inlineStr">
        <is>
          <t>System Admin Alerting for Potential Security Breaches</t>
        </is>
      </c>
      <c r="D7" t="inlineStr">
        <is>
          <t>Yes</t>
        </is>
      </c>
      <c r="E7" t="inlineStr">
        <is>
          <t>H.2.1</t>
        </is>
      </c>
    </row>
    <row r="8" ht="15" customHeight="1" s="54">
      <c r="A8" s="49" t="inlineStr">
        <is>
          <t>Physical or logical access controls must be implemented to isolate {sensitive applications, data, or systems}.</t>
        </is>
      </c>
      <c r="B8" t="inlineStr">
        <is>
          <t>L2.3.1</t>
        </is>
      </c>
      <c r="C8" t="inlineStr">
        <is>
          <t>Access Control for Sensitive Data Stores</t>
        </is>
      </c>
      <c r="D8" t="inlineStr">
        <is>
          <t>Yes</t>
        </is>
      </c>
      <c r="E8" t="inlineStr">
        <is>
          <t>H.3.1</t>
        </is>
      </c>
    </row>
    <row r="9" ht="15" customHeight="1" s="54">
      <c r="B9" t="inlineStr">
        <is>
          <t>L2.3.2</t>
        </is>
      </c>
      <c r="C9" t="inlineStr">
        <is>
          <t>Role-Based Access Control</t>
        </is>
      </c>
      <c r="D9" t="inlineStr">
        <is>
          <t>No</t>
        </is>
      </c>
      <c r="F9" t="inlineStr">
        <is>
          <t>Yes</t>
        </is>
      </c>
      <c r="G9" t="inlineStr">
        <is>
          <t>Template drift</t>
        </is>
      </c>
    </row>
    <row r="10" ht="16.35" customHeight="1" s="54">
      <c r="A10" s="49" t="inlineStr">
        <is>
          <t>{Access to data} must be controlled based on {user identity, group membership, and assigned roles}</t>
        </is>
      </c>
      <c r="B10" t="inlineStr">
        <is>
          <t>L2.4.1</t>
        </is>
      </c>
      <c r="C10" t="inlineStr">
        <is>
          <t>Role-Based Access Control</t>
        </is>
      </c>
      <c r="D10" t="inlineStr">
        <is>
          <t>Yes</t>
        </is>
      </c>
      <c r="E10" t="inlineStr">
        <is>
          <t>H.4.1; H.4.5</t>
        </is>
      </c>
    </row>
    <row r="11">
      <c r="B11" t="inlineStr">
        <is>
          <t>L2.4.2</t>
        </is>
      </c>
      <c r="C11" t="inlineStr">
        <is>
          <t>Warehouse Inventory Access Restriction</t>
        </is>
      </c>
      <c r="D11" t="inlineStr">
        <is>
          <t>Yes</t>
        </is>
      </c>
      <c r="E11" t="inlineStr">
        <is>
          <t>H.4.5</t>
        </is>
      </c>
    </row>
    <row r="12">
      <c r="B12" t="inlineStr">
        <is>
          <t>L2.4.3</t>
        </is>
      </c>
      <c r="C12" t="inlineStr">
        <is>
          <t>Finished Car Registry Access Control</t>
        </is>
      </c>
      <c r="D12" t="inlineStr">
        <is>
          <t>Yes</t>
        </is>
      </c>
      <c r="E12" t="inlineStr">
        <is>
          <t>H.4.3</t>
        </is>
      </c>
    </row>
    <row r="13">
      <c r="B13" t="inlineStr">
        <is>
          <t>L2.4.4</t>
        </is>
      </c>
      <c r="C13" t="inlineStr">
        <is>
          <t>Logistics Terminal Car Registry Access Control</t>
        </is>
      </c>
      <c r="D13" t="inlineStr">
        <is>
          <t>No</t>
        </is>
      </c>
      <c r="F13" t="inlineStr">
        <is>
          <t>No</t>
        </is>
      </c>
    </row>
    <row r="14">
      <c r="B14" t="inlineStr">
        <is>
          <t>L2.4.5</t>
        </is>
      </c>
      <c r="C14" t="inlineStr">
        <is>
          <t>Purchase and Transport Order Access Control</t>
        </is>
      </c>
      <c r="D14" t="inlineStr">
        <is>
          <t>Yes</t>
        </is>
      </c>
      <c r="E14" t="inlineStr">
        <is>
          <t>H.4.2</t>
        </is>
      </c>
    </row>
    <row r="15" ht="16.35" customHeight="1" s="54">
      <c r="A15" s="49" t="inlineStr">
        <is>
          <t>The {organization} shall maintain a record of {all privileges allocated}</t>
        </is>
      </c>
      <c r="B15" t="inlineStr">
        <is>
          <t>L2.5.1</t>
        </is>
      </c>
      <c r="C15" t="inlineStr">
        <is>
          <t>Factory Privilege Management Record</t>
        </is>
      </c>
      <c r="D15" t="inlineStr">
        <is>
          <t>Yes</t>
        </is>
      </c>
      <c r="E15" t="inlineStr">
        <is>
          <t>H.5.1</t>
        </is>
      </c>
    </row>
    <row r="16">
      <c r="B16" t="inlineStr">
        <is>
          <t>L2.5.2</t>
        </is>
      </c>
      <c r="C16" t="inlineStr">
        <is>
          <t>Car Manufacturer Access Control Record [external entities]</t>
        </is>
      </c>
      <c r="D16" t="inlineStr">
        <is>
          <t>No</t>
        </is>
      </c>
      <c r="F16" t="inlineStr">
        <is>
          <t>No</t>
        </is>
      </c>
    </row>
    <row r="17">
      <c r="B17" t="inlineStr">
        <is>
          <t>L2.5.3</t>
        </is>
      </c>
      <c r="C17" t="inlineStr">
        <is>
          <t>System Admin Privilege Record</t>
        </is>
      </c>
      <c r="D17" t="inlineStr">
        <is>
          <t>No</t>
        </is>
      </c>
      <c r="F17" t="inlineStr">
        <is>
          <t>No</t>
        </is>
      </c>
    </row>
    <row r="18">
      <c r="B18" t="inlineStr">
        <is>
          <t>L2.5.4</t>
        </is>
      </c>
      <c r="C18" t="inlineStr">
        <is>
          <t>Security Manager Incident Response Record</t>
        </is>
      </c>
      <c r="D18" t="inlineStr">
        <is>
          <t>Yes</t>
        </is>
      </c>
      <c r="E18" t="inlineStr">
        <is>
          <t>H.5.1</t>
        </is>
      </c>
    </row>
    <row r="19" ht="15" customHeight="1" s="54">
      <c r="A19" s="44" t="inlineStr">
        <is>
          <t>The {organization} shall regularly review {users} with privileged access rights to ensure that their {duties}, {roles}, {responsibilities}, and {competence} still justify such access</t>
        </is>
      </c>
      <c r="B19" t="inlineStr">
        <is>
          <t>L2.6.1</t>
        </is>
      </c>
      <c r="C19" t="inlineStr">
        <is>
          <t>Regular Review of Privileged Access Rights</t>
        </is>
      </c>
      <c r="D19" t="inlineStr">
        <is>
          <t>Yes</t>
        </is>
      </c>
      <c r="E19" t="inlineStr">
        <is>
          <t>H.6.1</t>
        </is>
      </c>
    </row>
    <row r="20" ht="16.35" customHeight="1" s="54">
      <c r="A20" s="49" t="inlineStr">
        <is>
          <t>{Connection} of {systems} to the {network} must be restricted and filtered, e.g., using firewalls.</t>
        </is>
      </c>
      <c r="B20" t="inlineStr">
        <is>
          <t>L2.7.1</t>
        </is>
      </c>
      <c r="C20" t="inlineStr">
        <is>
          <t>Factory Internal Network Access Restriction</t>
        </is>
      </c>
      <c r="D20" t="inlineStr">
        <is>
          <t>Yes</t>
        </is>
      </c>
      <c r="E20" t="inlineStr">
        <is>
          <t>H.7.1</t>
        </is>
      </c>
    </row>
    <row r="21">
      <c r="B21" t="inlineStr">
        <is>
          <t>L2.7.2</t>
        </is>
      </c>
      <c r="C21" t="inlineStr">
        <is>
          <t>Logistics Terminal Network Access Restriction</t>
        </is>
      </c>
      <c r="D21" t="inlineStr">
        <is>
          <t>Yes</t>
        </is>
      </c>
      <c r="E21" t="inlineStr">
        <is>
          <t>H.7.1</t>
        </is>
      </c>
    </row>
    <row r="22">
      <c r="B22" t="inlineStr">
        <is>
          <t>L2.7.3</t>
        </is>
      </c>
      <c r="C22" t="inlineStr">
        <is>
          <t>IoT Middleware Access Restriction</t>
        </is>
      </c>
      <c r="D22" t="inlineStr">
        <is>
          <t>No</t>
        </is>
      </c>
      <c r="F22" t="inlineStr">
        <is>
          <t>No</t>
        </is>
      </c>
    </row>
    <row r="23">
      <c r="B23" t="inlineStr">
        <is>
          <t>L2.7.4</t>
        </is>
      </c>
      <c r="C23" t="inlineStr">
        <is>
          <t>Secure External Communication</t>
        </is>
      </c>
      <c r="D23" t="inlineStr">
        <is>
          <t>Yes</t>
        </is>
      </c>
      <c r="E23" t="inlineStr">
        <is>
          <t>H.7.2</t>
        </is>
      </c>
    </row>
    <row r="24">
      <c r="B24" t="inlineStr">
        <is>
          <t>L2.7.5</t>
        </is>
      </c>
      <c r="C24" t="inlineStr">
        <is>
          <t>Firewall Configuration</t>
        </is>
      </c>
      <c r="D24" t="inlineStr">
        <is>
          <t>Yes</t>
        </is>
      </c>
      <c r="E24" t="inlineStr">
        <is>
          <t>H.7.3</t>
        </is>
      </c>
    </row>
    <row r="25" ht="15" customHeight="1" s="54">
      <c r="A25" s="44" t="inlineStr">
        <is>
          <t>{Network administration channels} must be segregated from {other network traffic}</t>
        </is>
      </c>
      <c r="B25" t="inlineStr">
        <is>
          <t>L2.8.1</t>
        </is>
      </c>
      <c r="C25" t="inlineStr">
        <is>
          <t>Segregation of System Admin Network Channels</t>
        </is>
      </c>
      <c r="D25" t="inlineStr">
        <is>
          <t>Yes</t>
        </is>
      </c>
      <c r="E25" t="inlineStr">
        <is>
          <t>H.8.1</t>
        </is>
      </c>
    </row>
    <row r="26">
      <c r="B26" t="inlineStr">
        <is>
          <t>L2.8.2</t>
        </is>
      </c>
      <c r="C26" t="inlineStr">
        <is>
          <t>Isolation of Network Administration from Production Traffic</t>
        </is>
      </c>
      <c r="D26" t="inlineStr">
        <is>
          <t>Yes</t>
        </is>
      </c>
      <c r="E26" t="inlineStr">
        <is>
          <t>H.8.1</t>
        </is>
      </c>
    </row>
    <row r="27" ht="16.35" customHeight="1" s="54">
      <c r="A27" s="49" t="inlineStr">
        <is>
          <t>Implement cryptographic measures to safeguard {information stored} on {mobile user} {endpoint devices} or {storage media} and transmitted over {networks}</t>
        </is>
      </c>
      <c r="B27" t="inlineStr">
        <is>
          <t>L2.9.1</t>
        </is>
      </c>
      <c r="C27" t="inlineStr">
        <is>
          <t>Logistics Information Confidentiality</t>
        </is>
      </c>
      <c r="D27" t="inlineStr">
        <is>
          <t>Yes</t>
        </is>
      </c>
      <c r="E27" t="inlineStr">
        <is>
          <t>H.9.1</t>
        </is>
      </c>
    </row>
    <row r="28">
      <c r="B28" t="inlineStr">
        <is>
          <t>L2.9.2</t>
        </is>
      </c>
      <c r="C28" t="inlineStr">
        <is>
          <t>Mobile User Data Protection</t>
        </is>
      </c>
      <c r="D28" t="inlineStr">
        <is>
          <t>Yes</t>
        </is>
      </c>
      <c r="E28" t="inlineStr">
        <is>
          <t>H.9.1</t>
        </is>
      </c>
    </row>
    <row r="29">
      <c r="B29" t="inlineStr">
        <is>
          <t>L2.9.3</t>
        </is>
      </c>
      <c r="C29" t="inlineStr">
        <is>
          <t>Supply Chain Interaction Security</t>
        </is>
      </c>
      <c r="D29" t="inlineStr">
        <is>
          <t>No</t>
        </is>
      </c>
      <c r="F29" t="inlineStr">
        <is>
          <t>No</t>
        </is>
      </c>
    </row>
    <row r="30" ht="16.35" customHeight="1" s="54">
      <c r="A30" s="49" t="inlineStr">
        <is>
          <t>Establish a comprehensive key management system, including procedures for generating and protecting {cryptographic keys} and recovering {encrypted data} in case of lost, compromised, or damaged {keys}</t>
        </is>
      </c>
      <c r="B30" t="inlineStr">
        <is>
          <t>L2.10.1</t>
        </is>
      </c>
      <c r="C30" t="inlineStr">
        <is>
          <t>Secure Key Management</t>
        </is>
      </c>
      <c r="D30" t="inlineStr">
        <is>
          <t>Yes</t>
        </is>
      </c>
      <c r="E30" t="inlineStr">
        <is>
          <t>H.10.1</t>
        </is>
      </c>
    </row>
    <row r="31">
      <c r="B31" t="inlineStr">
        <is>
          <t>L2.10.2</t>
        </is>
      </c>
      <c r="C31" t="inlineStr">
        <is>
          <t>Protected Data in Transit</t>
        </is>
      </c>
      <c r="D31" t="inlineStr">
        <is>
          <t>No</t>
        </is>
      </c>
      <c r="F31" t="inlineStr">
        <is>
          <t>Yes</t>
        </is>
      </c>
      <c r="G31" t="inlineStr">
        <is>
          <t>Template drift</t>
        </is>
      </c>
      <c r="H31" t="inlineStr">
        <is>
          <t>Outside the scope of the requested NFR</t>
        </is>
      </c>
    </row>
    <row r="32">
      <c r="B32" t="inlineStr">
        <is>
          <t>L2.10.3</t>
        </is>
      </c>
      <c r="C32" t="inlineStr">
        <is>
          <t>Key Recovery and Revocation</t>
        </is>
      </c>
      <c r="D32" t="inlineStr">
        <is>
          <t>No</t>
        </is>
      </c>
      <c r="F32" t="inlineStr">
        <is>
          <t>No</t>
        </is>
      </c>
    </row>
    <row r="33">
      <c r="B33" t="inlineStr">
        <is>
          <t>L2.10.4</t>
        </is>
      </c>
      <c r="C33" t="inlineStr">
        <is>
          <t>Access-Controlled Key Management</t>
        </is>
      </c>
      <c r="D33" t="inlineStr">
        <is>
          <t>Partial</t>
        </is>
      </c>
      <c r="E33" t="inlineStr">
        <is>
          <t>H.10.1</t>
        </is>
      </c>
      <c r="F33" t="inlineStr">
        <is>
          <t>No</t>
        </is>
      </c>
    </row>
    <row r="34">
      <c r="B34" t="inlineStr">
        <is>
          <t>L2.10.5</t>
        </is>
      </c>
      <c r="C34" t="inlineStr">
        <is>
          <t>Key Management Roles and Responsibilities</t>
        </is>
      </c>
      <c r="D34" t="inlineStr">
        <is>
          <t>Yes</t>
        </is>
      </c>
      <c r="E34" t="inlineStr">
        <is>
          <t>H.10.3</t>
        </is>
      </c>
    </row>
    <row r="35" ht="14.45" customHeight="1" s="54">
      <c r="B35" s="16" t="inlineStr">
        <is>
          <t>Count</t>
        </is>
      </c>
      <c r="C35" s="16" t="inlineStr">
        <is>
          <t>No</t>
        </is>
      </c>
      <c r="D35" s="16">
        <f>COUNTIF(D2:D34,"No")</f>
        <v/>
      </c>
      <c r="E35" s="16" t="inlineStr">
        <is>
          <t>Hallucinations</t>
        </is>
      </c>
      <c r="F35" s="16">
        <f>COUNTIF(F2:F34,"Yes")</f>
        <v/>
      </c>
    </row>
    <row r="36" ht="14.45" customHeight="1" s="54">
      <c r="B36" s="47" t="n"/>
      <c r="C36" s="16" t="inlineStr">
        <is>
          <t>Yes</t>
        </is>
      </c>
      <c r="D36" s="16">
        <f>COUNTIF(D2:D34,"Yes")</f>
        <v/>
      </c>
      <c r="E36" s="16" t="inlineStr">
        <is>
          <t>Partial hallucinations</t>
        </is>
      </c>
      <c r="F36">
        <f>COUNTIFS(D:D,"Partial",F:F,"Yes")</f>
        <v/>
      </c>
    </row>
    <row r="37" ht="14.45" customHeight="1" s="54">
      <c r="B37" s="47" t="n"/>
      <c r="C37" s="16" t="inlineStr">
        <is>
          <t>Partial</t>
        </is>
      </c>
      <c r="D37" s="16">
        <f>COUNTIF(D2:D34,"Partial")</f>
        <v/>
      </c>
      <c r="E37" s="10" t="inlineStr">
        <is>
          <t>Template drift</t>
        </is>
      </c>
      <c r="F37">
        <f>COUNTIF($G$2:$G$34,E37)</f>
        <v/>
      </c>
    </row>
    <row r="38" ht="15" customHeight="1" s="54">
      <c r="E38" s="10" t="inlineStr">
        <is>
          <t>Contextual misfit</t>
        </is>
      </c>
      <c r="F38">
        <f>COUNTIF($G$2:$G$34,E38)</f>
        <v/>
      </c>
    </row>
    <row r="39" ht="15" customHeight="1" s="54">
      <c r="E39" s="10" t="inlineStr">
        <is>
          <t>Scope misalignment</t>
        </is>
      </c>
      <c r="F39">
        <f>COUNTIF($G$2:$G$34,E39)</f>
        <v/>
      </c>
    </row>
    <row r="40" ht="15" customHeight="1" s="54">
      <c r="E40" s="10" t="inlineStr">
        <is>
          <t>Responsibility leakage</t>
        </is>
      </c>
      <c r="F40">
        <f>COUNTIF($G$2:$G$34,E40)</f>
        <v/>
      </c>
    </row>
    <row r="41" ht="15" customHeight="1" s="54">
      <c r="E41" s="10" t="inlineStr">
        <is>
          <t>Architectural infeasibility</t>
        </is>
      </c>
      <c r="F41">
        <f>COUNTIF($G$2:$G$34,E41)</f>
        <v/>
      </c>
    </row>
    <row r="42" ht="15" customHeight="1" s="54"/>
    <row r="43" ht="15" customHeight="1" s="54">
      <c r="E43" s="16" t="inlineStr">
        <is>
          <t>Discoveries</t>
        </is>
      </c>
      <c r="F43" s="16">
        <f>COUNTIF(F2:F34,"No")</f>
        <v/>
      </c>
    </row>
    <row r="73">
      <c r="AA73" t="inlineStr">
        <is>
          <t>G0_ii.10.2</t>
        </is>
      </c>
    </row>
  </sheetData>
  <mergeCells count="9">
    <mergeCell ref="A4:A7"/>
    <mergeCell ref="A8:A9"/>
    <mergeCell ref="A30:A34"/>
    <mergeCell ref="A25:A26"/>
    <mergeCell ref="A10:A14"/>
    <mergeCell ref="A20:A24"/>
    <mergeCell ref="A2:A3"/>
    <mergeCell ref="A15:A18"/>
    <mergeCell ref="A27:A29"/>
  </mergeCells>
  <conditionalFormatting sqref="D2:D34">
    <cfRule type="containsText" priority="2" operator="containsText" dxfId="6" text="Partial">
      <formula>NOT(ISERROR(SEARCH("Partial",D2)))</formula>
    </cfRule>
    <cfRule type="containsText" priority="3" operator="containsText" dxfId="0" text="No">
      <formula>NOT(ISERROR(SEARCH("No",D2)))</formula>
    </cfRule>
    <cfRule type="containsText" priority="4" operator="containsText" dxfId="1" text="Yes">
      <formula>NOT(ISERROR(SEARCH("Yes",D2)))</formula>
    </cfRule>
  </conditionalFormatting>
  <conditionalFormatting sqref="F2:F34">
    <cfRule type="containsText" priority="5" operator="containsText" dxfId="1" text="No">
      <formula>NOT(ISERROR(SEARCH("No",F2)))</formula>
    </cfRule>
    <cfRule type="containsText" priority="6" operator="containsText" dxfId="0" text="Yes">
      <formula>NOT(ISERROR(SEARCH("Yes",F2)))</formula>
    </cfRule>
  </conditionalFormatting>
  <conditionalFormatting sqref="G2:G108">
    <cfRule type="containsText" priority="7" operator="containsText" dxfId="1" text="No">
      <formula>NOT(ISERROR(SEARCH("No",G2)))</formula>
    </cfRule>
    <cfRule type="containsText" priority="8" operator="containsText" dxfId="0" text="Yes">
      <formula>NOT(ISERROR(SEARCH("Yes",G2)))</formula>
    </cfRule>
  </conditionalFormatting>
  <dataValidations count="3">
    <dataValidation sqref="D2:D34" showDropDown="0" showInputMessage="1" showErrorMessage="1" allowBlank="1" type="list" operator="equal">
      <formula1>"Yes,No,Partial"</formula1>
      <formula2>0</formula2>
    </dataValidation>
    <dataValidation sqref="F2:F34" showDropDown="0" showInputMessage="1" showErrorMessage="1" allowBlank="1" type="list" operator="equal">
      <formula1>"Yes,No"</formula1>
      <formula2>0</formula2>
    </dataValidation>
    <dataValidation sqref="G2:G108" showDropDown="0" showInputMessage="1" showErrorMessage="1" allowBlank="1" operator="equal">
      <formula1>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135"/>
  <sheetViews>
    <sheetView topLeftCell="A107" zoomScale="85" zoomScaleNormal="85" workbookViewId="0">
      <selection activeCell="E128" sqref="E128:F128"/>
    </sheetView>
  </sheetViews>
  <sheetFormatPr baseColWidth="8" defaultColWidth="9.140625" defaultRowHeight="14.45"/>
  <cols>
    <col width="60.7109375" customWidth="1" style="44" min="1" max="1"/>
    <col width="60.7109375" customWidth="1" style="54" min="3" max="3"/>
    <col width="14.7109375" customWidth="1" style="54" min="4" max="4"/>
    <col width="30.7109375" customWidth="1" style="54" min="5" max="5"/>
    <col width="14.7109375" customWidth="1" style="54" min="6" max="7"/>
    <col width="60.7109375" customWidth="1" style="54" min="8" max="8"/>
  </cols>
  <sheetData>
    <row r="1" customFormat="1" s="53">
      <c r="A1" s="48" t="inlineStr">
        <is>
          <t>Norm</t>
        </is>
      </c>
      <c r="B1" s="53" t="inlineStr">
        <is>
          <t>L3.#</t>
        </is>
      </c>
      <c r="C1" s="53" t="inlineStr">
        <is>
          <t>Automated requirement name</t>
        </is>
      </c>
      <c r="D1" s="53" t="inlineStr">
        <is>
          <t>Present</t>
        </is>
      </c>
      <c r="E1" s="53" t="inlineStr">
        <is>
          <t>Support</t>
        </is>
      </c>
      <c r="F1" s="53" t="inlineStr">
        <is>
          <t>Hallucination</t>
        </is>
      </c>
      <c r="G1" s="53" t="inlineStr">
        <is>
          <t>Hall. Type</t>
        </is>
      </c>
      <c r="H1" s="53" t="inlineStr">
        <is>
          <t>Rationale</t>
        </is>
      </c>
    </row>
    <row r="2" ht="15" customHeight="1" s="54">
      <c r="A2" s="49" t="inlineStr">
        <is>
          <t>Help messages during the {log-on procedure} must not aid an unauthorized user, e.g., by indicating which {parts of the data} are correct or incorrect</t>
        </is>
      </c>
      <c r="B2" t="inlineStr">
        <is>
          <t>L3.1.1</t>
        </is>
      </c>
      <c r="C2" t="inlineStr">
        <is>
          <t>Secure Log-on Feedback</t>
        </is>
      </c>
      <c r="D2" t="inlineStr">
        <is>
          <t>Yes</t>
        </is>
      </c>
      <c r="E2" t="inlineStr">
        <is>
          <t>H.1.1</t>
        </is>
      </c>
    </row>
    <row r="3" ht="15" customHeight="1" s="54">
      <c r="B3" t="inlineStr">
        <is>
          <t>L3.1.2</t>
        </is>
      </c>
      <c r="C3" t="inlineStr">
        <is>
          <t>Secure Access Gate Log-on Procedure</t>
        </is>
      </c>
      <c r="D3" t="inlineStr">
        <is>
          <t>No</t>
        </is>
      </c>
      <c r="F3" t="inlineStr">
        <is>
          <t>Yes</t>
        </is>
      </c>
      <c r="G3" t="inlineStr">
        <is>
          <t>Scope misalignment</t>
        </is>
      </c>
      <c r="H3" t="inlineStr">
        <is>
          <t>Outside of the scope of the system</t>
        </is>
      </c>
    </row>
    <row r="4" ht="15" customHeight="1" s="54">
      <c r="B4" t="inlineStr">
        <is>
          <t>L3.1.3</t>
        </is>
      </c>
      <c r="C4" t="inlineStr">
        <is>
          <t>Secure System Administration Log-on Procedure</t>
        </is>
      </c>
      <c r="D4" t="inlineStr">
        <is>
          <t>Yes</t>
        </is>
      </c>
      <c r="E4" t="inlineStr">
        <is>
          <t>H.1.1</t>
        </is>
      </c>
    </row>
    <row r="5" ht="15" customHeight="1" s="54">
      <c r="B5" t="inlineStr">
        <is>
          <t>L3.1.4</t>
        </is>
      </c>
      <c r="C5" t="inlineStr">
        <is>
          <t>Secure User Management Feedback</t>
        </is>
      </c>
      <c r="D5" t="inlineStr">
        <is>
          <t>No</t>
        </is>
      </c>
      <c r="F5" t="inlineStr">
        <is>
          <t>No</t>
        </is>
      </c>
    </row>
    <row r="6" ht="15" customHeight="1" s="54">
      <c r="B6" t="inlineStr">
        <is>
          <t>L3.1.5</t>
        </is>
      </c>
      <c r="C6" t="inlineStr">
        <is>
          <t>Secure Access Gate Entry Feedback</t>
        </is>
      </c>
      <c r="D6" t="inlineStr">
        <is>
          <t>No</t>
        </is>
      </c>
      <c r="F6" t="inlineStr">
        <is>
          <t>Yes</t>
        </is>
      </c>
      <c r="G6" t="inlineStr">
        <is>
          <t>Scope misalignment</t>
        </is>
      </c>
      <c r="H6" t="inlineStr">
        <is>
          <t>Outside of the scope of the system</t>
        </is>
      </c>
    </row>
    <row r="7" ht="15" customHeight="1" s="54">
      <c r="B7" t="inlineStr">
        <is>
          <t>L3.1.6</t>
        </is>
      </c>
      <c r="C7" t="inlineStr">
        <is>
          <t>Secure Supply Chain Information Feedback</t>
        </is>
      </c>
      <c r="D7" t="inlineStr">
        <is>
          <t>No</t>
        </is>
      </c>
      <c r="F7" t="inlineStr">
        <is>
          <t>Yes</t>
        </is>
      </c>
      <c r="G7" t="inlineStr">
        <is>
          <t>Scope misalignment</t>
        </is>
      </c>
      <c r="H7" t="inlineStr">
        <is>
          <t>Outside of the scope of the system</t>
        </is>
      </c>
    </row>
    <row r="8" ht="16.35" customHeight="1" s="54">
      <c r="A8" s="49" t="inlineStr">
        <is>
          <t>A security incident must be raised if a potential attempted or successful breach of {log-on controls} is detected, and, when the risk of the incident warrants it, the account shall be temporarily restricted, plus an alert shall be sent to the {account owner}, and to the {organization's system administrators}.</t>
        </is>
      </c>
      <c r="B8" t="inlineStr">
        <is>
          <t>L3.2.1</t>
        </is>
      </c>
      <c r="C8" t="inlineStr">
        <is>
          <t>Access Gate Log-on Breach Detection</t>
        </is>
      </c>
      <c r="D8" t="inlineStr">
        <is>
          <t>Yes</t>
        </is>
      </c>
      <c r="E8" t="inlineStr">
        <is>
          <t>H.2.1</t>
        </is>
      </c>
    </row>
    <row r="9" ht="14.25" customHeight="1" s="54">
      <c r="B9" t="inlineStr">
        <is>
          <t>L3.2.2</t>
        </is>
      </c>
      <c r="C9" t="inlineStr">
        <is>
          <t>Employee Log-on Breach Detection</t>
        </is>
      </c>
      <c r="D9" t="inlineStr">
        <is>
          <t>Yes</t>
        </is>
      </c>
      <c r="E9" t="inlineStr">
        <is>
          <t>H.2.1</t>
        </is>
      </c>
    </row>
    <row r="10" ht="14.25" customHeight="1" s="54">
      <c r="B10" t="inlineStr">
        <is>
          <t>L3.2.3</t>
        </is>
      </c>
      <c r="C10" t="inlineStr">
        <is>
          <t>Logistics Terminal Log-on Breach Detection</t>
        </is>
      </c>
      <c r="D10" t="inlineStr">
        <is>
          <t>Yes</t>
        </is>
      </c>
      <c r="E10" t="inlineStr">
        <is>
          <t>H.2.1</t>
        </is>
      </c>
    </row>
    <row r="11">
      <c r="B11" t="inlineStr">
        <is>
          <t>L3.2.4</t>
        </is>
      </c>
      <c r="C11" t="inlineStr">
        <is>
          <t>Protection of Sensitive Data Stores</t>
        </is>
      </c>
      <c r="D11" t="inlineStr">
        <is>
          <t>No</t>
        </is>
      </c>
      <c r="F11" t="inlineStr">
        <is>
          <t>Yes</t>
        </is>
      </c>
      <c r="G11" t="inlineStr">
        <is>
          <t>Template drift</t>
        </is>
      </c>
    </row>
    <row r="12">
      <c r="B12" t="inlineStr">
        <is>
          <t>L3.2.5</t>
        </is>
      </c>
      <c r="C12" t="inlineStr">
        <is>
          <t>System Administrator Log-on Breach Response</t>
        </is>
      </c>
      <c r="D12" t="inlineStr">
        <is>
          <t>Yes</t>
        </is>
      </c>
      <c r="E12" t="inlineStr">
        <is>
          <t>H.2.1</t>
        </is>
      </c>
    </row>
    <row r="13">
      <c r="B13" t="inlineStr">
        <is>
          <t>L3.2.6</t>
        </is>
      </c>
      <c r="C13" t="inlineStr">
        <is>
          <t>Unauthorized Access Attempt Alert</t>
        </is>
      </c>
      <c r="D13" t="inlineStr">
        <is>
          <t>Yes</t>
        </is>
      </c>
      <c r="E13" t="inlineStr">
        <is>
          <t>H.2.1</t>
        </is>
      </c>
    </row>
    <row r="14">
      <c r="B14" t="inlineStr">
        <is>
          <t>L3.2.7</t>
        </is>
      </c>
      <c r="C14" t="inlineStr">
        <is>
          <t>System Administrator Alert for Repeated Failed Logins</t>
        </is>
      </c>
      <c r="D14" t="inlineStr">
        <is>
          <t>Yes</t>
        </is>
      </c>
      <c r="E14" t="inlineStr">
        <is>
          <t>H.2.1</t>
        </is>
      </c>
    </row>
    <row r="15" ht="15" customHeight="1" s="54">
      <c r="A15" s="49" t="inlineStr">
        <is>
          <t>Physical or logical access controls must be implemented to isolate {sensitive applications, data, or systems}.</t>
        </is>
      </c>
      <c r="B15" t="inlineStr">
        <is>
          <t>L3.3.1</t>
        </is>
      </c>
      <c r="C15" t="inlineStr">
        <is>
          <t>Access Control for Physical Locations</t>
        </is>
      </c>
      <c r="D15" t="inlineStr">
        <is>
          <t>No</t>
        </is>
      </c>
      <c r="F15" t="inlineStr">
        <is>
          <t>Yes</t>
        </is>
      </c>
      <c r="G15" t="inlineStr">
        <is>
          <t>Scope misalignment</t>
        </is>
      </c>
      <c r="H15" t="inlineStr">
        <is>
          <t>Factory access is out-of-the-scope of system cybersecurity nfrs</t>
        </is>
      </c>
    </row>
    <row r="16" ht="15" customHeight="1" s="54">
      <c r="B16" t="inlineStr">
        <is>
          <t>L3.3.2</t>
        </is>
      </c>
      <c r="C16" t="inlineStr">
        <is>
          <t>Access Control for Sensitive Factory Systems</t>
        </is>
      </c>
      <c r="D16" t="inlineStr">
        <is>
          <t>Yes</t>
        </is>
      </c>
      <c r="E16" t="inlineStr">
        <is>
          <t>H.3.2; H.3.5</t>
        </is>
      </c>
    </row>
    <row r="17" ht="15" customHeight="1" s="54">
      <c r="B17" t="inlineStr">
        <is>
          <t>L3.3.3</t>
        </is>
      </c>
      <c r="C17" t="inlineStr">
        <is>
          <t>Assembly Line and Warehouse Access Control</t>
        </is>
      </c>
      <c r="D17" t="inlineStr">
        <is>
          <t>No</t>
        </is>
      </c>
      <c r="F17" t="inlineStr">
        <is>
          <t>Yes</t>
        </is>
      </c>
      <c r="G17" t="inlineStr">
        <is>
          <t>Scope misalignment</t>
        </is>
      </c>
      <c r="H17" t="inlineStr">
        <is>
          <t>Factory access is out-of-the-scope of system cybersecurity nfrs</t>
        </is>
      </c>
    </row>
    <row r="18" ht="15" customHeight="1" s="54">
      <c r="B18" t="inlineStr">
        <is>
          <t>L3.3.4</t>
        </is>
      </c>
      <c r="C18" t="inlineStr">
        <is>
          <t>Controlled Access to Factory Premises</t>
        </is>
      </c>
      <c r="D18" t="inlineStr">
        <is>
          <t>No</t>
        </is>
      </c>
      <c r="F18" t="inlineStr">
        <is>
          <t>Yes</t>
        </is>
      </c>
      <c r="G18" t="inlineStr">
        <is>
          <t>Scope misalignment</t>
        </is>
      </c>
      <c r="H18" t="inlineStr">
        <is>
          <t>Factory access is out-of-the-scope of system cybersecurity nfrs</t>
        </is>
      </c>
    </row>
    <row r="19" ht="15" customHeight="1" s="54">
      <c r="B19" t="inlineStr">
        <is>
          <t>L3.3.5</t>
        </is>
      </c>
      <c r="C19" t="inlineStr">
        <is>
          <t>Isolation of Logistics Terminal Car Registry</t>
        </is>
      </c>
      <c r="D19" t="inlineStr">
        <is>
          <t>Yes</t>
        </is>
      </c>
      <c r="E19" t="inlineStr">
        <is>
          <t>H.3.1</t>
        </is>
      </c>
    </row>
    <row r="20" ht="15" customHeight="1" s="54">
      <c r="B20" t="inlineStr">
        <is>
          <t>L3.3.6</t>
        </is>
      </c>
      <c r="C20" t="inlineStr">
        <is>
          <t>Isolation of Logistics Terminal Systems</t>
        </is>
      </c>
      <c r="D20" t="inlineStr">
        <is>
          <t>Yes</t>
        </is>
      </c>
      <c r="E20" t="inlineStr">
        <is>
          <t>H.3.1</t>
        </is>
      </c>
    </row>
    <row r="21" ht="15" customHeight="1" s="54">
      <c r="B21" t="inlineStr">
        <is>
          <t>L3.3.7</t>
        </is>
      </c>
      <c r="C21" t="inlineStr">
        <is>
          <t>Isolation of Sensitive Data Stores</t>
        </is>
      </c>
      <c r="D21" t="inlineStr">
        <is>
          <t>Yes</t>
        </is>
      </c>
      <c r="E21" t="inlineStr">
        <is>
          <t>H.3.1</t>
        </is>
      </c>
    </row>
    <row r="22" ht="15" customHeight="1" s="54">
      <c r="B22" t="inlineStr">
        <is>
          <t>L3.3.8</t>
        </is>
      </c>
      <c r="C22" t="inlineStr">
        <is>
          <t>Physical Access Control for Factory Premises</t>
        </is>
      </c>
      <c r="D22" t="inlineStr">
        <is>
          <t>No</t>
        </is>
      </c>
      <c r="F22" t="inlineStr">
        <is>
          <t>Yes</t>
        </is>
      </c>
      <c r="G22" t="inlineStr">
        <is>
          <t>Scope misalignment</t>
        </is>
      </c>
      <c r="H22" t="inlineStr">
        <is>
          <t>Factory access is out-of-the-scope of system cybersecurity nfrs</t>
        </is>
      </c>
    </row>
    <row r="23" ht="15" customHeight="1" s="54">
      <c r="B23" t="inlineStr">
        <is>
          <t>L3.3.9</t>
        </is>
      </c>
      <c r="C23" t="inlineStr">
        <is>
          <t>Role-Based Access Control</t>
        </is>
      </c>
      <c r="D23" t="inlineStr">
        <is>
          <t>No</t>
        </is>
      </c>
      <c r="F23" t="inlineStr">
        <is>
          <t>Yes</t>
        </is>
      </c>
      <c r="G23" t="inlineStr">
        <is>
          <t>Template drift</t>
        </is>
      </c>
    </row>
    <row r="24" ht="15" customHeight="1" s="54">
      <c r="B24" t="inlineStr">
        <is>
          <t>L3.3.10</t>
        </is>
      </c>
      <c r="C24" t="inlineStr">
        <is>
          <t>Role-Based Access Control for Employee Roles</t>
        </is>
      </c>
      <c r="D24" t="inlineStr">
        <is>
          <t>No</t>
        </is>
      </c>
      <c r="F24" t="inlineStr">
        <is>
          <t>Yes</t>
        </is>
      </c>
      <c r="G24" t="inlineStr">
        <is>
          <t>Template drift</t>
        </is>
      </c>
    </row>
    <row r="25" ht="15" customHeight="1" s="54">
      <c r="B25" t="inlineStr">
        <is>
          <t>L3.3.11</t>
        </is>
      </c>
      <c r="C25" t="inlineStr">
        <is>
          <t>Role-Based Access Control for Sensitive Roles</t>
        </is>
      </c>
      <c r="D25" t="inlineStr">
        <is>
          <t>No</t>
        </is>
      </c>
      <c r="F25" t="inlineStr">
        <is>
          <t>Yes</t>
        </is>
      </c>
      <c r="G25" t="inlineStr">
        <is>
          <t>Template drift</t>
        </is>
      </c>
    </row>
    <row r="26" ht="15" customHeight="1" s="54">
      <c r="B26" t="inlineStr">
        <is>
          <t>L3.3.12</t>
        </is>
      </c>
      <c r="C26" t="inlineStr">
        <is>
          <t>Secure Access to Assembly Line and Warehouse Systems</t>
        </is>
      </c>
      <c r="D26" t="inlineStr">
        <is>
          <t>No</t>
        </is>
      </c>
      <c r="F26" t="inlineStr">
        <is>
          <t>Yes</t>
        </is>
      </c>
      <c r="G26" t="inlineStr">
        <is>
          <t>Scope misalignment</t>
        </is>
      </c>
      <c r="H26" t="inlineStr">
        <is>
          <t>Factory access is out-of-the-scope of system cybersecurity nfrs</t>
        </is>
      </c>
    </row>
    <row r="27" ht="15" customHeight="1" s="54">
      <c r="B27" t="inlineStr">
        <is>
          <t>L3.3.13</t>
        </is>
      </c>
      <c r="C27" t="inlineStr">
        <is>
          <t>Secure Access to Finished Car Registry and VIN Management</t>
        </is>
      </c>
      <c r="D27" t="inlineStr">
        <is>
          <t>No</t>
        </is>
      </c>
      <c r="F27" t="inlineStr">
        <is>
          <t>Yes</t>
        </is>
      </c>
      <c r="G27" t="inlineStr">
        <is>
          <t>Scope misalignment</t>
        </is>
      </c>
      <c r="H27" t="inlineStr">
        <is>
          <t>Factory access is out-of-the-scope of system cybersecurity nfrs</t>
        </is>
      </c>
    </row>
    <row r="28" ht="15" customHeight="1" s="54">
      <c r="B28" t="inlineStr">
        <is>
          <t>L3.3.14</t>
        </is>
      </c>
      <c r="C28" t="inlineStr">
        <is>
          <t>Secure Car Shipment</t>
        </is>
      </c>
      <c r="D28" t="inlineStr">
        <is>
          <t>Yes</t>
        </is>
      </c>
      <c r="E28" t="inlineStr">
        <is>
          <t>H.3.4</t>
        </is>
      </c>
    </row>
    <row r="29" ht="15" customHeight="1" s="54">
      <c r="B29" t="inlineStr">
        <is>
          <t>L3.3.15</t>
        </is>
      </c>
      <c r="C29" t="inlineStr">
        <is>
          <t>Secure Component and Car Data</t>
        </is>
      </c>
      <c r="D29" t="inlineStr">
        <is>
          <t>Yes</t>
        </is>
      </c>
      <c r="E29" t="inlineStr">
        <is>
          <t>H.3.4</t>
        </is>
      </c>
    </row>
    <row r="30" ht="15" customHeight="1" s="54">
      <c r="B30" t="inlineStr">
        <is>
          <t>L3.3.16</t>
        </is>
      </c>
      <c r="C30" t="inlineStr">
        <is>
          <t>Secure Component Storage</t>
        </is>
      </c>
      <c r="D30" t="inlineStr">
        <is>
          <t>Yes</t>
        </is>
      </c>
      <c r="E30" t="inlineStr">
        <is>
          <t>H.3.4</t>
        </is>
      </c>
    </row>
    <row r="31" ht="15" customHeight="1" s="54">
      <c r="B31" t="inlineStr">
        <is>
          <t>L3.3.17</t>
        </is>
      </c>
      <c r="C31" t="inlineStr">
        <is>
          <t>Secure IoT Middleware Access</t>
        </is>
      </c>
      <c r="D31" t="inlineStr">
        <is>
          <t>Yes</t>
        </is>
      </c>
      <c r="E31" t="inlineStr">
        <is>
          <t>H.3.4</t>
        </is>
      </c>
    </row>
    <row r="32" ht="16.35" customHeight="1" s="54">
      <c r="A32" s="49" t="inlineStr">
        <is>
          <t>{Access to data} must be controlled based on {user identity, group membership, and assigned roles}</t>
        </is>
      </c>
      <c r="B32" t="inlineStr">
        <is>
          <t>L3.4.1</t>
        </is>
      </c>
      <c r="C32" t="inlineStr">
        <is>
          <t>Access Control for Requisitions Data Store</t>
        </is>
      </c>
      <c r="D32" t="inlineStr">
        <is>
          <t>Yes</t>
        </is>
      </c>
      <c r="E32" t="inlineStr">
        <is>
          <t>H.4.1; H.4.2</t>
        </is>
      </c>
    </row>
    <row r="33" ht="14.25" customHeight="1" s="54">
      <c r="B33" t="inlineStr">
        <is>
          <t>L3.4.2</t>
        </is>
      </c>
      <c r="C33" t="inlineStr">
        <is>
          <t>Role-Based Access to Supply Vehicles Registry</t>
        </is>
      </c>
      <c r="D33" t="inlineStr">
        <is>
          <t>Yes</t>
        </is>
      </c>
      <c r="E33" t="inlineStr">
        <is>
          <t>H.4.1; H.4.2</t>
        </is>
      </c>
    </row>
    <row r="34" ht="14.25" customHeight="1" s="54">
      <c r="B34" t="inlineStr">
        <is>
          <t>L3.4.3</t>
        </is>
      </c>
      <c r="C34" t="inlineStr">
        <is>
          <t>Warehouse Inventory Access Control</t>
        </is>
      </c>
      <c r="D34" t="inlineStr">
        <is>
          <t>Yes</t>
        </is>
      </c>
      <c r="E34" t="inlineStr">
        <is>
          <t>H.4.5</t>
        </is>
      </c>
    </row>
    <row r="35" ht="14.25" customHeight="1" s="54">
      <c r="B35" t="inlineStr">
        <is>
          <t>L3.4.4</t>
        </is>
      </c>
      <c r="C35" t="inlineStr">
        <is>
          <t>Production Plan Data Store Access Control</t>
        </is>
      </c>
      <c r="D35" t="inlineStr">
        <is>
          <t>No</t>
        </is>
      </c>
      <c r="F35" t="inlineStr">
        <is>
          <t>No</t>
        </is>
      </c>
    </row>
    <row r="36" ht="14.25" customHeight="1" s="54">
      <c r="B36" t="inlineStr">
        <is>
          <t>L3.4.5</t>
        </is>
      </c>
      <c r="C36" t="inlineStr">
        <is>
          <t>Finished Car Registry Access Control</t>
        </is>
      </c>
      <c r="D36" t="inlineStr">
        <is>
          <t>Yes</t>
        </is>
      </c>
      <c r="E36" t="inlineStr">
        <is>
          <t>H.4.3</t>
        </is>
      </c>
    </row>
    <row r="37">
      <c r="B37" t="inlineStr">
        <is>
          <t>L3.4.6</t>
        </is>
      </c>
      <c r="C37" t="inlineStr">
        <is>
          <t>Purchase Order and Transport Order Data Stores Access Control</t>
        </is>
      </c>
      <c r="D37" t="inlineStr">
        <is>
          <t>Yes</t>
        </is>
      </c>
      <c r="E37" t="inlineStr">
        <is>
          <t>H.4.3</t>
        </is>
      </c>
    </row>
    <row r="38">
      <c r="B38" t="inlineStr">
        <is>
          <t>L3.4.7</t>
        </is>
      </c>
      <c r="C38" t="inlineStr">
        <is>
          <t>System Administration Access Control</t>
        </is>
      </c>
      <c r="D38" t="inlineStr">
        <is>
          <t>No</t>
        </is>
      </c>
      <c r="F38" t="inlineStr">
        <is>
          <t>No</t>
        </is>
      </c>
    </row>
    <row r="39">
      <c r="B39" t="inlineStr">
        <is>
          <t>L3.4.8</t>
        </is>
      </c>
      <c r="C39" t="inlineStr">
        <is>
          <t>Logistics Terminal Car Registry Access Control</t>
        </is>
      </c>
      <c r="D39" t="inlineStr">
        <is>
          <t>No</t>
        </is>
      </c>
      <c r="F39" t="inlineStr">
        <is>
          <t>No</t>
        </is>
      </c>
    </row>
    <row r="40">
      <c r="B40" t="inlineStr">
        <is>
          <t>L3.4.9</t>
        </is>
      </c>
      <c r="C40" t="inlineStr">
        <is>
          <t>User Management and Access Control</t>
        </is>
      </c>
      <c r="D40" t="inlineStr">
        <is>
          <t>Yes</t>
        </is>
      </c>
      <c r="E40" t="inlineStr">
        <is>
          <t>H.4.8</t>
        </is>
      </c>
    </row>
    <row r="41">
      <c r="B41" t="inlineStr">
        <is>
          <t>L3.4.10</t>
        </is>
      </c>
      <c r="C41" t="inlineStr">
        <is>
          <t>Factory Employee Data Access Control</t>
        </is>
      </c>
      <c r="D41" t="inlineStr">
        <is>
          <t>No</t>
        </is>
      </c>
      <c r="F41" t="inlineStr">
        <is>
          <t>No</t>
        </is>
      </c>
    </row>
    <row r="42">
      <c r="B42" t="inlineStr">
        <is>
          <t>L3.4.11</t>
        </is>
      </c>
      <c r="C42" t="inlineStr">
        <is>
          <t>Role-Based Access to Dealer and Forwarder Information</t>
        </is>
      </c>
      <c r="D42" t="inlineStr">
        <is>
          <t>Yes</t>
        </is>
      </c>
      <c r="E42" t="inlineStr">
        <is>
          <t>H.4.7</t>
        </is>
      </c>
    </row>
    <row r="43">
      <c r="B43" t="inlineStr">
        <is>
          <t>L3.4.12</t>
        </is>
      </c>
      <c r="C43" t="inlineStr">
        <is>
          <t>Data Access Control for Finished Car Yard and Logistics Terminal</t>
        </is>
      </c>
      <c r="D43" t="inlineStr">
        <is>
          <t>Yes</t>
        </is>
      </c>
      <c r="E43" t="inlineStr">
        <is>
          <t>H.4.4</t>
        </is>
      </c>
    </row>
    <row r="44" ht="16.35" customHeight="1" s="54">
      <c r="A44" s="49" t="inlineStr">
        <is>
          <t>The {organization} shall maintain a record of {all privileges allocated}</t>
        </is>
      </c>
      <c r="B44" t="inlineStr">
        <is>
          <t>L3.5.1</t>
        </is>
      </c>
      <c r="C44" t="inlineStr">
        <is>
          <t>Privilege Allocation Record for Employee Roles</t>
        </is>
      </c>
      <c r="D44" t="inlineStr">
        <is>
          <t>Yes</t>
        </is>
      </c>
      <c r="E44" t="inlineStr">
        <is>
          <t>H.5.1</t>
        </is>
      </c>
    </row>
    <row r="45" ht="14.25" customHeight="1" s="54">
      <c r="B45" t="inlineStr">
        <is>
          <t>L3.5.2</t>
        </is>
      </c>
      <c r="C45" t="inlineStr">
        <is>
          <t>Privilege Allocation Record for Automated Systems</t>
        </is>
      </c>
      <c r="D45" t="inlineStr">
        <is>
          <t>No</t>
        </is>
      </c>
      <c r="F45" t="inlineStr">
        <is>
          <t>No</t>
        </is>
      </c>
    </row>
    <row r="46" ht="14.25" customHeight="1" s="54">
      <c r="B46" t="inlineStr">
        <is>
          <t>L3.5.3</t>
        </is>
      </c>
      <c r="C46" t="inlineStr">
        <is>
          <t>Privilege Allocation Record for Administration and Management Roles</t>
        </is>
      </c>
      <c r="D46" t="inlineStr">
        <is>
          <t>No</t>
        </is>
      </c>
      <c r="F46" t="inlineStr">
        <is>
          <t>No</t>
        </is>
      </c>
    </row>
    <row r="47">
      <c r="B47" t="inlineStr">
        <is>
          <t>L3.5.4</t>
        </is>
      </c>
      <c r="C47" t="inlineStr">
        <is>
          <t>Record of Access Privileges for Car Manufacturer Employees</t>
        </is>
      </c>
      <c r="D47" t="inlineStr">
        <is>
          <t>Yes</t>
        </is>
      </c>
      <c r="E47" t="inlineStr">
        <is>
          <t>H.5.1</t>
        </is>
      </c>
    </row>
    <row r="48">
      <c r="B48" t="inlineStr">
        <is>
          <t>L3.5.5</t>
        </is>
      </c>
      <c r="C48" t="inlineStr">
        <is>
          <t>Record of System Privileges for Factory IT Infrastructure</t>
        </is>
      </c>
      <c r="D48" t="inlineStr">
        <is>
          <t>Yes</t>
        </is>
      </c>
      <c r="E48" t="inlineStr">
        <is>
          <t>H.5.1</t>
        </is>
      </c>
    </row>
    <row r="49">
      <c r="B49" t="inlineStr">
        <is>
          <t>L3.5.6</t>
        </is>
      </c>
      <c r="C49" t="inlineStr">
        <is>
          <t>Record of Operational Privileges for Assembly Line Management</t>
        </is>
      </c>
      <c r="D49" t="inlineStr">
        <is>
          <t>No</t>
        </is>
      </c>
      <c r="F49" t="inlineStr">
        <is>
          <t>Yes</t>
        </is>
      </c>
      <c r="G49" t="inlineStr">
        <is>
          <t>Contextual misfit</t>
        </is>
      </c>
      <c r="H49" t="inlineStr">
        <is>
          <t>Outside of the scope of the system</t>
        </is>
      </c>
    </row>
    <row r="50">
      <c r="B50" t="inlineStr">
        <is>
          <t>L3.5.7</t>
        </is>
      </c>
      <c r="C50" t="inlineStr">
        <is>
          <t>Record of Access Privileges for Supply Vehicles and Drivers</t>
        </is>
      </c>
      <c r="D50" t="inlineStr">
        <is>
          <t>No</t>
        </is>
      </c>
      <c r="F50" t="inlineStr">
        <is>
          <t>Yes</t>
        </is>
      </c>
      <c r="G50" t="inlineStr">
        <is>
          <t>Contextual misfit</t>
        </is>
      </c>
      <c r="H50" t="inlineStr">
        <is>
          <t>Outside of the scope of the system</t>
        </is>
      </c>
    </row>
    <row r="51">
      <c r="B51" t="inlineStr">
        <is>
          <t>L3.5.8</t>
        </is>
      </c>
      <c r="C51" t="inlineStr">
        <is>
          <t>Record of Security-Related Privileges for Security Manager</t>
        </is>
      </c>
      <c r="D51" t="inlineStr">
        <is>
          <t>Yes</t>
        </is>
      </c>
      <c r="E51" t="inlineStr">
        <is>
          <t>H.5.1</t>
        </is>
      </c>
    </row>
    <row r="52">
      <c r="B52" t="inlineStr">
        <is>
          <t>L3.5.9</t>
        </is>
      </c>
      <c r="C52" t="inlineStr">
        <is>
          <t>Record of System Privileges</t>
        </is>
      </c>
      <c r="D52" t="inlineStr">
        <is>
          <t>Yes</t>
        </is>
      </c>
      <c r="E52" t="inlineStr">
        <is>
          <t>H.5.1</t>
        </is>
      </c>
    </row>
    <row r="53" ht="16.35" customHeight="1" s="54">
      <c r="A53" s="52" t="inlineStr">
        <is>
          <t>The {organization} shall regularly review {users} with privileged access rights to ensure that their {duties}, {roles}, {responsibilities}, and {competence} still justify such access</t>
        </is>
      </c>
      <c r="B53" t="inlineStr">
        <is>
          <t>L3.6.1</t>
        </is>
      </c>
      <c r="C53" t="inlineStr">
        <is>
          <t>Regular Review of System Admin Privileges</t>
        </is>
      </c>
      <c r="D53" t="inlineStr">
        <is>
          <t>Yes</t>
        </is>
      </c>
      <c r="E53" t="inlineStr">
        <is>
          <t>H.6.1</t>
        </is>
      </c>
    </row>
    <row r="54">
      <c r="B54" t="inlineStr">
        <is>
          <t>L3.6.2</t>
        </is>
      </c>
      <c r="C54" t="inlineStr">
        <is>
          <t>Regular Review of Operations Manager Privileges</t>
        </is>
      </c>
      <c r="D54" t="inlineStr">
        <is>
          <t>Yes</t>
        </is>
      </c>
      <c r="E54" t="inlineStr">
        <is>
          <t>H.6.1</t>
        </is>
      </c>
    </row>
    <row r="55">
      <c r="B55" t="inlineStr">
        <is>
          <t>L3.6.3</t>
        </is>
      </c>
      <c r="C55" t="inlineStr">
        <is>
          <t>Regular Review of Security Manager Privileges</t>
        </is>
      </c>
      <c r="D55" t="inlineStr">
        <is>
          <t>Yes</t>
        </is>
      </c>
      <c r="E55" t="inlineStr">
        <is>
          <t>H.6.1</t>
        </is>
      </c>
    </row>
    <row r="56">
      <c r="B56" t="inlineStr">
        <is>
          <t>L3.6.4</t>
        </is>
      </c>
      <c r="C56" t="inlineStr">
        <is>
          <t>Privileged Access Review for Car Manufacturer Employees</t>
        </is>
      </c>
      <c r="D56" t="inlineStr">
        <is>
          <t>Yes</t>
        </is>
      </c>
      <c r="E56" t="inlineStr">
        <is>
          <t>H.6.1</t>
        </is>
      </c>
    </row>
    <row r="57">
      <c r="B57" t="inlineStr">
        <is>
          <t>L3.6.5</t>
        </is>
      </c>
      <c r="C57" t="inlineStr">
        <is>
          <t>Periodic Evaluation of Employee Competence and Access Rights</t>
        </is>
      </c>
      <c r="D57" t="inlineStr">
        <is>
          <t>Yes</t>
        </is>
      </c>
      <c r="E57" t="inlineStr">
        <is>
          <t>H.6.1</t>
        </is>
      </c>
    </row>
    <row r="58">
      <c r="B58" t="inlineStr">
        <is>
          <t>L3.6.6</t>
        </is>
      </c>
      <c r="C58" t="inlineStr">
        <is>
          <t>Role-Based Access Control Review for Factory Systems</t>
        </is>
      </c>
      <c r="D58" t="inlineStr">
        <is>
          <t>Yes</t>
        </is>
      </c>
      <c r="E58" t="inlineStr">
        <is>
          <t>H.6.1</t>
        </is>
      </c>
    </row>
    <row r="59">
      <c r="B59" t="inlineStr">
        <is>
          <t>L3.6.7</t>
        </is>
      </c>
      <c r="C59" t="inlineStr">
        <is>
          <t>Privileged Access Rights Review for Factory Employees with Access to Sensitive Systems</t>
        </is>
      </c>
      <c r="D59" t="inlineStr">
        <is>
          <t>Yes</t>
        </is>
      </c>
      <c r="E59" t="inlineStr">
        <is>
          <t>H.6.1</t>
        </is>
      </c>
    </row>
    <row r="60">
      <c r="B60" t="inlineStr">
        <is>
          <t>L3.6.8</t>
        </is>
      </c>
      <c r="C60" t="inlineStr">
        <is>
          <t>Competence-Based Access Rights Review for Employees with Roles Requiring Specialized Knowledge</t>
        </is>
      </c>
      <c r="D60" t="inlineStr">
        <is>
          <t>No</t>
        </is>
      </c>
      <c r="F60" t="inlineStr">
        <is>
          <t>No</t>
        </is>
      </c>
    </row>
    <row r="61" ht="16.35" customHeight="1" s="54">
      <c r="A61" s="49" t="inlineStr">
        <is>
          <t>{Connection} of {systems} to the {network} must be restricted and filtered, e.g., using firewalls.</t>
        </is>
      </c>
      <c r="B61" t="inlineStr">
        <is>
          <t>L3.7.1</t>
        </is>
      </c>
      <c r="C61" t="inlineStr">
        <is>
          <t>Filtered External Entity Network Access Control</t>
        </is>
      </c>
      <c r="D61" t="inlineStr">
        <is>
          <t>Yes</t>
        </is>
      </c>
      <c r="E61" t="inlineStr">
        <is>
          <t>H.7.3</t>
        </is>
      </c>
      <c r="H61" t="inlineStr">
        <is>
          <t>Many of the following are cuasi-redundant</t>
        </is>
      </c>
    </row>
    <row r="62" ht="14.25" customHeight="1" s="54">
      <c r="B62" t="inlineStr">
        <is>
          <t>L3.7.2</t>
        </is>
      </c>
      <c r="C62" t="inlineStr">
        <is>
          <t>Filtered IT Infrastructure Network Access</t>
        </is>
      </c>
      <c r="D62" t="inlineStr">
        <is>
          <t>Yes</t>
        </is>
      </c>
      <c r="E62" t="inlineStr">
        <is>
          <t>H.7.1</t>
        </is>
      </c>
    </row>
    <row r="63" ht="14.25" customHeight="1" s="54">
      <c r="B63" t="inlineStr">
        <is>
          <t>L3.7.3</t>
        </is>
      </c>
      <c r="C63" t="inlineStr">
        <is>
          <t>Network Segmentation Access Control</t>
        </is>
      </c>
      <c r="D63" t="inlineStr">
        <is>
          <t>Yes</t>
        </is>
      </c>
      <c r="E63" t="inlineStr">
        <is>
          <t>H.7.1</t>
        </is>
      </c>
    </row>
    <row r="64">
      <c r="B64" t="inlineStr">
        <is>
          <t>L3.7.4</t>
        </is>
      </c>
      <c r="C64" t="inlineStr">
        <is>
          <t>Restricted AGV and Robotized System Network Access</t>
        </is>
      </c>
      <c r="D64" t="inlineStr">
        <is>
          <t>No</t>
        </is>
      </c>
      <c r="F64" t="inlineStr">
        <is>
          <t>No</t>
        </is>
      </c>
    </row>
    <row r="65">
      <c r="B65" t="inlineStr">
        <is>
          <t>L3.7.5</t>
        </is>
      </c>
      <c r="C65" t="inlineStr">
        <is>
          <t>Restricted IoT Device Connections</t>
        </is>
      </c>
      <c r="D65" t="inlineStr">
        <is>
          <t>No</t>
        </is>
      </c>
      <c r="F65" t="inlineStr">
        <is>
          <t>No</t>
        </is>
      </c>
    </row>
    <row r="66">
      <c r="B66" t="inlineStr">
        <is>
          <t>L3.7.6</t>
        </is>
      </c>
      <c r="C66" t="inlineStr">
        <is>
          <t>Secured Administration System Network Access</t>
        </is>
      </c>
      <c r="D66" t="inlineStr">
        <is>
          <t>No</t>
        </is>
      </c>
      <c r="F66" t="inlineStr">
        <is>
          <t>No</t>
        </is>
      </c>
    </row>
    <row r="67">
      <c r="B67" t="inlineStr">
        <is>
          <t>L3.7.7</t>
        </is>
      </c>
      <c r="C67" t="inlineStr">
        <is>
          <t>Secured Data Store and Registry Network Connections</t>
        </is>
      </c>
      <c r="D67" t="inlineStr">
        <is>
          <t>Yes</t>
        </is>
      </c>
      <c r="E67" t="inlineStr">
        <is>
          <t>H.7.1</t>
        </is>
      </c>
    </row>
    <row r="68">
      <c r="B68" t="inlineStr">
        <is>
          <t>L3.7.8</t>
        </is>
      </c>
      <c r="C68" t="inlineStr">
        <is>
          <t>Secured Generalist IoT Middleware Platforms Connection</t>
        </is>
      </c>
      <c r="D68" t="inlineStr">
        <is>
          <t>No</t>
        </is>
      </c>
      <c r="F68" t="inlineStr">
        <is>
          <t>No</t>
        </is>
      </c>
    </row>
    <row r="69">
      <c r="B69" t="inlineStr">
        <is>
          <t>L3.7.9</t>
        </is>
      </c>
      <c r="C69" t="inlineStr">
        <is>
          <t>Secured Middleware Connections</t>
        </is>
      </c>
      <c r="D69" t="inlineStr">
        <is>
          <t>Yes</t>
        </is>
      </c>
      <c r="E69" t="inlineStr">
        <is>
          <t>H.7.1</t>
        </is>
      </c>
    </row>
    <row r="70">
      <c r="B70" t="inlineStr">
        <is>
          <t>L3.7.10</t>
        </is>
      </c>
      <c r="C70" t="inlineStr">
        <is>
          <t>User Network Access Restriction</t>
        </is>
      </c>
      <c r="D70" t="inlineStr">
        <is>
          <t>Yes</t>
        </is>
      </c>
      <c r="E70" t="inlineStr">
        <is>
          <t>H.7.1</t>
        </is>
      </c>
    </row>
    <row r="71">
      <c r="B71" t="inlineStr">
        <is>
          <t>L3.7.11</t>
        </is>
      </c>
      <c r="C71" t="inlineStr">
        <is>
          <t>Factory IT Infrastructure Network Access Restriction</t>
        </is>
      </c>
      <c r="D71" t="inlineStr">
        <is>
          <t>Yes</t>
        </is>
      </c>
      <c r="E71" t="inlineStr">
        <is>
          <t>H.7.1</t>
        </is>
      </c>
    </row>
    <row r="72">
      <c r="B72" t="inlineStr">
        <is>
          <t>L3.7.12</t>
        </is>
      </c>
      <c r="C72" t="inlineStr">
        <is>
          <t>IoT Device Connection Filtering</t>
        </is>
      </c>
      <c r="D72" t="inlineStr">
        <is>
          <t>Yes</t>
        </is>
      </c>
      <c r="E72" t="inlineStr">
        <is>
          <t>H.7.1</t>
        </is>
      </c>
    </row>
    <row r="73">
      <c r="B73" t="inlineStr">
        <is>
          <t>L3.7.13</t>
        </is>
      </c>
      <c r="C73" t="inlineStr">
        <is>
          <t>Secure IoT Device Connections</t>
        </is>
      </c>
      <c r="D73" t="inlineStr">
        <is>
          <t>Yes</t>
        </is>
      </c>
      <c r="E73" t="inlineStr">
        <is>
          <t>H.7.1</t>
        </is>
      </c>
      <c r="AA73" t="inlineStr">
        <is>
          <t>G0_ii.10.2</t>
        </is>
      </c>
    </row>
    <row r="74">
      <c r="B74" t="inlineStr">
        <is>
          <t>L3.7.14</t>
        </is>
      </c>
      <c r="C74" t="inlineStr">
        <is>
          <t>Filtered External System Connections</t>
        </is>
      </c>
      <c r="D74" t="inlineStr">
        <is>
          <t>Yes</t>
        </is>
      </c>
      <c r="E74" t="inlineStr">
        <is>
          <t>H.7.3</t>
        </is>
      </c>
    </row>
    <row r="75">
      <c r="B75" t="inlineStr">
        <is>
          <t>L3.7.15</t>
        </is>
      </c>
      <c r="C75" t="inlineStr">
        <is>
          <t>Secure Access Control Manager Connection</t>
        </is>
      </c>
      <c r="D75" t="inlineStr">
        <is>
          <t>Yes</t>
        </is>
      </c>
      <c r="E75" t="inlineStr">
        <is>
          <t>H.7.1</t>
        </is>
      </c>
    </row>
    <row r="76">
      <c r="B76" t="inlineStr">
        <is>
          <t>L3.7.16</t>
        </is>
      </c>
      <c r="C76" t="inlineStr">
        <is>
          <t>Restricted Dock Manager Network Access</t>
        </is>
      </c>
      <c r="D76" t="inlineStr">
        <is>
          <t>Yes</t>
        </is>
      </c>
      <c r="E76" t="inlineStr">
        <is>
          <t>H.7.1</t>
        </is>
      </c>
    </row>
    <row r="77">
      <c r="B77" t="inlineStr">
        <is>
          <t>L3.7.17</t>
        </is>
      </c>
      <c r="C77" t="inlineStr">
        <is>
          <t>Filtered Warehouse Inventory Connection</t>
        </is>
      </c>
      <c r="D77" t="inlineStr">
        <is>
          <t>Yes</t>
        </is>
      </c>
      <c r="E77" t="inlineStr">
        <is>
          <t>H.7.1</t>
        </is>
      </c>
    </row>
    <row r="78">
      <c r="B78" t="inlineStr">
        <is>
          <t>L3.7.18</t>
        </is>
      </c>
      <c r="C78" t="inlineStr">
        <is>
          <t>Secure Plant Manager Network Access</t>
        </is>
      </c>
      <c r="D78" t="inlineStr">
        <is>
          <t>Yes</t>
        </is>
      </c>
      <c r="E78" t="inlineStr">
        <is>
          <t>H.7.1</t>
        </is>
      </c>
    </row>
    <row r="79">
      <c r="B79" t="inlineStr">
        <is>
          <t>L3.7.19</t>
        </is>
      </c>
      <c r="C79" t="inlineStr">
        <is>
          <t>Restricted Shipping Manager Connection</t>
        </is>
      </c>
      <c r="D79" t="inlineStr">
        <is>
          <t>Yes</t>
        </is>
      </c>
      <c r="E79" t="inlineStr">
        <is>
          <t>H.7.1</t>
        </is>
      </c>
    </row>
    <row r="80">
      <c r="B80" t="inlineStr">
        <is>
          <t>L3.7.20</t>
        </is>
      </c>
      <c r="C80" t="inlineStr">
        <is>
          <t>Filtered Finished Car Yard Connection</t>
        </is>
      </c>
      <c r="D80" t="inlineStr">
        <is>
          <t>Yes</t>
        </is>
      </c>
      <c r="E80" t="inlineStr">
        <is>
          <t>H.7.1</t>
        </is>
      </c>
    </row>
    <row r="81">
      <c r="B81" t="inlineStr">
        <is>
          <t>L3.7.21</t>
        </is>
      </c>
      <c r="C81" t="inlineStr">
        <is>
          <t>Secure Requisitions Data Store Connection</t>
        </is>
      </c>
      <c r="D81" t="inlineStr">
        <is>
          <t>Yes</t>
        </is>
      </c>
      <c r="E81" t="inlineStr">
        <is>
          <t>H.7.1</t>
        </is>
      </c>
    </row>
    <row r="82">
      <c r="B82" t="inlineStr">
        <is>
          <t>L3.7.22</t>
        </is>
      </c>
      <c r="C82" t="inlineStr">
        <is>
          <t>Restricted Supply Vehicles Registry Access</t>
        </is>
      </c>
      <c r="D82" t="inlineStr">
        <is>
          <t>Yes</t>
        </is>
      </c>
      <c r="E82" t="inlineStr">
        <is>
          <t>H.7.1</t>
        </is>
      </c>
    </row>
    <row r="83">
      <c r="B83" t="inlineStr">
        <is>
          <t>L3.7.23</t>
        </is>
      </c>
      <c r="C83" t="inlineStr">
        <is>
          <t>Filtered Warehouse Inventory Access</t>
        </is>
      </c>
      <c r="D83" t="inlineStr">
        <is>
          <t>Yes</t>
        </is>
      </c>
      <c r="E83" t="inlineStr">
        <is>
          <t>H.7.1</t>
        </is>
      </c>
    </row>
    <row r="84">
      <c r="B84" t="inlineStr">
        <is>
          <t>L3.7.24</t>
        </is>
      </c>
      <c r="C84" t="inlineStr">
        <is>
          <t>Secure Production Plan Data Store Connection</t>
        </is>
      </c>
      <c r="D84" t="inlineStr">
        <is>
          <t>Yes</t>
        </is>
      </c>
      <c r="E84" t="inlineStr">
        <is>
          <t>H.7.1</t>
        </is>
      </c>
    </row>
    <row r="85">
      <c r="B85" t="inlineStr">
        <is>
          <t>L3.7.25</t>
        </is>
      </c>
      <c r="C85" t="inlineStr">
        <is>
          <t>Restricted Finished Car Registry Access</t>
        </is>
      </c>
      <c r="D85" t="inlineStr">
        <is>
          <t>Yes</t>
        </is>
      </c>
      <c r="E85" t="inlineStr">
        <is>
          <t>H.7.1</t>
        </is>
      </c>
    </row>
    <row r="86">
      <c r="B86" t="inlineStr">
        <is>
          <t>L3.7.26</t>
        </is>
      </c>
      <c r="C86" t="inlineStr">
        <is>
          <t>Filtered Logistics Terminal Car Registry Connection</t>
        </is>
      </c>
      <c r="D86" t="inlineStr">
        <is>
          <t>Yes</t>
        </is>
      </c>
      <c r="E86" t="inlineStr">
        <is>
          <t>H.7.1</t>
        </is>
      </c>
    </row>
    <row r="87">
      <c r="B87" t="inlineStr">
        <is>
          <t>L3.7.27</t>
        </is>
      </c>
      <c r="C87" t="inlineStr">
        <is>
          <t>Secure Purchase Order and Transport Order Data Stores Connection</t>
        </is>
      </c>
      <c r="D87" t="inlineStr">
        <is>
          <t>Yes</t>
        </is>
      </c>
      <c r="E87" t="inlineStr">
        <is>
          <t>H.7.1</t>
        </is>
      </c>
    </row>
    <row r="88">
      <c r="B88" t="inlineStr">
        <is>
          <t>L3.7.28</t>
        </is>
      </c>
      <c r="C88" t="inlineStr">
        <is>
          <t>Restricted Handheld Devices Access</t>
        </is>
      </c>
      <c r="D88" t="inlineStr">
        <is>
          <t>Yes</t>
        </is>
      </c>
      <c r="E88" t="inlineStr">
        <is>
          <t>H.7.1</t>
        </is>
      </c>
    </row>
    <row r="89">
      <c r="B89" t="inlineStr">
        <is>
          <t>L3.7.29</t>
        </is>
      </c>
      <c r="C89" t="inlineStr">
        <is>
          <t>Filtered Front-end Application Connection</t>
        </is>
      </c>
      <c r="D89" t="inlineStr">
        <is>
          <t>Yes</t>
        </is>
      </c>
      <c r="E89" t="inlineStr">
        <is>
          <t>H.7.1</t>
        </is>
      </c>
    </row>
    <row r="90">
      <c r="B90" t="inlineStr">
        <is>
          <t>L3.7.30</t>
        </is>
      </c>
      <c r="C90" t="inlineStr">
        <is>
          <t>Restricted Sensors and Actuators Connection</t>
        </is>
      </c>
      <c r="D90" t="inlineStr">
        <is>
          <t>Yes</t>
        </is>
      </c>
      <c r="E90" t="inlineStr">
        <is>
          <t>H.7.1</t>
        </is>
      </c>
    </row>
    <row r="91">
      <c r="B91" t="inlineStr">
        <is>
          <t>L3.7.31</t>
        </is>
      </c>
      <c r="C91" t="inlineStr">
        <is>
          <t>Secure Factory Network Infrastructure Connection</t>
        </is>
      </c>
      <c r="D91" t="inlineStr">
        <is>
          <t>Yes</t>
        </is>
      </c>
      <c r="E91" t="inlineStr">
        <is>
          <t>H.7.1</t>
        </is>
      </c>
    </row>
    <row r="92">
      <c r="B92" t="inlineStr">
        <is>
          <t>L3.7.32</t>
        </is>
      </c>
      <c r="C92" t="inlineStr">
        <is>
          <t>Filtered Internet of Things (IoT) Network Connection</t>
        </is>
      </c>
      <c r="D92" t="inlineStr">
        <is>
          <t>Yes</t>
        </is>
      </c>
      <c r="E92" t="inlineStr">
        <is>
          <t>H.7.1</t>
        </is>
      </c>
    </row>
    <row r="93">
      <c r="B93" t="inlineStr">
        <is>
          <t>L3.7.33</t>
        </is>
      </c>
      <c r="C93" t="inlineStr">
        <is>
          <t>Secure External Network Connection</t>
        </is>
      </c>
      <c r="D93" t="inlineStr">
        <is>
          <t>Yes</t>
        </is>
      </c>
      <c r="E93" t="inlineStr">
        <is>
          <t>H.7.2</t>
        </is>
      </c>
    </row>
    <row r="94" ht="15" customHeight="1" s="54">
      <c r="A94" s="49" t="inlineStr">
        <is>
          <t>{Network administration channels} must be segregated from {other network traffic}</t>
        </is>
      </c>
      <c r="B94" t="inlineStr">
        <is>
          <t>L3.8.1</t>
        </is>
      </c>
      <c r="C94" t="inlineStr">
        <is>
          <t>Segregation of System Administration Channels</t>
        </is>
      </c>
      <c r="D94" t="inlineStr">
        <is>
          <t>Yes</t>
        </is>
      </c>
      <c r="E94" t="inlineStr">
        <is>
          <t>H.8.1</t>
        </is>
      </c>
    </row>
    <row r="95">
      <c r="B95" t="inlineStr">
        <is>
          <t>L3.8.2</t>
        </is>
      </c>
      <c r="C95" t="inlineStr">
        <is>
          <t>Isolation of Network Administration Channels</t>
        </is>
      </c>
      <c r="D95" t="inlineStr">
        <is>
          <t>No</t>
        </is>
      </c>
      <c r="F95" t="inlineStr">
        <is>
          <t>No</t>
        </is>
      </c>
    </row>
    <row r="96">
      <c r="B96" t="inlineStr">
        <is>
          <t>L3.8.3</t>
        </is>
      </c>
      <c r="C96" t="inlineStr">
        <is>
          <t>Isolation of IoT Middleware Platforms</t>
        </is>
      </c>
      <c r="D96" t="inlineStr">
        <is>
          <t>No</t>
        </is>
      </c>
      <c r="F96" t="inlineStr">
        <is>
          <t>Yes</t>
        </is>
      </c>
      <c r="G96" t="inlineStr">
        <is>
          <t>Architectural infeasibility</t>
        </is>
      </c>
      <c r="H96" t="inlineStr">
        <is>
          <t>Excessive</t>
        </is>
      </c>
    </row>
    <row r="97">
      <c r="B97" t="inlineStr">
        <is>
          <t>L3.8.4</t>
        </is>
      </c>
      <c r="C97" t="inlineStr">
        <is>
          <t>Protection of Administration Channels</t>
        </is>
      </c>
      <c r="D97" t="inlineStr">
        <is>
          <t>No</t>
        </is>
      </c>
      <c r="F97" t="inlineStr">
        <is>
          <t>No</t>
        </is>
      </c>
    </row>
    <row r="98">
      <c r="B98" t="inlineStr">
        <is>
          <t>L3.8.5</t>
        </is>
      </c>
      <c r="C98" t="inlineStr">
        <is>
          <t>Isolation of Operations Management Traffic</t>
        </is>
      </c>
      <c r="D98" t="inlineStr">
        <is>
          <t>No</t>
        </is>
      </c>
      <c r="F98" t="inlineStr">
        <is>
          <t>Yes</t>
        </is>
      </c>
      <c r="G98" t="inlineStr">
        <is>
          <t>Architectural infeasibility</t>
        </is>
      </c>
      <c r="H98" t="inlineStr">
        <is>
          <t>Excessive</t>
        </is>
      </c>
    </row>
    <row r="99">
      <c r="B99" t="inlineStr">
        <is>
          <t>L3.8.6</t>
        </is>
      </c>
      <c r="C99" t="inlineStr">
        <is>
          <t>Separation of Security Management Channels</t>
        </is>
      </c>
      <c r="D99" t="inlineStr">
        <is>
          <t>No</t>
        </is>
      </c>
      <c r="F99" t="inlineStr">
        <is>
          <t>Yes</t>
        </is>
      </c>
      <c r="G99" t="inlineStr">
        <is>
          <t>Architectural infeasibility</t>
        </is>
      </c>
      <c r="H99" t="inlineStr">
        <is>
          <t>Excessive</t>
        </is>
      </c>
    </row>
    <row r="100" ht="16.35" customHeight="1" s="54">
      <c r="A100" s="49" t="inlineStr">
        <is>
          <t>Implement cryptographic measures to safeguard {information stored} on {mobile user} {endpoint devices} or {storage media} and transmitted over {networks}</t>
        </is>
      </c>
      <c r="B100" t="inlineStr">
        <is>
          <t>L3.9.1</t>
        </is>
      </c>
      <c r="C100" t="inlineStr">
        <is>
          <t>Secure Communication of Handheld Devices</t>
        </is>
      </c>
      <c r="D100" t="inlineStr">
        <is>
          <t>Yes</t>
        </is>
      </c>
      <c r="E100" t="inlineStr">
        <is>
          <t>H.9.3</t>
        </is>
      </c>
    </row>
    <row r="101" ht="14.25" customHeight="1" s="54">
      <c r="B101" t="inlineStr">
        <is>
          <t>L3.9.2</t>
        </is>
      </c>
      <c r="C101" t="inlineStr">
        <is>
          <t>Protection of Component Inventory Data</t>
        </is>
      </c>
      <c r="D101" t="inlineStr">
        <is>
          <t>Yes</t>
        </is>
      </c>
      <c r="E101" t="inlineStr">
        <is>
          <t>H.9.1</t>
        </is>
      </c>
    </row>
    <row r="102" ht="14.25" customHeight="1" s="54">
      <c r="B102" t="inlineStr">
        <is>
          <t>L3.9.3</t>
        </is>
      </c>
      <c r="C102" t="inlineStr">
        <is>
          <t>Secure Transmission of Delivery Notes</t>
        </is>
      </c>
      <c r="D102" t="inlineStr">
        <is>
          <t>No</t>
        </is>
      </c>
      <c r="F102" t="inlineStr">
        <is>
          <t>Yes</t>
        </is>
      </c>
      <c r="G102" t="inlineStr">
        <is>
          <t>Contextual misfit</t>
        </is>
      </c>
      <c r="H102" t="inlineStr">
        <is>
          <t>Absurd</t>
        </is>
      </c>
    </row>
    <row r="103">
      <c r="B103" t="inlineStr">
        <is>
          <t>L3.9.4</t>
        </is>
      </c>
      <c r="C103" t="inlineStr">
        <is>
          <t>Safeguard Finished Car Registry Information</t>
        </is>
      </c>
      <c r="D103" t="inlineStr">
        <is>
          <t>Yes</t>
        </is>
      </c>
      <c r="E103" t="inlineStr">
        <is>
          <t>H.9.1</t>
        </is>
      </c>
    </row>
    <row r="104">
      <c r="B104" t="inlineStr">
        <is>
          <t>L3.9.5</t>
        </is>
      </c>
      <c r="C104" t="inlineStr">
        <is>
          <t>Secure AGV and Robot Communication</t>
        </is>
      </c>
      <c r="D104" t="inlineStr">
        <is>
          <t>Yes</t>
        </is>
      </c>
      <c r="E104" t="inlineStr">
        <is>
          <t>H.9.3</t>
        </is>
      </c>
    </row>
    <row r="105">
      <c r="B105" t="inlineStr">
        <is>
          <t>L3.9.6</t>
        </is>
      </c>
      <c r="C105" t="inlineStr">
        <is>
          <t>Protection of Purchase Order and Transport Order Data</t>
        </is>
      </c>
      <c r="D105" t="inlineStr">
        <is>
          <t>Yes</t>
        </is>
      </c>
      <c r="E105" t="inlineStr">
        <is>
          <t>H.9.1</t>
        </is>
      </c>
    </row>
    <row r="106">
      <c r="B106" t="inlineStr">
        <is>
          <t>L3.9.7</t>
        </is>
      </c>
      <c r="C106" t="inlineStr">
        <is>
          <t>Secure IoT Middleware Platform Communication</t>
        </is>
      </c>
      <c r="D106" t="inlineStr">
        <is>
          <t>No</t>
        </is>
      </c>
      <c r="F106" t="inlineStr">
        <is>
          <t>No</t>
        </is>
      </c>
    </row>
    <row r="107">
      <c r="B107" t="inlineStr">
        <is>
          <t>L3.9.8</t>
        </is>
      </c>
      <c r="C107" t="inlineStr">
        <is>
          <t>Cryptographic Protection of Sensitive Data Stores</t>
        </is>
      </c>
      <c r="D107" t="inlineStr">
        <is>
          <t>Yes</t>
        </is>
      </c>
      <c r="E107" t="inlineStr">
        <is>
          <t>H.9.1</t>
        </is>
      </c>
    </row>
    <row r="108">
      <c r="B108" t="inlineStr">
        <is>
          <t>L3.9.9</t>
        </is>
      </c>
      <c r="C108" t="inlineStr">
        <is>
          <t>Secure Data Transmission over IoT Middleware Platforms</t>
        </is>
      </c>
      <c r="D108" t="inlineStr">
        <is>
          <t>Yes</t>
        </is>
      </c>
      <c r="E108" t="inlineStr">
        <is>
          <t>H.9.3</t>
        </is>
      </c>
    </row>
    <row r="109">
      <c r="B109" t="inlineStr">
        <is>
          <t>L3.9.10</t>
        </is>
      </c>
      <c r="C109" t="inlineStr">
        <is>
          <t>Cryptographic Protection of Physical Storage Media</t>
        </is>
      </c>
      <c r="D109" t="inlineStr">
        <is>
          <t>Yes</t>
        </is>
      </c>
      <c r="E109" t="inlineStr">
        <is>
          <t>H.9.2</t>
        </is>
      </c>
    </row>
    <row r="110">
      <c r="B110" t="inlineStr">
        <is>
          <t>L3.9.11</t>
        </is>
      </c>
      <c r="C110" t="inlineStr">
        <is>
          <t>Secure Handheld Device Data Storage</t>
        </is>
      </c>
      <c r="D110" t="inlineStr">
        <is>
          <t>No</t>
        </is>
      </c>
      <c r="F110" t="inlineStr">
        <is>
          <t>No</t>
        </is>
      </c>
    </row>
    <row r="111">
      <c r="B111" t="inlineStr">
        <is>
          <t>L3.9.12</t>
        </is>
      </c>
      <c r="C111" t="inlineStr">
        <is>
          <t>Secure Production Plan Data Storage</t>
        </is>
      </c>
      <c r="D111" t="inlineStr">
        <is>
          <t>No</t>
        </is>
      </c>
      <c r="F111" t="inlineStr">
        <is>
          <t>No</t>
        </is>
      </c>
    </row>
    <row r="112">
      <c r="B112" t="inlineStr">
        <is>
          <t>L3.9.13</t>
        </is>
      </c>
      <c r="C112" t="inlineStr">
        <is>
          <t>Secure Requisition Data Storage</t>
        </is>
      </c>
      <c r="D112" t="inlineStr">
        <is>
          <t>Yes</t>
        </is>
      </c>
      <c r="E112" t="inlineStr">
        <is>
          <t>H.9.1</t>
        </is>
      </c>
    </row>
    <row r="113">
      <c r="B113" t="inlineStr">
        <is>
          <t>L3.9.14</t>
        </is>
      </c>
      <c r="C113" t="inlineStr">
        <is>
          <t>Supply Vehicle Registry Data Encryption</t>
        </is>
      </c>
      <c r="D113" t="inlineStr">
        <is>
          <t>Yes</t>
        </is>
      </c>
      <c r="E113" t="inlineStr">
        <is>
          <t>H.9.1</t>
        </is>
      </c>
    </row>
    <row r="114">
      <c r="B114" t="inlineStr">
        <is>
          <t>L3.9.15</t>
        </is>
      </c>
      <c r="C114" t="inlineStr">
        <is>
          <t>Secure Internal Network Data Transmission</t>
        </is>
      </c>
      <c r="D114" t="inlineStr">
        <is>
          <t>Yes</t>
        </is>
      </c>
      <c r="E114" t="inlineStr">
        <is>
          <t>H.9.3</t>
        </is>
      </c>
    </row>
    <row r="115" ht="16.35" customHeight="1" s="54">
      <c r="A115" s="49" t="inlineStr">
        <is>
          <t>Establish a comprehensive key management system, including procedures for generating and protecting {cryptographic keys} and recovering {encrypted data} in case of lost, compromised, or damaged {keys}</t>
        </is>
      </c>
      <c r="B115" t="inlineStr">
        <is>
          <t>L3.10.1</t>
        </is>
      </c>
      <c r="C115" t="inlineStr">
        <is>
          <t>Comprehensive Key Management System</t>
        </is>
      </c>
      <c r="D115" t="inlineStr">
        <is>
          <t>Yes</t>
        </is>
      </c>
      <c r="E115" t="inlineStr">
        <is>
          <t>H.10.2</t>
        </is>
      </c>
    </row>
    <row r="116" ht="14.25" customHeight="1" s="54">
      <c r="B116" t="inlineStr">
        <is>
          <t>L3.10.2</t>
        </is>
      </c>
      <c r="C116" t="inlineStr">
        <is>
          <t>Secure Key Management for Data Stores</t>
        </is>
      </c>
      <c r="D116" t="inlineStr">
        <is>
          <t>Yes</t>
        </is>
      </c>
      <c r="E116" t="inlineStr">
        <is>
          <t>H.10.2</t>
        </is>
      </c>
    </row>
    <row r="117">
      <c r="B117" t="inlineStr">
        <is>
          <t>L3.10.3</t>
        </is>
      </c>
      <c r="C117" t="inlineStr">
        <is>
          <t>Secure Key Management for Employee Authentication</t>
        </is>
      </c>
      <c r="D117" t="inlineStr">
        <is>
          <t>Yes</t>
        </is>
      </c>
      <c r="E117" t="inlineStr">
        <is>
          <t>H.10.2</t>
        </is>
      </c>
    </row>
    <row r="118">
      <c r="B118" t="inlineStr">
        <is>
          <t>L3.10.4</t>
        </is>
      </c>
      <c r="C118" t="inlineStr">
        <is>
          <t>Key Recovery for Business Continuity</t>
        </is>
      </c>
      <c r="D118" t="inlineStr">
        <is>
          <t>No</t>
        </is>
      </c>
      <c r="F118" t="inlineStr">
        <is>
          <t>No</t>
        </is>
      </c>
    </row>
    <row r="119">
      <c r="B119" t="inlineStr">
        <is>
          <t>L3.10.5</t>
        </is>
      </c>
      <c r="C119" t="inlineStr">
        <is>
          <t>Integration of Key Management with IoT Middleware</t>
        </is>
      </c>
      <c r="D119" t="inlineStr">
        <is>
          <t>No</t>
        </is>
      </c>
      <c r="F119" t="inlineStr">
        <is>
          <t>Yes</t>
        </is>
      </c>
      <c r="G119" t="inlineStr">
        <is>
          <t>Contextual misfit</t>
        </is>
      </c>
      <c r="H119" t="inlineStr">
        <is>
          <t>Not directly inferrable</t>
        </is>
      </c>
    </row>
    <row r="120">
      <c r="B120" t="inlineStr">
        <is>
          <t>L3.10.6</t>
        </is>
      </c>
      <c r="C120" t="inlineStr">
        <is>
          <t>Role-Based Access Control for Key Management</t>
        </is>
      </c>
      <c r="D120" t="inlineStr">
        <is>
          <t>No</t>
        </is>
      </c>
      <c r="F120" t="inlineStr">
        <is>
          <t>Yes</t>
        </is>
      </c>
      <c r="G120" t="inlineStr">
        <is>
          <t>Contextual misfit</t>
        </is>
      </c>
      <c r="H120" t="inlineStr">
        <is>
          <t>Not directly inferrable</t>
        </is>
      </c>
    </row>
    <row r="121">
      <c r="B121" t="inlineStr">
        <is>
          <t>L3.10.7</t>
        </is>
      </c>
      <c r="C121" t="inlineStr">
        <is>
          <t>Secure Key Management for External Communication</t>
        </is>
      </c>
      <c r="D121" t="inlineStr">
        <is>
          <t>No</t>
        </is>
      </c>
      <c r="F121" t="inlineStr">
        <is>
          <t>Yes</t>
        </is>
      </c>
      <c r="G121" t="inlineStr">
        <is>
          <t>Architectural infeasibility</t>
        </is>
      </c>
      <c r="H121" t="inlineStr">
        <is>
          <t>Absurd</t>
        </is>
      </c>
    </row>
    <row r="122">
      <c r="B122" t="inlineStr">
        <is>
          <t>L3.10.8</t>
        </is>
      </c>
      <c r="C122" t="inlineStr">
        <is>
          <t>Secure Data Transmission</t>
        </is>
      </c>
      <c r="D122" t="inlineStr">
        <is>
          <t>No</t>
        </is>
      </c>
      <c r="F122" t="inlineStr">
        <is>
          <t>Yes</t>
        </is>
      </c>
      <c r="G122" t="inlineStr">
        <is>
          <t>Responsibility leakage</t>
        </is>
      </c>
      <c r="H122" t="inlineStr">
        <is>
          <t>Out of the scope</t>
        </is>
      </c>
    </row>
    <row r="123">
      <c r="B123" t="inlineStr">
        <is>
          <t>L3.10.9</t>
        </is>
      </c>
      <c r="C123" t="inlineStr">
        <is>
          <t>Protected Data Storage</t>
        </is>
      </c>
      <c r="D123" t="inlineStr">
        <is>
          <t>Yes</t>
        </is>
      </c>
      <c r="E123" t="inlineStr">
        <is>
          <t>H.10.2</t>
        </is>
      </c>
    </row>
    <row r="124">
      <c r="B124" t="inlineStr">
        <is>
          <t>L3.10.10</t>
        </is>
      </c>
      <c r="C124" t="inlineStr">
        <is>
          <t>Factory IT Infrastructure Key Management</t>
        </is>
      </c>
      <c r="D124" t="inlineStr">
        <is>
          <t>Yes</t>
        </is>
      </c>
      <c r="E124" t="inlineStr">
        <is>
          <t>H.10.2</t>
        </is>
      </c>
    </row>
    <row r="125">
      <c r="B125" t="inlineStr">
        <is>
          <t>L3.10.11</t>
        </is>
      </c>
      <c r="C125" t="inlineStr">
        <is>
          <t>System Admin Key Management Responsibilities</t>
        </is>
      </c>
      <c r="D125" t="inlineStr">
        <is>
          <t>No</t>
        </is>
      </c>
      <c r="F125" t="inlineStr">
        <is>
          <t>Yes</t>
        </is>
      </c>
      <c r="G125" t="inlineStr">
        <is>
          <t>Contextual misfit</t>
        </is>
      </c>
      <c r="H125" t="inlineStr">
        <is>
          <t>Not directly inferrable</t>
        </is>
      </c>
    </row>
    <row r="126">
      <c r="B126" t="inlineStr">
        <is>
          <t>L3.10.12</t>
        </is>
      </c>
      <c r="C126" t="inlineStr">
        <is>
          <t>Security Manager Key Management Oversight</t>
        </is>
      </c>
      <c r="D126" t="inlineStr">
        <is>
          <t>Yes</t>
        </is>
      </c>
      <c r="E126" t="inlineStr">
        <is>
          <t>H.10.3</t>
        </is>
      </c>
    </row>
    <row r="127" ht="14.45" customHeight="1" s="54">
      <c r="B127" s="16" t="inlineStr">
        <is>
          <t>Count</t>
        </is>
      </c>
      <c r="C127" s="16" t="inlineStr">
        <is>
          <t>No</t>
        </is>
      </c>
      <c r="D127" s="16">
        <f>COUNTIF(D2:D126,"No")</f>
        <v/>
      </c>
      <c r="E127" s="16" t="inlineStr">
        <is>
          <t>Hallucinations</t>
        </is>
      </c>
      <c r="F127" s="16">
        <f>COUNTIF(F2:F126,"Yes")</f>
        <v/>
      </c>
    </row>
    <row r="128" ht="15" customHeight="1" s="54">
      <c r="B128" s="47" t="n"/>
      <c r="C128" s="16" t="inlineStr">
        <is>
          <t>Yes</t>
        </is>
      </c>
      <c r="D128" s="16">
        <f>COUNTIF(D2:D126,"Yes")</f>
        <v/>
      </c>
      <c r="E128" s="16" t="inlineStr">
        <is>
          <t>Partial hallucinations</t>
        </is>
      </c>
      <c r="F128">
        <f>COUNTIFS(D:D,"Partial",F:F,"Yes")</f>
        <v/>
      </c>
    </row>
    <row r="129" ht="15" customHeight="1" s="54">
      <c r="B129" s="47" t="n"/>
      <c r="C129" s="16" t="inlineStr">
        <is>
          <t>Partial</t>
        </is>
      </c>
      <c r="D129" s="16">
        <f>COUNTIF(D2:D126,"Partial")</f>
        <v/>
      </c>
      <c r="E129" s="10" t="inlineStr">
        <is>
          <t>Template drift</t>
        </is>
      </c>
      <c r="F129">
        <f>COUNTIF($G$2:$G$126,E129)</f>
        <v/>
      </c>
    </row>
    <row r="130" ht="15" customHeight="1" s="54">
      <c r="E130" s="10" t="inlineStr">
        <is>
          <t>Contextual misfit</t>
        </is>
      </c>
      <c r="F130">
        <f>COUNTIF($G$2:$G$126,E130)</f>
        <v/>
      </c>
    </row>
    <row r="131" ht="15" customHeight="1" s="54">
      <c r="E131" s="10" t="inlineStr">
        <is>
          <t>Scope misalignment</t>
        </is>
      </c>
      <c r="F131">
        <f>COUNTIF($G$2:$G$126,E131)</f>
        <v/>
      </c>
    </row>
    <row r="132" ht="15" customHeight="1" s="54">
      <c r="E132" s="10" t="inlineStr">
        <is>
          <t>Responsibility leakage</t>
        </is>
      </c>
      <c r="F132">
        <f>COUNTIF($G$2:$G$126,E132)</f>
        <v/>
      </c>
    </row>
    <row r="133" ht="15" customHeight="1" s="54">
      <c r="E133" s="10" t="inlineStr">
        <is>
          <t>Architectural infeasibility</t>
        </is>
      </c>
      <c r="F133">
        <f>COUNTIF($G$2:$G$126,E133)</f>
        <v/>
      </c>
    </row>
    <row r="134" ht="15" customHeight="1" s="54">
      <c r="E134" s="10" t="n"/>
    </row>
    <row r="135" ht="15" customHeight="1" s="54">
      <c r="E135" s="16" t="inlineStr">
        <is>
          <t>Discoveries</t>
        </is>
      </c>
      <c r="F135" s="16">
        <f>COUNTIF(F2:F126,"No")</f>
        <v/>
      </c>
    </row>
  </sheetData>
  <mergeCells count="10">
    <mergeCell ref="A44:A52"/>
    <mergeCell ref="A115:A126"/>
    <mergeCell ref="A15:A31"/>
    <mergeCell ref="A61:A93"/>
    <mergeCell ref="A53:A60"/>
    <mergeCell ref="A2:A7"/>
    <mergeCell ref="A8:A14"/>
    <mergeCell ref="A100:A114"/>
    <mergeCell ref="A94:A99"/>
    <mergeCell ref="A32:A43"/>
  </mergeCells>
  <conditionalFormatting sqref="D2:D126">
    <cfRule type="containsText" priority="4" operator="containsText" dxfId="6" text="Partial">
      <formula>NOT(ISERROR(SEARCH("Partial",D2)))</formula>
    </cfRule>
    <cfRule type="containsText" priority="5" operator="containsText" dxfId="0" text="No">
      <formula>NOT(ISERROR(SEARCH("No",D2)))</formula>
    </cfRule>
    <cfRule type="containsText" priority="6" operator="containsText" dxfId="1" text="Yes">
      <formula>NOT(ISERROR(SEARCH("Yes",D2)))</formula>
    </cfRule>
  </conditionalFormatting>
  <conditionalFormatting sqref="E134">
    <cfRule type="containsText" priority="1" operator="containsText" dxfId="1" text="No">
      <formula>NOT(ISERROR(SEARCH("No",E134)))</formula>
    </cfRule>
    <cfRule type="containsText" priority="2" operator="containsText" dxfId="0" text="Yes">
      <formula>NOT(ISERROR(SEARCH("Yes",E134)))</formula>
    </cfRule>
  </conditionalFormatting>
  <conditionalFormatting sqref="F2:F126">
    <cfRule type="containsText" priority="7" operator="containsText" dxfId="1" text="No">
      <formula>NOT(ISERROR(SEARCH("No",F2)))</formula>
    </cfRule>
    <cfRule type="containsText" priority="8" operator="containsText" dxfId="0" text="Yes">
      <formula>NOT(ISERROR(SEARCH("Yes",F2)))</formula>
    </cfRule>
  </conditionalFormatting>
  <conditionalFormatting sqref="G2:G108 G119:G122 G125">
    <cfRule type="containsText" priority="9" operator="containsText" dxfId="1" text="No">
      <formula>NOT(ISERROR(SEARCH("No",G2)))</formula>
    </cfRule>
    <cfRule type="containsText" priority="10" operator="containsText" dxfId="0" text="Yes">
      <formula>NOT(ISERROR(SEARCH("Yes",G2)))</formula>
    </cfRule>
  </conditionalFormatting>
  <dataValidations count="3">
    <dataValidation sqref="D2:D126" showDropDown="0" showInputMessage="1" showErrorMessage="1" allowBlank="1" type="list" operator="equal">
      <formula1>"Yes,No,Partial"</formula1>
      <formula2>0</formula2>
    </dataValidation>
    <dataValidation sqref="F2:F126" showDropDown="0" showInputMessage="1" showErrorMessage="1" allowBlank="1" type="list" operator="equal">
      <formula1>"Yes,No"</formula1>
      <formula2>0</formula2>
    </dataValidation>
    <dataValidation sqref="E134 G2:G108 G119:G122 G125" showDropDown="0" showInputMessage="1" showErrorMessage="1" allowBlank="1" operator="equal">
      <formula1>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73"/>
  <sheetViews>
    <sheetView zoomScale="85" zoomScaleNormal="85" workbookViewId="0">
      <selection activeCell="E38" sqref="E38:F38"/>
    </sheetView>
  </sheetViews>
  <sheetFormatPr baseColWidth="8" defaultColWidth="9.140625" defaultRowHeight="14.45"/>
  <cols>
    <col width="60.7109375" customWidth="1" style="44" min="1" max="1"/>
    <col width="60.7109375" customWidth="1" style="54" min="3" max="3"/>
    <col width="14.7109375" customWidth="1" style="54" min="4" max="4"/>
    <col width="30.7109375" customWidth="1" style="54" min="5" max="5"/>
    <col width="14.7109375" customWidth="1" style="54" min="6" max="7"/>
    <col width="60.7109375" customWidth="1" style="54" min="8" max="8"/>
  </cols>
  <sheetData>
    <row r="1" customFormat="1" s="53">
      <c r="A1" s="48" t="inlineStr">
        <is>
          <t>Norm</t>
        </is>
      </c>
      <c r="B1" s="53" t="inlineStr">
        <is>
          <t>L4.#</t>
        </is>
      </c>
      <c r="C1" s="53" t="inlineStr">
        <is>
          <t>Automated requirement name</t>
        </is>
      </c>
      <c r="D1" s="53" t="inlineStr">
        <is>
          <t>Present</t>
        </is>
      </c>
      <c r="E1" s="53" t="inlineStr">
        <is>
          <t>Support</t>
        </is>
      </c>
      <c r="F1" s="53" t="inlineStr">
        <is>
          <t>Hallucination</t>
        </is>
      </c>
      <c r="G1" s="53" t="inlineStr">
        <is>
          <t>Hall. Type</t>
        </is>
      </c>
      <c r="H1" s="53" t="inlineStr">
        <is>
          <t>Rationale</t>
        </is>
      </c>
    </row>
    <row r="2" ht="15" customHeight="1" s="54">
      <c r="A2" s="49" t="inlineStr">
        <is>
          <t>Help messages during the {log-on procedure} must not aid an unauthorized user, e.g., by indicating which {parts of the data} are correct or incorrect</t>
        </is>
      </c>
      <c r="B2" t="inlineStr">
        <is>
          <t>L4.1.1</t>
        </is>
      </c>
      <c r="C2" t="inlineStr">
        <is>
          <t>Secure Access Control Feedback</t>
        </is>
      </c>
      <c r="D2" t="inlineStr">
        <is>
          <t>No</t>
        </is>
      </c>
      <c r="F2" t="inlineStr">
        <is>
          <t>Yes</t>
        </is>
      </c>
      <c r="G2" t="inlineStr">
        <is>
          <t>Contextual misfit</t>
        </is>
      </c>
    </row>
    <row r="3" ht="15" customHeight="1" s="54">
      <c r="B3" t="inlineStr">
        <is>
          <t>L4.1.2</t>
        </is>
      </c>
      <c r="C3" t="inlineStr">
        <is>
          <t>Secure Login Feedback for System Users</t>
        </is>
      </c>
      <c r="D3" t="inlineStr">
        <is>
          <t>Yes</t>
        </is>
      </c>
      <c r="E3" t="inlineStr">
        <is>
          <t>H.1.1</t>
        </is>
      </c>
    </row>
    <row r="4" ht="15" customHeight="1" s="54">
      <c r="B4" t="inlineStr">
        <is>
          <t>L4.1.3</t>
        </is>
      </c>
      <c r="C4" t="inlineStr">
        <is>
          <t>Secure Authentication Feedback for Finished Car Yard Drivers</t>
        </is>
      </c>
      <c r="D4" t="inlineStr">
        <is>
          <t>No</t>
        </is>
      </c>
      <c r="F4" t="inlineStr">
        <is>
          <t>Yes</t>
        </is>
      </c>
      <c r="G4" t="inlineStr">
        <is>
          <t>Contextual misfit</t>
        </is>
      </c>
    </row>
    <row r="5" ht="16.35" customHeight="1" s="54">
      <c r="A5" s="49" t="inlineStr">
        <is>
          <t>A security incident must be raised if a potential attempted or successful breach of {log-on controls} is detected, and, when the risk of the incident warrants it, the account shall be temporarily restricted, plus an alert shall be sent to the {account owner}, and to the {organization's system administrators}.</t>
        </is>
      </c>
      <c r="B5" t="inlineStr">
        <is>
          <t>L4.2.1</t>
        </is>
      </c>
      <c r="C5" t="inlineStr">
        <is>
          <t>Intrusion Detection and Alert</t>
        </is>
      </c>
      <c r="D5" t="inlineStr">
        <is>
          <t>No</t>
        </is>
      </c>
      <c r="F5" t="inlineStr">
        <is>
          <t>Yes</t>
        </is>
      </c>
      <c r="G5" t="inlineStr">
        <is>
          <t>Responsibility leakage</t>
        </is>
      </c>
      <c r="H5" t="inlineStr">
        <is>
          <t>Absurd; out of the scope</t>
        </is>
      </c>
    </row>
    <row r="6">
      <c r="B6" t="inlineStr">
        <is>
          <t>L4.2.2</t>
        </is>
      </c>
      <c r="C6" t="inlineStr">
        <is>
          <t>Anomalous Login Attempt Detection and Notification</t>
        </is>
      </c>
      <c r="D6" t="inlineStr">
        <is>
          <t>Yes</t>
        </is>
      </c>
      <c r="E6" t="inlineStr">
        <is>
          <t>H.2.1</t>
        </is>
      </c>
    </row>
    <row r="7">
      <c r="B7" t="inlineStr">
        <is>
          <t>L4.2.3</t>
        </is>
      </c>
      <c r="C7" t="inlineStr">
        <is>
          <t>Real-time Monitoring and Alert System</t>
        </is>
      </c>
      <c r="D7" t="inlineStr">
        <is>
          <t>Yes</t>
        </is>
      </c>
      <c r="E7" t="inlineStr">
        <is>
          <t>H.2.1</t>
        </is>
      </c>
    </row>
    <row r="8">
      <c r="B8" t="inlineStr">
        <is>
          <t>L4.2.4</t>
        </is>
      </c>
      <c r="C8" t="inlineStr">
        <is>
          <t>Automated Alert System for Suspicious Activity</t>
        </is>
      </c>
      <c r="D8" t="inlineStr">
        <is>
          <t>No</t>
        </is>
      </c>
      <c r="F8" t="inlineStr">
        <is>
          <t>Yes</t>
        </is>
      </c>
      <c r="G8" t="inlineStr">
        <is>
          <t>Architectural infeasibility</t>
        </is>
      </c>
      <c r="H8" t="inlineStr">
        <is>
          <t>Absurd; out of the scope</t>
        </is>
      </c>
    </row>
    <row r="9">
      <c r="B9" t="inlineStr">
        <is>
          <t>L4.2.5</t>
        </is>
      </c>
      <c r="C9" t="inlineStr">
        <is>
          <t>Detection and Notification of Potential Security Breaches</t>
        </is>
      </c>
      <c r="D9" t="inlineStr">
        <is>
          <t>No</t>
        </is>
      </c>
      <c r="F9" t="inlineStr">
        <is>
          <t>Yes</t>
        </is>
      </c>
      <c r="G9" t="inlineStr">
        <is>
          <t>Architectural infeasibility</t>
        </is>
      </c>
      <c r="H9" t="inlineStr">
        <is>
          <t>Absurd; out of the scope</t>
        </is>
      </c>
    </row>
    <row r="10" ht="15" customHeight="1" s="54">
      <c r="A10" s="49" t="inlineStr">
        <is>
          <t>Physical or logical access controls must be implemented to isolate {sensitive applications, data, or systems}.</t>
        </is>
      </c>
      <c r="B10" t="inlineStr">
        <is>
          <t>L4.3.1</t>
        </is>
      </c>
      <c r="C10" t="inlineStr">
        <is>
          <t>Authorized Supply Vehicle Access</t>
        </is>
      </c>
      <c r="D10" t="inlineStr">
        <is>
          <t>No</t>
        </is>
      </c>
      <c r="F10" t="inlineStr">
        <is>
          <t>Yes</t>
        </is>
      </c>
      <c r="G10" t="inlineStr">
        <is>
          <t>Scope misalignment</t>
        </is>
      </c>
      <c r="H10" t="inlineStr">
        <is>
          <t>Factory access is out-of-the-scope of system cybersecurity nfrs</t>
        </is>
      </c>
    </row>
    <row r="11" ht="15" customHeight="1" s="54">
      <c r="B11" t="inlineStr">
        <is>
          <t>L4.3.2</t>
        </is>
      </c>
      <c r="C11" t="inlineStr">
        <is>
          <t>Segregation of Duties for Warehouse Workers</t>
        </is>
      </c>
      <c r="D11" t="inlineStr">
        <is>
          <t>No</t>
        </is>
      </c>
      <c r="F11" t="inlineStr">
        <is>
          <t>Yes</t>
        </is>
      </c>
      <c r="G11" t="inlineStr">
        <is>
          <t>Scope misalignment</t>
        </is>
      </c>
      <c r="H11" t="inlineStr">
        <is>
          <t>Factory access is out-of-the-scope of system cybersecurity nfrs</t>
        </is>
      </c>
    </row>
    <row r="12" ht="15" customHeight="1" s="54">
      <c r="B12" t="inlineStr">
        <is>
          <t>L4.3.3</t>
        </is>
      </c>
      <c r="C12" t="inlineStr">
        <is>
          <t>Controlled Access to Assembly Line</t>
        </is>
      </c>
      <c r="D12" t="inlineStr">
        <is>
          <t>No</t>
        </is>
      </c>
      <c r="F12" t="inlineStr">
        <is>
          <t>Yes</t>
        </is>
      </c>
      <c r="G12" t="inlineStr">
        <is>
          <t>Scope misalignment</t>
        </is>
      </c>
      <c r="H12" t="inlineStr">
        <is>
          <t>Factory access is out-of-the-scope of system cybersecurity nfrs</t>
        </is>
      </c>
    </row>
    <row r="13" ht="15" customHeight="1" s="54">
      <c r="B13" t="inlineStr">
        <is>
          <t>L4.3.4</t>
        </is>
      </c>
      <c r="C13" t="inlineStr">
        <is>
          <t>Secure Storage of Finished Cars</t>
        </is>
      </c>
      <c r="D13" t="inlineStr">
        <is>
          <t>No</t>
        </is>
      </c>
      <c r="F13" t="inlineStr">
        <is>
          <t>Yes</t>
        </is>
      </c>
      <c r="G13" t="inlineStr">
        <is>
          <t>Scope misalignment</t>
        </is>
      </c>
      <c r="H13" t="inlineStr">
        <is>
          <t>Factory access is out-of-the-scope of system cybersecurity nfrs</t>
        </is>
      </c>
    </row>
    <row r="14" ht="15" customHeight="1" s="54">
      <c r="B14" t="inlineStr">
        <is>
          <t>L4.3.5</t>
        </is>
      </c>
      <c r="C14" t="inlineStr">
        <is>
          <t>Restricted Access to Logistics Terminal</t>
        </is>
      </c>
      <c r="D14" t="inlineStr">
        <is>
          <t>No</t>
        </is>
      </c>
      <c r="F14" t="inlineStr">
        <is>
          <t>Yes</t>
        </is>
      </c>
      <c r="G14" t="inlineStr">
        <is>
          <t>Scope misalignment</t>
        </is>
      </c>
      <c r="H14" t="inlineStr">
        <is>
          <t>Factory access is out-of-the-scope of system cybersecurity nfrs</t>
        </is>
      </c>
    </row>
    <row r="15" ht="16.35" customHeight="1" s="54">
      <c r="A15" s="49" t="inlineStr">
        <is>
          <t>{Access to data} must be controlled based on {user identity, group membership, and assigned roles}</t>
        </is>
      </c>
      <c r="B15" t="inlineStr">
        <is>
          <t>L4.4.1</t>
        </is>
      </c>
      <c r="C15" t="inlineStr">
        <is>
          <t>Role-Based Access Control for Logistics and Production Data</t>
        </is>
      </c>
      <c r="D15" t="inlineStr">
        <is>
          <t>Yes</t>
        </is>
      </c>
      <c r="E15" t="inlineStr">
        <is>
          <t>H.4.1; H.4.2; H.4.3; H.4.5; H.4.7</t>
        </is>
      </c>
    </row>
    <row r="16">
      <c r="B16" t="inlineStr">
        <is>
          <t>L4.4.2</t>
        </is>
      </c>
      <c r="C16" t="inlineStr">
        <is>
          <t>Role-Based Access Control for System Administration</t>
        </is>
      </c>
      <c r="D16" t="inlineStr">
        <is>
          <t>No</t>
        </is>
      </c>
      <c r="F16" t="inlineStr">
        <is>
          <t>No</t>
        </is>
      </c>
    </row>
    <row r="17" ht="16.35" customHeight="1" s="54">
      <c r="A17" s="49" t="inlineStr">
        <is>
          <t>The {organization} shall maintain a record of {all privileges allocated}</t>
        </is>
      </c>
      <c r="B17" t="inlineStr">
        <is>
          <t>L4.5.1</t>
        </is>
      </c>
      <c r="C17" t="inlineStr">
        <is>
          <t>Audit Trail of Access Privileges</t>
        </is>
      </c>
      <c r="D17" t="inlineStr">
        <is>
          <t>No</t>
        </is>
      </c>
      <c r="F17" t="inlineStr">
        <is>
          <t>No</t>
        </is>
      </c>
    </row>
    <row r="18" ht="14.25" customHeight="1" s="54">
      <c r="B18" t="inlineStr">
        <is>
          <t>L4.5.2</t>
        </is>
      </c>
      <c r="C18" t="inlineStr">
        <is>
          <t>Access Control for Supply Vehicles</t>
        </is>
      </c>
      <c r="D18" t="inlineStr">
        <is>
          <t>Yes</t>
        </is>
      </c>
      <c r="E18" t="inlineStr">
        <is>
          <t>H.5.1</t>
        </is>
      </c>
    </row>
    <row r="19" ht="14.25" customHeight="1" s="54">
      <c r="B19" t="inlineStr">
        <is>
          <t>L4.5.3</t>
        </is>
      </c>
      <c r="C19" t="inlineStr">
        <is>
          <t>Access Control for Warehouse Workers</t>
        </is>
      </c>
      <c r="D19" t="inlineStr">
        <is>
          <t>Yes</t>
        </is>
      </c>
      <c r="E19" t="inlineStr">
        <is>
          <t>H.5.1</t>
        </is>
      </c>
    </row>
    <row r="20">
      <c r="B20" t="inlineStr">
        <is>
          <t>L4.5.4</t>
        </is>
      </c>
      <c r="C20" t="inlineStr">
        <is>
          <t>Access Control for Employees</t>
        </is>
      </c>
      <c r="D20" t="inlineStr">
        <is>
          <t>Yes</t>
        </is>
      </c>
      <c r="E20" t="inlineStr">
        <is>
          <t>H.5.1</t>
        </is>
      </c>
    </row>
    <row r="21">
      <c r="B21" t="inlineStr">
        <is>
          <t>L4.5.5</t>
        </is>
      </c>
      <c r="C21" t="inlineStr">
        <is>
          <t>Access Control for Shipping Finished Cars</t>
        </is>
      </c>
      <c r="D21" t="inlineStr">
        <is>
          <t>Yes</t>
        </is>
      </c>
      <c r="E21" t="inlineStr">
        <is>
          <t>H.5.1</t>
        </is>
      </c>
    </row>
    <row r="22" ht="15" customHeight="1" s="54">
      <c r="A22" s="44" t="inlineStr">
        <is>
          <t>The {organization} shall regularly review {users} with privileged access rights to ensure that their {duties}, {roles}, {responsibilities}, and {competence} still justify such access</t>
        </is>
      </c>
      <c r="B22" t="inlineStr">
        <is>
          <t>L4.6.1</t>
        </is>
      </c>
      <c r="C22" t="inlineStr">
        <is>
          <t>Regular Review of Privileged Access Rights</t>
        </is>
      </c>
      <c r="D22" t="inlineStr">
        <is>
          <t>Yes</t>
        </is>
      </c>
      <c r="E22" t="inlineStr">
        <is>
          <t>H.6.1</t>
        </is>
      </c>
    </row>
    <row r="23" ht="16.35" customHeight="1" s="54">
      <c r="A23" s="49" t="inlineStr">
        <is>
          <t>{Connection} of {systems} to the {network} must be restricted and filtered, e.g., using firewalls.</t>
        </is>
      </c>
      <c r="B23" t="inlineStr">
        <is>
          <t>L4.7.1</t>
        </is>
      </c>
      <c r="C23" t="inlineStr">
        <is>
          <t>Factory Network Access Restriction</t>
        </is>
      </c>
      <c r="D23" t="inlineStr">
        <is>
          <t>No</t>
        </is>
      </c>
      <c r="F23" t="inlineStr">
        <is>
          <t>No</t>
        </is>
      </c>
    </row>
    <row r="24">
      <c r="B24" t="inlineStr">
        <is>
          <t>L4.7.2</t>
        </is>
      </c>
      <c r="C24" t="inlineStr">
        <is>
          <t>Assembly Line Network Access Restriction</t>
        </is>
      </c>
      <c r="D24" t="inlineStr">
        <is>
          <t>No</t>
        </is>
      </c>
      <c r="F24" t="inlineStr">
        <is>
          <t>Yes</t>
        </is>
      </c>
      <c r="G24" t="inlineStr">
        <is>
          <t>Contextual misfit</t>
        </is>
      </c>
    </row>
    <row r="25">
      <c r="B25" t="inlineStr">
        <is>
          <t>L4.7.3</t>
        </is>
      </c>
      <c r="C25" t="inlineStr">
        <is>
          <t>System Access Role-Based Control</t>
        </is>
      </c>
      <c r="D25" t="inlineStr">
        <is>
          <t>Yes</t>
        </is>
      </c>
      <c r="E25" t="inlineStr">
        <is>
          <t>H.7.1</t>
        </is>
      </c>
      <c r="F25" t="inlineStr">
        <is>
          <t>No</t>
        </is>
      </c>
    </row>
    <row r="26" ht="15" customHeight="1" s="54">
      <c r="A26" s="49" t="inlineStr">
        <is>
          <t>{Network administration channels} must be segregated from {other network traffic}</t>
        </is>
      </c>
      <c r="B26" t="inlineStr">
        <is>
          <t>L4.8.1</t>
        </is>
      </c>
      <c r="C26" t="inlineStr">
        <is>
          <t>Segregation of System Admin Channels</t>
        </is>
      </c>
      <c r="D26" t="inlineStr">
        <is>
          <t>Yes</t>
        </is>
      </c>
      <c r="E26" t="inlineStr">
        <is>
          <t>H.8.1</t>
        </is>
      </c>
    </row>
    <row r="27">
      <c r="B27" t="inlineStr">
        <is>
          <t>L4.8.2</t>
        </is>
      </c>
      <c r="C27" t="inlineStr">
        <is>
          <t>Segregation of Operations Manager Channels</t>
        </is>
      </c>
      <c r="D27" t="inlineStr">
        <is>
          <t>No</t>
        </is>
      </c>
      <c r="F27" t="inlineStr">
        <is>
          <t>Yes</t>
        </is>
      </c>
      <c r="G27" t="inlineStr">
        <is>
          <t>Architectural infeasibility</t>
        </is>
      </c>
      <c r="H27" t="inlineStr">
        <is>
          <t>Excessive</t>
        </is>
      </c>
    </row>
    <row r="28">
      <c r="B28" t="inlineStr">
        <is>
          <t>L4.8.3</t>
        </is>
      </c>
      <c r="C28" t="inlineStr">
        <is>
          <t>Segregation of Security Manager Channels</t>
        </is>
      </c>
      <c r="D28" t="inlineStr">
        <is>
          <t>No</t>
        </is>
      </c>
      <c r="F28" t="inlineStr">
        <is>
          <t>Yes</t>
        </is>
      </c>
      <c r="G28" t="inlineStr">
        <is>
          <t>Architectural infeasibility</t>
        </is>
      </c>
      <c r="H28" t="inlineStr">
        <is>
          <t>Excessive</t>
        </is>
      </c>
    </row>
    <row r="29" ht="16.35" customHeight="1" s="54">
      <c r="A29" s="49" t="inlineStr">
        <is>
          <t>Implement cryptographic measures to safeguard {information stored} on {mobile user} {endpoint devices} or {storage media} and transmitted over {networks}</t>
        </is>
      </c>
      <c r="B29" t="inlineStr">
        <is>
          <t>L4.9.1</t>
        </is>
      </c>
      <c r="C29" t="inlineStr">
        <is>
          <t>Secure Component Identification Data</t>
        </is>
      </c>
      <c r="D29" t="inlineStr">
        <is>
          <t>Yes</t>
        </is>
      </c>
      <c r="E29" t="inlineStr">
        <is>
          <t>H.9.2</t>
        </is>
      </c>
    </row>
    <row r="30">
      <c r="B30" t="inlineStr">
        <is>
          <t>L4.9.2</t>
        </is>
      </c>
      <c r="C30" t="inlineStr">
        <is>
          <t>Protect Finished Car Registry Information</t>
        </is>
      </c>
      <c r="D30" t="inlineStr">
        <is>
          <t>Yes</t>
        </is>
      </c>
      <c r="E30" t="inlineStr">
        <is>
          <t>H.9.1</t>
        </is>
      </c>
    </row>
    <row r="31">
      <c r="B31" t="inlineStr">
        <is>
          <t>L4.9.3</t>
        </is>
      </c>
      <c r="C31" t="inlineStr">
        <is>
          <t>Safeguard Requisition and Purchase Order Data</t>
        </is>
      </c>
      <c r="D31" t="inlineStr">
        <is>
          <t>Yes</t>
        </is>
      </c>
      <c r="E31" t="inlineStr">
        <is>
          <t>H.9.1</t>
        </is>
      </c>
    </row>
    <row r="32">
      <c r="B32" t="inlineStr">
        <is>
          <t>L4.9.4</t>
        </is>
      </c>
      <c r="C32" t="inlineStr">
        <is>
          <t>Secure AIDC Data Transmission</t>
        </is>
      </c>
      <c r="D32" t="inlineStr">
        <is>
          <t>Yes</t>
        </is>
      </c>
      <c r="E32" t="inlineStr">
        <is>
          <t>H.9.3</t>
        </is>
      </c>
    </row>
    <row r="33">
      <c r="B33" t="inlineStr">
        <is>
          <t>L4.9.5</t>
        </is>
      </c>
      <c r="C33" t="inlineStr">
        <is>
          <t>Protect Supply Vehicle and Driver Information</t>
        </is>
      </c>
      <c r="D33" t="inlineStr">
        <is>
          <t>Yes</t>
        </is>
      </c>
      <c r="E33" t="inlineStr">
        <is>
          <t>H.9.1</t>
        </is>
      </c>
    </row>
    <row r="34" ht="16.35" customHeight="1" s="54">
      <c r="A34" s="49" t="inlineStr">
        <is>
          <t>Establish a comprehensive key management system, including procedures for generating and protecting {cryptographic keys} and recovering {encrypted data} in case of lost, compromised, or damaged {keys}</t>
        </is>
      </c>
      <c r="B34" t="inlineStr">
        <is>
          <t>L4.10.1</t>
        </is>
      </c>
      <c r="C34" t="inlineStr">
        <is>
          <t>Comprehensive Key Management for Component Tracking</t>
        </is>
      </c>
      <c r="D34" t="inlineStr">
        <is>
          <t>Yes</t>
        </is>
      </c>
      <c r="E34" t="inlineStr">
        <is>
          <t>H.10.2</t>
        </is>
      </c>
    </row>
    <row r="35">
      <c r="B35" t="inlineStr">
        <is>
          <t>L4.10.2</t>
        </is>
      </c>
      <c r="C35" t="inlineStr">
        <is>
          <t>Secure Key Management for Car Identity and Authentication</t>
        </is>
      </c>
      <c r="D35" t="inlineStr">
        <is>
          <t>No</t>
        </is>
      </c>
      <c r="F35" t="inlineStr">
        <is>
          <t>Yes</t>
        </is>
      </c>
      <c r="G35" t="inlineStr">
        <is>
          <t>Architectural infeasibility</t>
        </is>
      </c>
      <c r="H35" t="inlineStr">
        <is>
          <t>Absurd</t>
        </is>
      </c>
    </row>
    <row r="36">
      <c r="B36" t="inlineStr">
        <is>
          <t>L4.10.3</t>
        </is>
      </c>
      <c r="C36" t="inlineStr">
        <is>
          <t>Key Management for Secure Communication with External Entities</t>
        </is>
      </c>
      <c r="D36" t="inlineStr">
        <is>
          <t>No</t>
        </is>
      </c>
      <c r="F36" t="inlineStr">
        <is>
          <t>Yes</t>
        </is>
      </c>
      <c r="G36" t="inlineStr">
        <is>
          <t>Architectural infeasibility</t>
        </is>
      </c>
      <c r="H36" t="inlineStr">
        <is>
          <t>Absurd</t>
        </is>
      </c>
    </row>
    <row r="37" ht="14.45" customHeight="1" s="54">
      <c r="B37" s="16" t="inlineStr">
        <is>
          <t>Count</t>
        </is>
      </c>
      <c r="C37" s="16" t="inlineStr">
        <is>
          <t>No</t>
        </is>
      </c>
      <c r="D37" s="16">
        <f>COUNTIF(D2:D36,"No")</f>
        <v/>
      </c>
      <c r="E37" s="16" t="inlineStr">
        <is>
          <t>Hallucinations</t>
        </is>
      </c>
      <c r="F37" s="16">
        <f>COUNTIF(F2:F36,"Yes")</f>
        <v/>
      </c>
    </row>
    <row r="38" ht="14.45" customHeight="1" s="54">
      <c r="B38" s="47" t="n"/>
      <c r="C38" s="16" t="inlineStr">
        <is>
          <t>Yes</t>
        </is>
      </c>
      <c r="D38" s="16">
        <f>COUNTIF(D2:D36,"Yes")</f>
        <v/>
      </c>
      <c r="E38" s="16" t="inlineStr">
        <is>
          <t>Partial hallucinations</t>
        </is>
      </c>
      <c r="F38">
        <f>COUNTIFS(D:D,"Partial",F:F,"Yes")</f>
        <v/>
      </c>
    </row>
    <row r="39" ht="14.45" customHeight="1" s="54">
      <c r="B39" s="47" t="n"/>
      <c r="C39" s="16" t="inlineStr">
        <is>
          <t>Partial</t>
        </is>
      </c>
      <c r="D39" s="16">
        <f>COUNTIF(D2:D36,"Partial")</f>
        <v/>
      </c>
      <c r="E39" s="10" t="inlineStr">
        <is>
          <t>Template drift</t>
        </is>
      </c>
      <c r="F39">
        <f>COUNTIF($G$2:$G$36,E39)</f>
        <v/>
      </c>
    </row>
    <row r="40" ht="15" customHeight="1" s="54">
      <c r="E40" s="10" t="inlineStr">
        <is>
          <t>Contextual misfit</t>
        </is>
      </c>
      <c r="F40">
        <f>COUNTIF($G$2:$G$36,E40)</f>
        <v/>
      </c>
    </row>
    <row r="41" ht="15" customHeight="1" s="54">
      <c r="E41" s="10" t="inlineStr">
        <is>
          <t>Scope misalignment</t>
        </is>
      </c>
      <c r="F41">
        <f>COUNTIF($G$2:$G$36,E41)</f>
        <v/>
      </c>
    </row>
    <row r="42" ht="15" customHeight="1" s="54">
      <c r="E42" s="10" t="inlineStr">
        <is>
          <t>Responsibility leakage</t>
        </is>
      </c>
      <c r="F42">
        <f>COUNTIF($G$2:$G$36,E42)</f>
        <v/>
      </c>
    </row>
    <row r="43" ht="15" customHeight="1" s="54">
      <c r="E43" s="10" t="inlineStr">
        <is>
          <t>Architectural infeasibility</t>
        </is>
      </c>
      <c r="F43">
        <f>COUNTIF($G$2:$G$36,E43)</f>
        <v/>
      </c>
    </row>
    <row r="44" ht="15" customHeight="1" s="54"/>
    <row r="45" ht="15" customHeight="1" s="54">
      <c r="E45" s="16" t="inlineStr">
        <is>
          <t>Discoveries</t>
        </is>
      </c>
      <c r="F45" s="16">
        <f>COUNTIF(F2:F36,"No")</f>
        <v/>
      </c>
    </row>
    <row r="73">
      <c r="AA73" t="inlineStr">
        <is>
          <t>G0_ii.10.2</t>
        </is>
      </c>
    </row>
  </sheetData>
  <mergeCells count="9">
    <mergeCell ref="A17:A21"/>
    <mergeCell ref="A26:A28"/>
    <mergeCell ref="A5:A9"/>
    <mergeCell ref="A29:A33"/>
    <mergeCell ref="A34:A36"/>
    <mergeCell ref="A2:A4"/>
    <mergeCell ref="A15:A16"/>
    <mergeCell ref="A10:A14"/>
    <mergeCell ref="A23:A25"/>
  </mergeCells>
  <conditionalFormatting sqref="D2:D36">
    <cfRule type="containsText" priority="10" operator="containsText" dxfId="6" text="Partial">
      <formula>NOT(ISERROR(SEARCH("Partial",D2)))</formula>
    </cfRule>
    <cfRule type="containsText" priority="11" operator="containsText" dxfId="0" text="No">
      <formula>NOT(ISERROR(SEARCH("No",D2)))</formula>
    </cfRule>
    <cfRule type="containsText" priority="12" operator="containsText" dxfId="1" text="Yes">
      <formula>NOT(ISERROR(SEARCH("Yes",D2)))</formula>
    </cfRule>
  </conditionalFormatting>
  <conditionalFormatting sqref="F2:F36">
    <cfRule type="containsText" priority="8" operator="containsText" dxfId="1" text="No">
      <formula>NOT(ISERROR(SEARCH("No",F2)))</formula>
    </cfRule>
    <cfRule type="containsText" priority="9" operator="containsText" dxfId="0" text="Yes">
      <formula>NOT(ISERROR(SEARCH("Yes",F2)))</formula>
    </cfRule>
  </conditionalFormatting>
  <conditionalFormatting sqref="G2:G108">
    <cfRule type="containsText" priority="1" operator="containsText" dxfId="1" text="No">
      <formula>NOT(ISERROR(SEARCH("No",G2)))</formula>
    </cfRule>
    <cfRule type="containsText" priority="2" operator="containsText" dxfId="0" text="Yes">
      <formula>NOT(ISERROR(SEARCH("Yes",G2)))</formula>
    </cfRule>
  </conditionalFormatting>
  <dataValidations count="3">
    <dataValidation sqref="D2:D36" showDropDown="0" showInputMessage="1" showErrorMessage="1" allowBlank="1" type="list" operator="equal">
      <formula1>"Yes,No,Partial"</formula1>
      <formula2>0</formula2>
    </dataValidation>
    <dataValidation sqref="F2:F36" showDropDown="0" showInputMessage="1" showErrorMessage="1" allowBlank="1" type="list" operator="equal">
      <formula1>"Yes,No"</formula1>
      <formula2>0</formula2>
    </dataValidation>
    <dataValidation sqref="G2:G108" showDropDown="0" showInputMessage="1" showErrorMessage="1" allowBlank="1" operator="equal">
      <formula1>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73"/>
  <sheetViews>
    <sheetView zoomScale="85" zoomScaleNormal="85" workbookViewId="0">
      <selection activeCell="E43" sqref="E43:F43"/>
    </sheetView>
  </sheetViews>
  <sheetFormatPr baseColWidth="8" defaultColWidth="9.140625" defaultRowHeight="14.45"/>
  <cols>
    <col width="60.7109375" customWidth="1" style="44" min="1" max="1"/>
    <col width="60.7109375" customWidth="1" style="54" min="3" max="3"/>
    <col width="14.7109375" customWidth="1" style="54" min="4" max="4"/>
    <col width="30.7109375" customWidth="1" style="54" min="5" max="5"/>
    <col width="14.7109375" customWidth="1" style="54" min="6" max="7"/>
    <col width="60.7109375" customWidth="1" style="54" min="8" max="8"/>
  </cols>
  <sheetData>
    <row r="1" customFormat="1" s="53">
      <c r="A1" s="48" t="inlineStr">
        <is>
          <t>Norm</t>
        </is>
      </c>
      <c r="B1" s="53" t="inlineStr">
        <is>
          <t>L5.#</t>
        </is>
      </c>
      <c r="C1" s="53" t="inlineStr">
        <is>
          <t>Automated requirement name</t>
        </is>
      </c>
      <c r="D1" s="53" t="inlineStr">
        <is>
          <t>Present</t>
        </is>
      </c>
      <c r="E1" s="53" t="inlineStr">
        <is>
          <t>Support</t>
        </is>
      </c>
      <c r="F1" s="53" t="inlineStr">
        <is>
          <t>Hallucination</t>
        </is>
      </c>
      <c r="G1" s="53" t="inlineStr">
        <is>
          <t>Hall. Type</t>
        </is>
      </c>
      <c r="H1" s="53" t="inlineStr">
        <is>
          <t>Rationale</t>
        </is>
      </c>
    </row>
    <row r="2" ht="15" customHeight="1" s="54">
      <c r="A2" s="49" t="inlineStr">
        <is>
          <t>Help messages during the {log-on procedure} must not aid an unauthorized user, e.g., by indicating which {parts of the data} are correct or incorrect</t>
        </is>
      </c>
      <c r="B2" t="inlineStr">
        <is>
          <t>L5.1.1</t>
        </is>
      </c>
      <c r="C2" t="inlineStr">
        <is>
          <t>Secure Log-on Feedback</t>
        </is>
      </c>
      <c r="D2" t="inlineStr">
        <is>
          <t>Yes</t>
        </is>
      </c>
      <c r="E2" t="inlineStr">
        <is>
          <t>H.1.1</t>
        </is>
      </c>
    </row>
    <row r="3" ht="15" customHeight="1" s="54">
      <c r="B3" t="inlineStr">
        <is>
          <t>L5.1.2</t>
        </is>
      </c>
      <c r="C3" t="inlineStr">
        <is>
          <t>Prevention of Unauthorized System Access</t>
        </is>
      </c>
      <c r="D3" t="inlineStr">
        <is>
          <t>Yes</t>
        </is>
      </c>
      <c r="E3" t="inlineStr">
        <is>
          <t>H.1.1</t>
        </is>
      </c>
    </row>
    <row r="4" ht="15" customHeight="1" s="54">
      <c r="B4" t="inlineStr">
        <is>
          <t>L5.1.3</t>
        </is>
      </c>
      <c r="C4" t="inlineStr">
        <is>
          <t>Protection of Employee Credentials</t>
        </is>
      </c>
      <c r="D4" t="inlineStr">
        <is>
          <t>Yes</t>
        </is>
      </c>
      <c r="E4" t="inlineStr">
        <is>
          <t>H.1.1</t>
        </is>
      </c>
    </row>
    <row r="5" ht="16.35" customHeight="1" s="54">
      <c r="A5" s="49" t="inlineStr">
        <is>
          <t>A security incident must be raised if a potential attempted or successful breach of {log-on controls} is detected, and, when the risk of the incident warrants it, the account shall be temporarily restricted, plus an alert shall be sent to the {account owner}, and to the {organization's system administrators}.</t>
        </is>
      </c>
      <c r="B5" t="inlineStr">
        <is>
          <t>L5.2.1</t>
        </is>
      </c>
      <c r="C5" t="inlineStr">
        <is>
          <t>Access Gate Breach Detection and Alert</t>
        </is>
      </c>
      <c r="D5" t="inlineStr">
        <is>
          <t>Yes</t>
        </is>
      </c>
      <c r="E5" t="inlineStr">
        <is>
          <t>H.2.1</t>
        </is>
      </c>
    </row>
    <row r="6">
      <c r="B6" t="inlineStr">
        <is>
          <t>L5.2.2</t>
        </is>
      </c>
      <c r="C6" t="inlineStr">
        <is>
          <t>System Log-on Breach Detection and Alert</t>
        </is>
      </c>
      <c r="D6" t="inlineStr">
        <is>
          <t>Yes</t>
        </is>
      </c>
      <c r="E6" t="inlineStr">
        <is>
          <t>H.2.1</t>
        </is>
      </c>
    </row>
    <row r="7" ht="15" customHeight="1" s="54">
      <c r="A7" s="49" t="inlineStr">
        <is>
          <t>Physical or logical access controls must be implemented to isolate {sensitive applications, data, or systems}.</t>
        </is>
      </c>
      <c r="B7" t="inlineStr">
        <is>
          <t>L5.3.1</t>
        </is>
      </c>
      <c r="C7" t="inlineStr">
        <is>
          <t>Isolation of Sensitive Factory Systems</t>
        </is>
      </c>
      <c r="D7" t="inlineStr">
        <is>
          <t>Yes</t>
        </is>
      </c>
      <c r="E7" t="inlineStr">
        <is>
          <t>H.3.1; H.3.5</t>
        </is>
      </c>
    </row>
    <row r="8" ht="15" customHeight="1" s="54">
      <c r="B8" t="inlineStr">
        <is>
          <t>L5.3.2</t>
        </is>
      </c>
      <c r="C8" t="inlineStr">
        <is>
          <t>Access Control for Requisitions Data Store</t>
        </is>
      </c>
      <c r="D8" t="inlineStr">
        <is>
          <t>Yes</t>
        </is>
      </c>
      <c r="E8" t="inlineStr">
        <is>
          <t>H.3.1</t>
        </is>
      </c>
    </row>
    <row r="9" ht="15" customHeight="1" s="54">
      <c r="B9" t="inlineStr">
        <is>
          <t>L5.3.3</t>
        </is>
      </c>
      <c r="C9" t="inlineStr">
        <is>
          <t>Production Plan Data Store Isolation</t>
        </is>
      </c>
      <c r="D9" t="inlineStr">
        <is>
          <t>Yes</t>
        </is>
      </c>
      <c r="E9" t="inlineStr">
        <is>
          <t>H.3.1</t>
        </is>
      </c>
    </row>
    <row r="10" ht="15" customHeight="1" s="54">
      <c r="B10" t="inlineStr">
        <is>
          <t>L5.3.4</t>
        </is>
      </c>
      <c r="C10" t="inlineStr">
        <is>
          <t>Finished Car Registry Access Control</t>
        </is>
      </c>
      <c r="D10" t="inlineStr">
        <is>
          <t>Yes</t>
        </is>
      </c>
      <c r="E10" t="inlineStr">
        <is>
          <t>H.3.1</t>
        </is>
      </c>
    </row>
    <row r="11" ht="16.35" customHeight="1" s="54">
      <c r="A11" s="49" t="inlineStr">
        <is>
          <t>{Access to data} must be controlled based on {user identity, group membership, and assigned roles}</t>
        </is>
      </c>
      <c r="B11" t="inlineStr">
        <is>
          <t>L5.4.1</t>
        </is>
      </c>
      <c r="C11" t="inlineStr">
        <is>
          <t>Role-Based Access Control</t>
        </is>
      </c>
      <c r="D11" t="inlineStr">
        <is>
          <t>Yes</t>
        </is>
      </c>
      <c r="E11" t="inlineStr">
        <is>
          <t>H.4.7</t>
        </is>
      </c>
    </row>
    <row r="12" ht="14.25" customHeight="1" s="54">
      <c r="B12" t="inlineStr">
        <is>
          <t>L5.4.2</t>
        </is>
      </c>
      <c r="C12" t="inlineStr">
        <is>
          <t>Warehouse Inventory Access Control</t>
        </is>
      </c>
      <c r="D12" t="inlineStr">
        <is>
          <t>Yes</t>
        </is>
      </c>
      <c r="E12" t="inlineStr">
        <is>
          <t>H.4.5</t>
        </is>
      </c>
    </row>
    <row r="13" ht="14.25" customHeight="1" s="54">
      <c r="B13" t="inlineStr">
        <is>
          <t>L5.4.3</t>
        </is>
      </c>
      <c r="C13" t="inlineStr">
        <is>
          <t>Production Plan Data Store Access Control</t>
        </is>
      </c>
      <c r="D13" t="inlineStr">
        <is>
          <t>No</t>
        </is>
      </c>
      <c r="F13" t="inlineStr">
        <is>
          <t>No</t>
        </is>
      </c>
    </row>
    <row r="14" ht="14.25" customHeight="1" s="54">
      <c r="B14" t="inlineStr">
        <is>
          <t>L5.4.4</t>
        </is>
      </c>
      <c r="C14" t="inlineStr">
        <is>
          <t>Finished Car Registry Access Control</t>
        </is>
      </c>
      <c r="D14" t="inlineStr">
        <is>
          <t>Yes</t>
        </is>
      </c>
      <c r="E14" t="inlineStr">
        <is>
          <t>H.4.3</t>
        </is>
      </c>
    </row>
    <row r="15" ht="14.25" customHeight="1" s="54">
      <c r="B15" t="inlineStr">
        <is>
          <t>L5.4.5</t>
        </is>
      </c>
      <c r="C15" t="inlineStr">
        <is>
          <t>Requisitions Data Store Access Control</t>
        </is>
      </c>
      <c r="D15" t="inlineStr">
        <is>
          <t>Yes</t>
        </is>
      </c>
      <c r="E15" t="inlineStr">
        <is>
          <t>H.4.2</t>
        </is>
      </c>
    </row>
    <row r="16">
      <c r="B16" t="inlineStr">
        <is>
          <t>L5.4.6</t>
        </is>
      </c>
      <c r="C16" t="inlineStr">
        <is>
          <t>Logistics Terminal Car Registry Access Control</t>
        </is>
      </c>
      <c r="D16" t="inlineStr">
        <is>
          <t>No</t>
        </is>
      </c>
      <c r="F16" t="inlineStr">
        <is>
          <t>No</t>
        </is>
      </c>
    </row>
    <row r="17">
      <c r="B17" t="inlineStr">
        <is>
          <t>L5.4.7</t>
        </is>
      </c>
      <c r="C17" t="inlineStr">
        <is>
          <t>Purchase Order and Transport Order Data Stores Access Control</t>
        </is>
      </c>
      <c r="D17" t="inlineStr">
        <is>
          <t>Yes</t>
        </is>
      </c>
      <c r="E17" t="inlineStr">
        <is>
          <t>H.4.3</t>
        </is>
      </c>
    </row>
    <row r="18" ht="16.35" customHeight="1" s="54">
      <c r="A18" s="49" t="inlineStr">
        <is>
          <t>The {organization} shall maintain a record of {all privileges allocated}</t>
        </is>
      </c>
      <c r="B18" t="inlineStr">
        <is>
          <t>L5.5.1</t>
        </is>
      </c>
      <c r="C18" t="inlineStr">
        <is>
          <t>Comprehensive Privilege Allocation Record</t>
        </is>
      </c>
      <c r="D18" t="inlineStr">
        <is>
          <t>Yes</t>
        </is>
      </c>
      <c r="E18" t="inlineStr">
        <is>
          <t>H.5.1</t>
        </is>
      </c>
    </row>
    <row r="19">
      <c r="B19" t="inlineStr">
        <is>
          <t>L5.5.2</t>
        </is>
      </c>
      <c r="C19" t="inlineStr">
        <is>
          <t>Employee Access Privilege Registry</t>
        </is>
      </c>
      <c r="D19" t="inlineStr">
        <is>
          <t>Partial</t>
        </is>
      </c>
      <c r="E19" t="inlineStr">
        <is>
          <t>H.5.2</t>
        </is>
      </c>
      <c r="F19" t="inlineStr">
        <is>
          <t>No</t>
        </is>
      </c>
    </row>
    <row r="20">
      <c r="B20" t="inlineStr">
        <is>
          <t>L5.5.3</t>
        </is>
      </c>
      <c r="C20" t="inlineStr">
        <is>
          <t>Role-Based Privilege Allocation Log</t>
        </is>
      </c>
      <c r="D20" t="inlineStr">
        <is>
          <t>Yes</t>
        </is>
      </c>
      <c r="E20" t="inlineStr">
        <is>
          <t>H.5.1</t>
        </is>
      </c>
    </row>
    <row r="21">
      <c r="B21" t="inlineStr">
        <is>
          <t>L5.5.4</t>
        </is>
      </c>
      <c r="C21" t="inlineStr">
        <is>
          <t>Access Control and Authorization</t>
        </is>
      </c>
      <c r="D21" t="inlineStr">
        <is>
          <t>No</t>
        </is>
      </c>
      <c r="F21" t="inlineStr">
        <is>
          <t>Yes</t>
        </is>
      </c>
      <c r="G21" t="inlineStr">
        <is>
          <t>Scope misalignment</t>
        </is>
      </c>
      <c r="H21" t="inlineStr">
        <is>
          <t>Out of the scope of the system</t>
        </is>
      </c>
    </row>
    <row r="22">
      <c r="B22" t="inlineStr">
        <is>
          <t>L5.5.5</t>
        </is>
      </c>
      <c r="C22" t="inlineStr">
        <is>
          <t>Audit and Compliance</t>
        </is>
      </c>
      <c r="D22" t="inlineStr">
        <is>
          <t>No</t>
        </is>
      </c>
      <c r="F22" t="inlineStr">
        <is>
          <t>Yes</t>
        </is>
      </c>
      <c r="G22" t="inlineStr">
        <is>
          <t>Template drift</t>
        </is>
      </c>
      <c r="H22" t="inlineStr">
        <is>
          <t>Says nothing</t>
        </is>
      </c>
    </row>
    <row r="23" ht="14.25" customHeight="1" s="54">
      <c r="A23" s="44" t="inlineStr">
        <is>
          <t>The {organization} shall regularly review {users} with privileged access rights to ensure that their {duties}, {roles}, {responsibilities}, and {competence} still justify such access</t>
        </is>
      </c>
      <c r="B23" t="inlineStr">
        <is>
          <t>L5.6.1</t>
        </is>
      </c>
      <c r="C23" t="inlineStr">
        <is>
          <t>Privileged Access Review for Car Manufacturer Employees</t>
        </is>
      </c>
      <c r="D23" t="inlineStr">
        <is>
          <t>Yes</t>
        </is>
      </c>
      <c r="E23" t="inlineStr">
        <is>
          <t>H.6.1</t>
        </is>
      </c>
    </row>
    <row r="24" ht="14.25" customHeight="1" s="54">
      <c r="B24" t="inlineStr">
        <is>
          <t>L5.6.2</t>
        </is>
      </c>
      <c r="C24" t="inlineStr">
        <is>
          <t>Role-Based Privileged Access Validation for Warehouse and Plant Managers</t>
        </is>
      </c>
      <c r="D24" t="inlineStr">
        <is>
          <t>Yes</t>
        </is>
      </c>
      <c r="E24" t="inlineStr">
        <is>
          <t>H.6.1</t>
        </is>
      </c>
    </row>
    <row r="25">
      <c r="B25" t="inlineStr">
        <is>
          <t>L5.6.3</t>
        </is>
      </c>
      <c r="C25" t="inlineStr">
        <is>
          <t>Periodic Assessment of Privileged Access for Logistics and Shipping Personnel</t>
        </is>
      </c>
      <c r="D25" t="inlineStr">
        <is>
          <t>Yes</t>
        </is>
      </c>
      <c r="E25" t="inlineStr">
        <is>
          <t>H.6.1</t>
        </is>
      </c>
    </row>
    <row r="26" ht="16.35" customHeight="1" s="54">
      <c r="A26" s="49" t="inlineStr">
        <is>
          <t>{Connection} of {systems} to the {network} must be restricted and filtered, e.g., using firewalls.</t>
        </is>
      </c>
      <c r="B26" t="inlineStr">
        <is>
          <t>L5.7.1</t>
        </is>
      </c>
      <c r="C26" t="inlineStr">
        <is>
          <t>Restricted Connection to Factory Network</t>
        </is>
      </c>
      <c r="D26" t="inlineStr">
        <is>
          <t>No</t>
        </is>
      </c>
      <c r="F26" t="inlineStr">
        <is>
          <t>No</t>
        </is>
      </c>
    </row>
    <row r="27">
      <c r="B27" t="inlineStr">
        <is>
          <t>L5.7.2</t>
        </is>
      </c>
      <c r="C27" t="inlineStr">
        <is>
          <t>Secure IoT Middleware Connection</t>
        </is>
      </c>
      <c r="D27" t="inlineStr">
        <is>
          <t>No</t>
        </is>
      </c>
      <c r="F27" t="inlineStr">
        <is>
          <t>No</t>
        </is>
      </c>
    </row>
    <row r="28">
      <c r="B28" t="inlineStr">
        <is>
          <t>L5.7.3</t>
        </is>
      </c>
      <c r="C28" t="inlineStr">
        <is>
          <t>Filtered Front-end Application Access</t>
        </is>
      </c>
      <c r="D28" t="inlineStr">
        <is>
          <t>No</t>
        </is>
      </c>
      <c r="F28" t="inlineStr">
        <is>
          <t>Yes</t>
        </is>
      </c>
      <c r="G28" t="inlineStr">
        <is>
          <t>Architectural infeasibility</t>
        </is>
      </c>
      <c r="H28" t="inlineStr">
        <is>
          <t>Absurd</t>
        </is>
      </c>
    </row>
    <row r="29" ht="15" customHeight="1" s="54">
      <c r="A29" s="49" t="inlineStr">
        <is>
          <t>{Network administration channels} must be segregated from {other network traffic}</t>
        </is>
      </c>
      <c r="B29" t="inlineStr">
        <is>
          <t>L5.8.1</t>
        </is>
      </c>
      <c r="C29" t="inlineStr">
        <is>
          <t>Segregation of Network Administration Channels</t>
        </is>
      </c>
      <c r="D29" t="inlineStr">
        <is>
          <t>Yes</t>
        </is>
      </c>
      <c r="E29" t="inlineStr">
        <is>
          <t>H.8.1</t>
        </is>
      </c>
    </row>
    <row r="30">
      <c r="B30" t="inlineStr">
        <is>
          <t>L5.8.2</t>
        </is>
      </c>
      <c r="C30" t="inlineStr">
        <is>
          <t>Segregation of System Admin Channels</t>
        </is>
      </c>
      <c r="D30" t="inlineStr">
        <is>
          <t>No</t>
        </is>
      </c>
      <c r="F30" t="inlineStr">
        <is>
          <t>Yes</t>
        </is>
      </c>
      <c r="G30" t="inlineStr">
        <is>
          <t>Architectural infeasibility</t>
        </is>
      </c>
      <c r="H30" t="inlineStr">
        <is>
          <t>Excessive</t>
        </is>
      </c>
    </row>
    <row r="31">
      <c r="B31" t="inlineStr">
        <is>
          <t>L5.8.3</t>
        </is>
      </c>
      <c r="C31" t="inlineStr">
        <is>
          <t>Segregation of Security Manager Channels</t>
        </is>
      </c>
      <c r="D31" t="inlineStr">
        <is>
          <t>No</t>
        </is>
      </c>
      <c r="F31" t="inlineStr">
        <is>
          <t>Yes</t>
        </is>
      </c>
      <c r="G31" t="inlineStr">
        <is>
          <t>Architectural infeasibility</t>
        </is>
      </c>
      <c r="H31" t="inlineStr">
        <is>
          <t>Excessive</t>
        </is>
      </c>
    </row>
    <row r="32">
      <c r="B32" t="inlineStr">
        <is>
          <t>L5.8.4</t>
        </is>
      </c>
      <c r="C32" t="inlineStr">
        <is>
          <t>Segregation of Operations Manager Channels</t>
        </is>
      </c>
      <c r="D32" t="inlineStr">
        <is>
          <t>No</t>
        </is>
      </c>
      <c r="F32" t="inlineStr">
        <is>
          <t>Yes</t>
        </is>
      </c>
      <c r="G32" t="inlineStr">
        <is>
          <t>Architectural infeasibility</t>
        </is>
      </c>
      <c r="H32" t="inlineStr">
        <is>
          <t>Excessive</t>
        </is>
      </c>
    </row>
    <row r="33" ht="16.35" customHeight="1" s="54">
      <c r="A33" s="49" t="inlineStr">
        <is>
          <t>Implement cryptographic measures to safeguard {information stored} on {mobile user} {endpoint devices} or {storage media} and transmitted over {networks}</t>
        </is>
      </c>
      <c r="B33" t="inlineStr">
        <is>
          <t>L5.9.1</t>
        </is>
      </c>
      <c r="C33" t="inlineStr">
        <is>
          <t>Cryptographic Protection of Handheld Device Data</t>
        </is>
      </c>
      <c r="D33" t="inlineStr">
        <is>
          <t>Yes</t>
        </is>
      </c>
      <c r="E33" t="inlineStr">
        <is>
          <t>H.9.1</t>
        </is>
      </c>
    </row>
    <row r="34">
      <c r="B34" t="inlineStr">
        <is>
          <t>L5.9.2</t>
        </is>
      </c>
      <c r="C34" t="inlineStr">
        <is>
          <t>Secure Data Transmission over Factory Networks</t>
        </is>
      </c>
      <c r="D34" t="inlineStr">
        <is>
          <t>Yes</t>
        </is>
      </c>
      <c r="E34" t="inlineStr">
        <is>
          <t>H.9.3</t>
        </is>
      </c>
    </row>
    <row r="35">
      <c r="B35" t="inlineStr">
        <is>
          <t>L5.9.3</t>
        </is>
      </c>
      <c r="C35" t="inlineStr">
        <is>
          <t>Encryption of Data in Factory Datastores</t>
        </is>
      </c>
      <c r="D35" t="inlineStr">
        <is>
          <t>Yes</t>
        </is>
      </c>
      <c r="E35" t="inlineStr">
        <is>
          <t>H.9.1</t>
        </is>
      </c>
    </row>
    <row r="36">
      <c r="B36" t="inlineStr">
        <is>
          <t>L5.9.4</t>
        </is>
      </c>
      <c r="C36" t="inlineStr">
        <is>
          <t>Cryptographic Protection of Finished Car Registry Data</t>
        </is>
      </c>
      <c r="D36" t="inlineStr">
        <is>
          <t>Yes</t>
        </is>
      </c>
      <c r="E36" t="inlineStr">
        <is>
          <t>H.9.1</t>
        </is>
      </c>
    </row>
    <row r="37">
      <c r="B37" t="inlineStr">
        <is>
          <t>L5.9.5</t>
        </is>
      </c>
      <c r="C37" t="inlineStr">
        <is>
          <t>Secure Data Storage on Endpoint Devices</t>
        </is>
      </c>
      <c r="D37" t="inlineStr">
        <is>
          <t>No</t>
        </is>
      </c>
      <c r="F37" t="inlineStr">
        <is>
          <t>No</t>
        </is>
      </c>
    </row>
    <row r="38" ht="14.25" customHeight="1" s="54">
      <c r="A38" s="49" t="inlineStr">
        <is>
          <t>Establish a comprehensive key management system, including procedures for generating and protecting {cryptographic keys} and recovering {encrypted data} in case of lost, compromised, or damaged {keys}</t>
        </is>
      </c>
      <c r="B38" t="inlineStr">
        <is>
          <t>L5.10.1</t>
        </is>
      </c>
      <c r="C38" t="inlineStr">
        <is>
          <t>Comprehensive Key Management System</t>
        </is>
      </c>
      <c r="D38" t="inlineStr">
        <is>
          <t>Yes</t>
        </is>
      </c>
      <c r="E38" t="inlineStr">
        <is>
          <t>H.10.2</t>
        </is>
      </c>
    </row>
    <row r="39" ht="14.25" customHeight="1" s="54">
      <c r="B39" t="inlineStr">
        <is>
          <t>L5.10.2</t>
        </is>
      </c>
      <c r="C39" t="inlineStr">
        <is>
          <t>Secure Key Generation and Protection</t>
        </is>
      </c>
      <c r="D39" t="inlineStr">
        <is>
          <t>Yes</t>
        </is>
      </c>
      <c r="E39" t="inlineStr">
        <is>
          <t>H.10.3</t>
        </is>
      </c>
    </row>
    <row r="40">
      <c r="B40" t="inlineStr">
        <is>
          <t>L5.10.3</t>
        </is>
      </c>
      <c r="C40" t="inlineStr">
        <is>
          <t>Encrypted Data Recovery</t>
        </is>
      </c>
      <c r="D40" t="inlineStr">
        <is>
          <t>No</t>
        </is>
      </c>
      <c r="F40" t="inlineStr">
        <is>
          <t>No</t>
        </is>
      </c>
    </row>
    <row r="41">
      <c r="B41" t="inlineStr">
        <is>
          <t>L5.10.4</t>
        </is>
      </c>
      <c r="C41" t="inlineStr">
        <is>
          <t>Key Management System Integration</t>
        </is>
      </c>
      <c r="D41" t="inlineStr">
        <is>
          <t>Yes</t>
        </is>
      </c>
      <c r="E41" t="inlineStr">
        <is>
          <t>H.10.2</t>
        </is>
      </c>
    </row>
    <row r="42" ht="14.45" customHeight="1" s="54">
      <c r="B42" s="16" t="inlineStr">
        <is>
          <t>Count</t>
        </is>
      </c>
      <c r="C42" s="16" t="inlineStr">
        <is>
          <t>No</t>
        </is>
      </c>
      <c r="D42" s="16">
        <f>COUNTIF(D2:D41,"No")</f>
        <v/>
      </c>
      <c r="E42" s="16" t="inlineStr">
        <is>
          <t>Hallucinations</t>
        </is>
      </c>
      <c r="F42" s="16">
        <f>COUNTIF(F2:F41,"Yes")</f>
        <v/>
      </c>
    </row>
    <row r="43" ht="14.45" customHeight="1" s="54">
      <c r="B43" s="47" t="n"/>
      <c r="C43" s="16" t="inlineStr">
        <is>
          <t>Yes</t>
        </is>
      </c>
      <c r="D43" s="16">
        <f>COUNTIF(D2:D41,"Yes")</f>
        <v/>
      </c>
      <c r="E43" s="16" t="inlineStr">
        <is>
          <t>Partial hallucinations</t>
        </is>
      </c>
      <c r="F43">
        <f>COUNTIFS(D:D,"Partial",F:F,"Yes")</f>
        <v/>
      </c>
    </row>
    <row r="44" ht="14.45" customHeight="1" s="54">
      <c r="B44" s="47" t="n"/>
      <c r="C44" s="16" t="inlineStr">
        <is>
          <t>Partial</t>
        </is>
      </c>
      <c r="D44" s="16">
        <f>COUNTIF(D2:D41,"Partial")</f>
        <v/>
      </c>
      <c r="E44" s="10" t="inlineStr">
        <is>
          <t>Template drift</t>
        </is>
      </c>
      <c r="F44">
        <f>COUNTIF($G$2:$G$41,E44)</f>
        <v/>
      </c>
    </row>
    <row r="45" ht="15" customHeight="1" s="54">
      <c r="E45" s="10" t="inlineStr">
        <is>
          <t>Contextual misfit</t>
        </is>
      </c>
      <c r="F45">
        <f>COUNTIF($G$2:$G$41,E45)</f>
        <v/>
      </c>
    </row>
    <row r="46" ht="15" customHeight="1" s="54">
      <c r="E46" s="10" t="inlineStr">
        <is>
          <t>Scope misalignment</t>
        </is>
      </c>
      <c r="F46">
        <f>COUNTIF($G$2:$G$41,E46)</f>
        <v/>
      </c>
    </row>
    <row r="47" ht="15" customHeight="1" s="54">
      <c r="E47" s="10" t="inlineStr">
        <is>
          <t>Responsibility leakage</t>
        </is>
      </c>
      <c r="F47">
        <f>COUNTIF($G$2:$G$41,E47)</f>
        <v/>
      </c>
    </row>
    <row r="48" ht="15" customHeight="1" s="54">
      <c r="E48" s="10" t="inlineStr">
        <is>
          <t>Architectural infeasibility</t>
        </is>
      </c>
      <c r="F48">
        <f>COUNTIF($G$2:$G$41,E48)</f>
        <v/>
      </c>
    </row>
    <row r="49" ht="15" customHeight="1" s="54"/>
    <row r="50" ht="15" customHeight="1" s="54">
      <c r="E50" s="16" t="inlineStr">
        <is>
          <t>Discoveries</t>
        </is>
      </c>
      <c r="F50" s="16">
        <f>COUNTIF(F2:F41,"No")</f>
        <v/>
      </c>
    </row>
    <row r="73">
      <c r="AA73" t="inlineStr">
        <is>
          <t>G0_ii.10.2</t>
        </is>
      </c>
    </row>
  </sheetData>
  <mergeCells count="10">
    <mergeCell ref="A5:A6"/>
    <mergeCell ref="A18:A22"/>
    <mergeCell ref="A26:A28"/>
    <mergeCell ref="A7:A10"/>
    <mergeCell ref="A2:A4"/>
    <mergeCell ref="A38:A41"/>
    <mergeCell ref="A23:A25"/>
    <mergeCell ref="A29:A32"/>
    <mergeCell ref="A33:A37"/>
    <mergeCell ref="A11:A17"/>
  </mergeCells>
  <conditionalFormatting sqref="D2:D41">
    <cfRule type="containsText" priority="2" operator="containsText" dxfId="6" text="Partial">
      <formula>NOT(ISERROR(SEARCH("Partial",D2)))</formula>
    </cfRule>
    <cfRule type="containsText" priority="3" operator="containsText" dxfId="0" text="No">
      <formula>NOT(ISERROR(SEARCH("No",D2)))</formula>
    </cfRule>
    <cfRule type="containsText" priority="4" operator="containsText" dxfId="1" text="Yes">
      <formula>NOT(ISERROR(SEARCH("Yes",D2)))</formula>
    </cfRule>
  </conditionalFormatting>
  <conditionalFormatting sqref="F2:F41">
    <cfRule type="containsText" priority="5" operator="containsText" dxfId="1" text="No">
      <formula>NOT(ISERROR(SEARCH("No",F2)))</formula>
    </cfRule>
    <cfRule type="containsText" priority="6" operator="containsText" dxfId="0" text="Yes">
      <formula>NOT(ISERROR(SEARCH("Yes",F2)))</formula>
    </cfRule>
  </conditionalFormatting>
  <conditionalFormatting sqref="G2:G21 G23:G108">
    <cfRule type="containsText" priority="7" operator="containsText" dxfId="1" text="No">
      <formula>NOT(ISERROR(SEARCH("No",G2)))</formula>
    </cfRule>
    <cfRule type="containsText" priority="8" operator="containsText" dxfId="0" text="Yes">
      <formula>NOT(ISERROR(SEARCH("Yes",G2)))</formula>
    </cfRule>
  </conditionalFormatting>
  <dataValidations count="3">
    <dataValidation sqref="D2:D41" showDropDown="0" showInputMessage="1" showErrorMessage="1" allowBlank="1" type="list" operator="equal">
      <formula1>"Yes,No,Partial"</formula1>
      <formula2>0</formula2>
    </dataValidation>
    <dataValidation sqref="F2:F41" showDropDown="0" showInputMessage="1" showErrorMessage="1" allowBlank="1" type="list" operator="equal">
      <formula1>"Yes,No"</formula1>
      <formula2>0</formula2>
    </dataValidation>
    <dataValidation sqref="G2:G21 G23:G108" showDropDown="0" showInputMessage="1" showErrorMessage="1" allowBlank="1" operator="equal">
      <formula1>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73"/>
  <sheetViews>
    <sheetView topLeftCell="A16" zoomScale="85" zoomScaleNormal="85" workbookViewId="0">
      <selection activeCell="E46" sqref="E46:F46"/>
    </sheetView>
  </sheetViews>
  <sheetFormatPr baseColWidth="8" defaultColWidth="9.140625" defaultRowHeight="14.45"/>
  <cols>
    <col width="60.7109375" customWidth="1" style="44" min="1" max="1"/>
    <col width="60.7109375" customWidth="1" style="54" min="3" max="3"/>
    <col width="14.7109375" customWidth="1" style="54" min="4" max="4"/>
    <col width="30.7109375" customWidth="1" style="54" min="5" max="5"/>
    <col width="14.7109375" customWidth="1" style="54" min="6" max="7"/>
    <col width="60.7109375" customWidth="1" style="54" min="8" max="8"/>
  </cols>
  <sheetData>
    <row r="1" customFormat="1" s="53">
      <c r="A1" s="53" t="inlineStr">
        <is>
          <t>Norm</t>
        </is>
      </c>
      <c r="B1" s="53" t="inlineStr">
        <is>
          <t>L0a.#</t>
        </is>
      </c>
      <c r="C1" s="53" t="inlineStr">
        <is>
          <t>Automated requirement name</t>
        </is>
      </c>
      <c r="D1" s="53" t="inlineStr">
        <is>
          <t>Present</t>
        </is>
      </c>
      <c r="E1" s="53" t="inlineStr">
        <is>
          <t>Support</t>
        </is>
      </c>
      <c r="F1" s="53" t="inlineStr">
        <is>
          <t>Hallucination</t>
        </is>
      </c>
      <c r="G1" s="53" t="inlineStr">
        <is>
          <t>Hall. Type</t>
        </is>
      </c>
      <c r="H1" s="53" t="inlineStr">
        <is>
          <t>Rationale</t>
        </is>
      </c>
    </row>
    <row r="2" ht="15" customHeight="1" s="54">
      <c r="A2" s="49" t="inlineStr">
        <is>
          <t>Help messages during the {log-on procedure} must not aid an unauthorized user, e.g., by indicating which {parts of the data} are correct or incorrect</t>
        </is>
      </c>
      <c r="B2" t="inlineStr">
        <is>
          <t>L0a.1.1</t>
        </is>
      </c>
      <c r="C2" t="inlineStr">
        <is>
          <t>Secure Log-on Feedback</t>
        </is>
      </c>
      <c r="D2" t="inlineStr">
        <is>
          <t>Yes</t>
        </is>
      </c>
      <c r="E2" t="inlineStr">
        <is>
          <t>H.1.1</t>
        </is>
      </c>
    </row>
    <row r="3" ht="15" customHeight="1" s="54">
      <c r="B3" t="inlineStr">
        <is>
          <t>L0a.1.2</t>
        </is>
      </c>
      <c r="C3" t="inlineStr">
        <is>
          <t>Access Control Manager Log-on Security</t>
        </is>
      </c>
      <c r="D3" t="inlineStr">
        <is>
          <t>Yes</t>
        </is>
      </c>
      <c r="E3" t="inlineStr">
        <is>
          <t>H.1.1</t>
        </is>
      </c>
    </row>
    <row r="4" ht="15" customHeight="1" s="54">
      <c r="B4" t="inlineStr">
        <is>
          <t>L0a.1.3</t>
        </is>
      </c>
      <c r="C4" t="inlineStr">
        <is>
          <t>System Admin Log-on Protection</t>
        </is>
      </c>
      <c r="D4" t="inlineStr">
        <is>
          <t>Yes</t>
        </is>
      </c>
      <c r="E4" t="inlineStr">
        <is>
          <t>H.1.1</t>
        </is>
      </c>
    </row>
    <row r="5" ht="15" customHeight="1" s="54">
      <c r="B5" t="inlineStr">
        <is>
          <t>L0a.1.4</t>
        </is>
      </c>
      <c r="C5" t="inlineStr">
        <is>
          <t>Secure User Management</t>
        </is>
      </c>
      <c r="D5" t="inlineStr">
        <is>
          <t>No</t>
        </is>
      </c>
      <c r="F5" t="inlineStr">
        <is>
          <t>Yes</t>
        </is>
      </c>
      <c r="G5" t="inlineStr">
        <is>
          <t>Template drift</t>
        </is>
      </c>
      <c r="H5" t="inlineStr">
        <is>
          <t>Unrelated</t>
        </is>
      </c>
    </row>
    <row r="6" ht="15" customHeight="1" s="54">
      <c r="A6" s="49" t="inlineStr">
        <is>
          <t>A security incident must be raised if a potential attempted or successful breach of {log-on controls} is detected, and, when the risk of the incident warrants it, the account shall be temporarily restricted, plus an alert shall be sent to the {account owner}, and to the {organization's system administrators}.</t>
        </is>
      </c>
      <c r="B6" t="inlineStr">
        <is>
          <t>L0a.2.1</t>
        </is>
      </c>
      <c r="C6" t="inlineStr">
        <is>
          <t>Unauthorized Access Attempt Alert</t>
        </is>
      </c>
      <c r="D6" t="inlineStr">
        <is>
          <t>Yes</t>
        </is>
      </c>
      <c r="E6" t="inlineStr">
        <is>
          <t>H.2.1</t>
        </is>
      </c>
    </row>
    <row r="7" ht="15" customHeight="1" s="54">
      <c r="B7" t="inlineStr">
        <is>
          <t>L0a.2.2</t>
        </is>
      </c>
      <c r="C7" t="inlineStr">
        <is>
          <t>Supply Vehicle Authentication Failure Notification</t>
        </is>
      </c>
      <c r="D7" t="inlineStr">
        <is>
          <t>No</t>
        </is>
      </c>
      <c r="F7" t="inlineStr">
        <is>
          <t>Yes</t>
        </is>
      </c>
      <c r="G7" t="inlineStr">
        <is>
          <t>Template drift</t>
        </is>
      </c>
    </row>
    <row r="8" ht="15" customHeight="1" s="54">
      <c r="B8" t="inlineStr">
        <is>
          <t>L0a.2.3</t>
        </is>
      </c>
      <c r="C8" t="inlineStr">
        <is>
          <t>System Administrator Notification</t>
        </is>
      </c>
      <c r="D8" t="inlineStr">
        <is>
          <t>Yes</t>
        </is>
      </c>
      <c r="E8" t="inlineStr">
        <is>
          <t>H.2.1</t>
        </is>
      </c>
    </row>
    <row r="9" ht="15" customHeight="1" s="54">
      <c r="A9" s="49" t="inlineStr">
        <is>
          <t>Physical or logical access controls must be implemented to isolate {sensitive applications, data, or systems}.</t>
        </is>
      </c>
      <c r="B9" t="inlineStr">
        <is>
          <t>L0a.3.1</t>
        </is>
      </c>
      <c r="C9" t="inlineStr">
        <is>
          <t>Isolation of Sensitive Data Stores</t>
        </is>
      </c>
      <c r="D9" t="inlineStr">
        <is>
          <t>Yes</t>
        </is>
      </c>
      <c r="E9" t="inlineStr">
        <is>
          <t>H.3.1</t>
        </is>
      </c>
    </row>
    <row r="10" ht="15" customHeight="1" s="54">
      <c r="B10" t="inlineStr">
        <is>
          <t>L0a.3.2</t>
        </is>
      </c>
      <c r="C10" t="inlineStr">
        <is>
          <t>Access Control for Physical Areas</t>
        </is>
      </c>
      <c r="D10" t="inlineStr">
        <is>
          <t>No</t>
        </is>
      </c>
      <c r="F10" t="inlineStr">
        <is>
          <t>Yes</t>
        </is>
      </c>
      <c r="G10" t="inlineStr">
        <is>
          <t>Scope misalignment</t>
        </is>
      </c>
      <c r="H10" t="inlineStr">
        <is>
          <t>Rambles</t>
        </is>
      </c>
    </row>
    <row r="11" ht="15" customHeight="1" s="54">
      <c r="B11" t="inlineStr">
        <is>
          <t>L0a.3.3</t>
        </is>
      </c>
      <c r="C11" t="inlineStr">
        <is>
          <t>IoT Middleware Platform Security</t>
        </is>
      </c>
      <c r="D11" t="inlineStr">
        <is>
          <t>Yes</t>
        </is>
      </c>
      <c r="E11" t="inlineStr">
        <is>
          <t>H.3.1</t>
        </is>
      </c>
    </row>
    <row r="12" ht="15" customHeight="1" s="54">
      <c r="B12" t="inlineStr">
        <is>
          <t>L0a.3.4</t>
        </is>
      </c>
      <c r="C12" t="inlineStr">
        <is>
          <t>Role-Based Access Control for Sensitive Systems</t>
        </is>
      </c>
      <c r="D12" t="inlineStr">
        <is>
          <t>Yes</t>
        </is>
      </c>
      <c r="E12" t="inlineStr">
        <is>
          <t>H.3.1</t>
        </is>
      </c>
    </row>
    <row r="13" ht="15" customHeight="1" s="54">
      <c r="B13" t="inlineStr">
        <is>
          <t>L0a.3.5</t>
        </is>
      </c>
      <c r="C13" t="inlineStr">
        <is>
          <t>Secure Data Exchange with External Entities</t>
        </is>
      </c>
      <c r="D13" t="inlineStr">
        <is>
          <t>No</t>
        </is>
      </c>
      <c r="F13" t="inlineStr">
        <is>
          <t>No</t>
        </is>
      </c>
    </row>
    <row r="14" ht="15" customHeight="1" s="54">
      <c r="B14" t="inlineStr">
        <is>
          <t>L0a.3.6</t>
        </is>
      </c>
      <c r="C14" t="inlineStr">
        <is>
          <t>Component and Car Tracking System Security</t>
        </is>
      </c>
      <c r="D14" t="inlineStr">
        <is>
          <t>No</t>
        </is>
      </c>
      <c r="F14" t="inlineStr">
        <is>
          <t>Yes</t>
        </is>
      </c>
      <c r="G14" t="inlineStr">
        <is>
          <t>Template drift</t>
        </is>
      </c>
      <c r="H14" t="inlineStr">
        <is>
          <t>Rambles</t>
        </is>
      </c>
    </row>
    <row r="15" ht="15" customHeight="1" s="54">
      <c r="B15" t="inlineStr">
        <is>
          <t>L0a.3.7</t>
        </is>
      </c>
      <c r="C15" t="inlineStr">
        <is>
          <t>AGV and Robot System Security</t>
        </is>
      </c>
      <c r="D15" t="inlineStr">
        <is>
          <t>No</t>
        </is>
      </c>
      <c r="F15" t="inlineStr">
        <is>
          <t>Yes</t>
        </is>
      </c>
      <c r="G15" t="inlineStr">
        <is>
          <t>Template drift</t>
        </is>
      </c>
      <c r="H15" t="inlineStr">
        <is>
          <t>Rambles</t>
        </is>
      </c>
    </row>
    <row r="16" ht="15" customHeight="1" s="54">
      <c r="B16" t="inlineStr">
        <is>
          <t>L0a.3.8</t>
        </is>
      </c>
      <c r="C16" t="inlineStr">
        <is>
          <t>Warehouse and Finished Car Yard Management System Security</t>
        </is>
      </c>
      <c r="D16" t="inlineStr">
        <is>
          <t>No</t>
        </is>
      </c>
      <c r="F16" t="inlineStr">
        <is>
          <t>Yes</t>
        </is>
      </c>
      <c r="G16" t="inlineStr">
        <is>
          <t>Template drift</t>
        </is>
      </c>
      <c r="H16" t="inlineStr">
        <is>
          <t>Rambles</t>
        </is>
      </c>
    </row>
    <row r="17" ht="15" customHeight="1" s="54">
      <c r="B17" t="inlineStr">
        <is>
          <t>L0a.3.9</t>
        </is>
      </c>
      <c r="C17" t="inlineStr">
        <is>
          <t>Purchase Order and Transport Order System Security</t>
        </is>
      </c>
      <c r="D17" t="inlineStr">
        <is>
          <t>No</t>
        </is>
      </c>
      <c r="F17" t="inlineStr">
        <is>
          <t>Yes</t>
        </is>
      </c>
      <c r="G17" t="inlineStr">
        <is>
          <t>Template drift</t>
        </is>
      </c>
      <c r="H17" t="inlineStr">
        <is>
          <t>Rambles</t>
        </is>
      </c>
    </row>
    <row r="18" ht="15" customHeight="1" s="54">
      <c r="B18" t="inlineStr">
        <is>
          <t>L0a.3.10</t>
        </is>
      </c>
      <c r="C18" t="inlineStr">
        <is>
          <t>Employee Authentication and Authorization</t>
        </is>
      </c>
      <c r="D18" t="inlineStr">
        <is>
          <t>No</t>
        </is>
      </c>
      <c r="F18" t="inlineStr">
        <is>
          <t>Yes</t>
        </is>
      </c>
      <c r="G18" t="inlineStr">
        <is>
          <t>Template drift</t>
        </is>
      </c>
      <c r="H18" t="inlineStr">
        <is>
          <t>Rambles</t>
        </is>
      </c>
    </row>
    <row r="19" ht="15" customHeight="1" s="54">
      <c r="A19" s="49" t="inlineStr">
        <is>
          <t>{Access to data} must be controlled based on {user identity, group membership, and assigned roles}</t>
        </is>
      </c>
      <c r="B19" t="inlineStr">
        <is>
          <t>L0a.4.1</t>
        </is>
      </c>
      <c r="C19" t="inlineStr">
        <is>
          <t>Controlled Data Access for Employee Roles</t>
        </is>
      </c>
      <c r="D19" t="inlineStr">
        <is>
          <t>Yes</t>
        </is>
      </c>
      <c r="E19" t="inlineStr">
        <is>
          <t>H.4.1; H.4.2; H.4.3; H.4.7</t>
        </is>
      </c>
    </row>
    <row r="20">
      <c r="B20" t="inlineStr">
        <is>
          <t>L0a.4.2</t>
        </is>
      </c>
      <c r="C20" t="inlineStr">
        <is>
          <t>Role-Based Access Control for Factory Data</t>
        </is>
      </c>
      <c r="D20" t="inlineStr">
        <is>
          <t>Yes</t>
        </is>
      </c>
      <c r="E20" t="inlineStr">
        <is>
          <t>H.4.1; H.4.2; H.4.3; H.4.7</t>
        </is>
      </c>
    </row>
    <row r="21">
      <c r="B21" t="inlineStr">
        <is>
          <t>L0a.4.3</t>
        </is>
      </c>
      <c r="C21" t="inlineStr">
        <is>
          <t>Data Access Control for Sensitive Factory Information</t>
        </is>
      </c>
      <c r="D21" t="inlineStr">
        <is>
          <t>Yes</t>
        </is>
      </c>
      <c r="E21" t="inlineStr">
        <is>
          <t>H.4.1; H.4.2; H.4.3; H.4.7</t>
        </is>
      </c>
    </row>
    <row r="22">
      <c r="B22" t="inlineStr">
        <is>
          <t>L0a.4.4</t>
        </is>
      </c>
      <c r="C22" t="inlineStr">
        <is>
          <t>Employee Role-Based Data Access Segregation</t>
        </is>
      </c>
      <c r="D22" t="inlineStr">
        <is>
          <t>No</t>
        </is>
      </c>
      <c r="F22" t="inlineStr">
        <is>
          <t>Yes</t>
        </is>
      </c>
      <c r="G22" t="inlineStr">
        <is>
          <t>Template drift</t>
        </is>
      </c>
      <c r="H22" t="inlineStr">
        <is>
          <t>Rambles</t>
        </is>
      </c>
    </row>
    <row r="23">
      <c r="B23" t="inlineStr">
        <is>
          <t>L0a.4.5</t>
        </is>
      </c>
      <c r="C23" t="inlineStr">
        <is>
          <t>Factory Data Access Control Audit</t>
        </is>
      </c>
      <c r="D23" t="inlineStr">
        <is>
          <t>No</t>
        </is>
      </c>
      <c r="F23" t="inlineStr">
        <is>
          <t>Yes</t>
        </is>
      </c>
      <c r="G23" t="inlineStr">
        <is>
          <t>Template drift</t>
        </is>
      </c>
      <c r="H23" t="inlineStr">
        <is>
          <t>Rambles</t>
        </is>
      </c>
    </row>
    <row r="24" ht="16.35" customHeight="1" s="54">
      <c r="A24" s="49" t="inlineStr">
        <is>
          <t>The {organization} shall maintain a record of {all privileges allocated}</t>
        </is>
      </c>
      <c r="B24" t="inlineStr">
        <is>
          <t>L0a.5.1</t>
        </is>
      </c>
      <c r="C24" t="inlineStr">
        <is>
          <t>Employee Privilege Record</t>
        </is>
      </c>
      <c r="D24" t="inlineStr">
        <is>
          <t>Yes</t>
        </is>
      </c>
      <c r="E24" t="inlineStr">
        <is>
          <t>H.5.1</t>
        </is>
      </c>
    </row>
    <row r="25">
      <c r="B25" t="inlineStr">
        <is>
          <t>L0a.5.2</t>
        </is>
      </c>
      <c r="C25" t="inlineStr">
        <is>
          <t>User Access Accountability</t>
        </is>
      </c>
      <c r="D25" t="inlineStr">
        <is>
          <t>Yes</t>
        </is>
      </c>
      <c r="E25" t="inlineStr">
        <is>
          <t>H.5.1</t>
        </is>
      </c>
    </row>
    <row r="26">
      <c r="B26" t="inlineStr">
        <is>
          <t>L0a.5.3</t>
        </is>
      </c>
      <c r="C26" t="inlineStr">
        <is>
          <t>Privilege Allocation Tracking</t>
        </is>
      </c>
      <c r="D26" t="inlineStr">
        <is>
          <t>Yes</t>
        </is>
      </c>
      <c r="E26" t="inlineStr">
        <is>
          <t>H.5.1</t>
        </is>
      </c>
    </row>
    <row r="27" ht="15" customHeight="1" s="54">
      <c r="A27" s="44" t="inlineStr">
        <is>
          <t>The {organization} shall regularly review {users} with privileged access rights to ensure that their {duties}, {roles}, {responsibilities}, and {competence} still justify such access</t>
        </is>
      </c>
      <c r="B27" t="inlineStr">
        <is>
          <t>L0a.6.1</t>
        </is>
      </c>
      <c r="C27" t="inlineStr">
        <is>
          <t>Regular Review of Privileged Employee Access Rights</t>
        </is>
      </c>
      <c r="D27" t="inlineStr">
        <is>
          <t>Yes</t>
        </is>
      </c>
      <c r="E27" t="inlineStr">
        <is>
          <t>H.6.1</t>
        </is>
      </c>
    </row>
    <row r="28" ht="15" customHeight="1" s="54">
      <c r="A28" s="49" t="inlineStr">
        <is>
          <t>{Connection} of {systems} to the {network} must be restricted and filtered, e.g., using firewalls.</t>
        </is>
      </c>
      <c r="B28" t="inlineStr">
        <is>
          <t>L0a.7.1</t>
        </is>
      </c>
      <c r="C28" t="inlineStr">
        <is>
          <t>Factory Network Connection Restriction</t>
        </is>
      </c>
      <c r="D28" t="inlineStr">
        <is>
          <t>Yes</t>
        </is>
      </c>
      <c r="E28" t="inlineStr">
        <is>
          <t>H.7.1</t>
        </is>
      </c>
    </row>
    <row r="29">
      <c r="B29" t="inlineStr">
        <is>
          <t>L0a.7.2</t>
        </is>
      </c>
      <c r="C29" t="inlineStr">
        <is>
          <t>IoT Device Access Control</t>
        </is>
      </c>
      <c r="D29" t="inlineStr">
        <is>
          <t>No</t>
        </is>
      </c>
      <c r="F29" t="inlineStr">
        <is>
          <t>Yes</t>
        </is>
      </c>
      <c r="G29" t="inlineStr">
        <is>
          <t>Template drift</t>
        </is>
      </c>
      <c r="H29" t="inlineStr">
        <is>
          <t>Rambles</t>
        </is>
      </c>
    </row>
    <row r="30">
      <c r="B30" t="inlineStr">
        <is>
          <t>L0a.7.3</t>
        </is>
      </c>
      <c r="C30" t="inlineStr">
        <is>
          <t>Employee Front-end Application Access Control</t>
        </is>
      </c>
      <c r="D30" t="inlineStr">
        <is>
          <t>Yes</t>
        </is>
      </c>
      <c r="E30" t="inlineStr">
        <is>
          <t>H.7.1</t>
        </is>
      </c>
    </row>
    <row r="31">
      <c r="B31" t="inlineStr">
        <is>
          <t>L0a.7.4</t>
        </is>
      </c>
      <c r="C31" t="inlineStr">
        <is>
          <t>Data Store Access Control</t>
        </is>
      </c>
      <c r="D31" t="inlineStr">
        <is>
          <t>No</t>
        </is>
      </c>
      <c r="F31" t="inlineStr">
        <is>
          <t>Yes</t>
        </is>
      </c>
      <c r="G31" t="inlineStr">
        <is>
          <t>Template drift</t>
        </is>
      </c>
      <c r="H31" t="inlineStr">
        <is>
          <t>Unrelated</t>
        </is>
      </c>
    </row>
    <row r="32" ht="29.1" customHeight="1" s="54">
      <c r="A32" s="44" t="inlineStr">
        <is>
          <t>{Network administration channels} must be segregated from {other network traffic}</t>
        </is>
      </c>
      <c r="B32" t="inlineStr">
        <is>
          <t>L0a.8.1</t>
        </is>
      </c>
      <c r="C32" t="inlineStr">
        <is>
          <t>Segregation of Factory Network Administration Channels</t>
        </is>
      </c>
      <c r="D32" t="inlineStr">
        <is>
          <t>Yes</t>
        </is>
      </c>
      <c r="E32" t="inlineStr">
        <is>
          <t>H.8.1</t>
        </is>
      </c>
    </row>
    <row r="33" ht="15" customHeight="1" s="54">
      <c r="A33" s="49" t="inlineStr">
        <is>
          <t>Implement cryptographic measures to safeguard {information stored} on {mobile user} {endpoint devices} or {storage media} and transmitted over {networks}</t>
        </is>
      </c>
      <c r="B33" t="inlineStr">
        <is>
          <t>L0a.9.1</t>
        </is>
      </c>
      <c r="C33" t="inlineStr">
        <is>
          <t>Encrypt Requisitions Data Store and Warehouse Inventory Data During Transmission</t>
        </is>
      </c>
      <c r="D33" t="inlineStr">
        <is>
          <t>Yes</t>
        </is>
      </c>
      <c r="E33" t="inlineStr">
        <is>
          <t>H.9.1</t>
        </is>
      </c>
    </row>
    <row r="34">
      <c r="B34" t="inlineStr">
        <is>
          <t>L0a.9.2</t>
        </is>
      </c>
      <c r="C34" t="inlineStr">
        <is>
          <t>Secure Mobile User Authentication and Authorization</t>
        </is>
      </c>
      <c r="D34" t="inlineStr">
        <is>
          <t>No</t>
        </is>
      </c>
      <c r="F34" t="inlineStr">
        <is>
          <t>Yes</t>
        </is>
      </c>
      <c r="G34" t="inlineStr">
        <is>
          <t>Template drift</t>
        </is>
      </c>
      <c r="H34" t="inlineStr">
        <is>
          <t>Rambles</t>
        </is>
      </c>
    </row>
    <row r="35">
      <c r="B35" t="inlineStr">
        <is>
          <t>L0a.9.3</t>
        </is>
      </c>
      <c r="C35" t="inlineStr">
        <is>
          <t>Secure Communication Protocols for Data Transmission</t>
        </is>
      </c>
      <c r="D35" t="inlineStr">
        <is>
          <t>Yes</t>
        </is>
      </c>
      <c r="E35" t="inlineStr">
        <is>
          <t>H.9.3</t>
        </is>
      </c>
    </row>
    <row r="36">
      <c r="B36" t="inlineStr">
        <is>
          <t>L0a.9.4</t>
        </is>
      </c>
      <c r="C36" t="inlineStr">
        <is>
          <t>Encrypt Data Stored on Endpoint Devices</t>
        </is>
      </c>
      <c r="D36" t="inlineStr">
        <is>
          <t>No</t>
        </is>
      </c>
      <c r="F36" t="inlineStr">
        <is>
          <t>No</t>
        </is>
      </c>
    </row>
    <row r="37">
      <c r="B37" t="inlineStr">
        <is>
          <t>L0a.9.5</t>
        </is>
      </c>
      <c r="C37" t="inlineStr">
        <is>
          <t>Secure Storage and Transmission of Sensitive Information</t>
        </is>
      </c>
      <c r="D37" t="inlineStr">
        <is>
          <t>Yes</t>
        </is>
      </c>
      <c r="E37" t="inlineStr">
        <is>
          <t>H.9.3</t>
        </is>
      </c>
    </row>
    <row r="38">
      <c r="B38" t="inlineStr">
        <is>
          <t>L0a.9.6</t>
        </is>
      </c>
      <c r="C38" t="inlineStr">
        <is>
          <t>Secure Finished Car Registry Data During Transmission</t>
        </is>
      </c>
      <c r="D38" t="inlineStr">
        <is>
          <t>Yes</t>
        </is>
      </c>
      <c r="E38" t="inlineStr">
        <is>
          <t>H.9.3</t>
        </is>
      </c>
    </row>
    <row r="39">
      <c r="B39" t="inlineStr">
        <is>
          <t>L0a.9.7</t>
        </is>
      </c>
      <c r="C39" t="inlineStr">
        <is>
          <t>Secure Logistics Terminal Car Registry Data During Transmission</t>
        </is>
      </c>
      <c r="D39" t="inlineStr">
        <is>
          <t>Yes</t>
        </is>
      </c>
      <c r="E39" t="inlineStr">
        <is>
          <t>H.9.3</t>
        </is>
      </c>
    </row>
    <row r="40" ht="15" customHeight="1" s="54">
      <c r="A40" s="49" t="inlineStr">
        <is>
          <t>Establish a comprehensive key management system, including procedures for generating and protecting {cryptographic keys} and recovering {encrypted data} in case of lost, compromised, or damaged {keys}</t>
        </is>
      </c>
      <c r="B40" t="inlineStr">
        <is>
          <t>L0a.10.1</t>
        </is>
      </c>
      <c r="C40" t="inlineStr">
        <is>
          <t>Comprehensive Key Management</t>
        </is>
      </c>
      <c r="D40" t="inlineStr">
        <is>
          <t>Yes</t>
        </is>
      </c>
      <c r="E40" t="inlineStr">
        <is>
          <t>H.10.2</t>
        </is>
      </c>
    </row>
    <row r="41">
      <c r="B41" t="inlineStr">
        <is>
          <t>L0a.10.2</t>
        </is>
      </c>
      <c r="C41" t="inlineStr">
        <is>
          <t>Secure Key Generation and Distribution</t>
        </is>
      </c>
      <c r="D41" t="inlineStr">
        <is>
          <t>No</t>
        </is>
      </c>
      <c r="F41" t="inlineStr">
        <is>
          <t>Yes</t>
        </is>
      </c>
      <c r="G41" t="inlineStr">
        <is>
          <t>Template drift</t>
        </is>
      </c>
      <c r="H41" t="inlineStr">
        <is>
          <t>Rambles</t>
        </is>
      </c>
    </row>
    <row r="42">
      <c r="B42" t="inlineStr">
        <is>
          <t>L0a.10.3</t>
        </is>
      </c>
      <c r="C42" t="inlineStr">
        <is>
          <t>Protection of Cryptographic Keys</t>
        </is>
      </c>
      <c r="D42" t="inlineStr">
        <is>
          <t>No</t>
        </is>
      </c>
      <c r="F42" t="inlineStr">
        <is>
          <t>Yes</t>
        </is>
      </c>
      <c r="G42" t="inlineStr">
        <is>
          <t>Template drift</t>
        </is>
      </c>
      <c r="H42" t="inlineStr">
        <is>
          <t>Rambles</t>
        </is>
      </c>
    </row>
    <row r="43">
      <c r="B43" t="inlineStr">
        <is>
          <t>L0a.10.4</t>
        </is>
      </c>
      <c r="C43" t="inlineStr">
        <is>
          <t>Recovery of Encrypted AIDC Data</t>
        </is>
      </c>
      <c r="D43" t="inlineStr">
        <is>
          <t>No</t>
        </is>
      </c>
      <c r="F43" t="inlineStr">
        <is>
          <t>Yes</t>
        </is>
      </c>
      <c r="G43" t="inlineStr">
        <is>
          <t>Template drift</t>
        </is>
      </c>
      <c r="H43" t="inlineStr">
        <is>
          <t>Rambles</t>
        </is>
      </c>
    </row>
    <row r="44">
      <c r="B44" t="inlineStr">
        <is>
          <t>L0a.10.5</t>
        </is>
      </c>
      <c r="C44" t="inlineStr">
        <is>
          <t>Key Management System Integration</t>
        </is>
      </c>
      <c r="D44" t="inlineStr">
        <is>
          <t>No</t>
        </is>
      </c>
      <c r="F44" t="inlineStr">
        <is>
          <t>Yes</t>
        </is>
      </c>
      <c r="G44" t="inlineStr">
        <is>
          <t>Template drift</t>
        </is>
      </c>
      <c r="H44" t="inlineStr">
        <is>
          <t>Rambles</t>
        </is>
      </c>
    </row>
    <row r="45" ht="14.45" customHeight="1" s="54">
      <c r="B45" s="16" t="inlineStr">
        <is>
          <t>Count</t>
        </is>
      </c>
      <c r="C45" s="16" t="inlineStr">
        <is>
          <t>No</t>
        </is>
      </c>
      <c r="D45" s="16">
        <f>COUNTIF(D2:D44,"No")</f>
        <v/>
      </c>
      <c r="E45" s="16" t="inlineStr">
        <is>
          <t>Hallucinations</t>
        </is>
      </c>
      <c r="F45" s="16">
        <f>COUNTIF(F2:F44,"Yes")</f>
        <v/>
      </c>
    </row>
    <row r="46" ht="14.45" customHeight="1" s="54">
      <c r="B46" s="47" t="n"/>
      <c r="C46" s="16" t="inlineStr">
        <is>
          <t>Yes</t>
        </is>
      </c>
      <c r="D46" s="16">
        <f>COUNTIF(D2:D44,"Yes")</f>
        <v/>
      </c>
      <c r="E46" s="16" t="inlineStr">
        <is>
          <t>Partial hallucinations</t>
        </is>
      </c>
      <c r="F46">
        <f>COUNTIFS(D:D,"Partial",F:F,"Yes")</f>
        <v/>
      </c>
    </row>
    <row r="47" ht="14.45" customHeight="1" s="54">
      <c r="B47" s="47" t="n"/>
      <c r="C47" s="16" t="inlineStr">
        <is>
          <t>Partial</t>
        </is>
      </c>
      <c r="D47" s="16">
        <f>COUNTIF(D2:D44,"Partial")</f>
        <v/>
      </c>
      <c r="E47" s="10" t="inlineStr">
        <is>
          <t>Template drift</t>
        </is>
      </c>
      <c r="F47">
        <f>COUNTIF($G$2:$G$44,E47)</f>
        <v/>
      </c>
    </row>
    <row r="48" ht="15" customHeight="1" s="54">
      <c r="E48" s="10" t="inlineStr">
        <is>
          <t>Contextual misfit</t>
        </is>
      </c>
      <c r="F48">
        <f>COUNTIF($G$2:$G$44,E48)</f>
        <v/>
      </c>
    </row>
    <row r="49" ht="15" customHeight="1" s="54">
      <c r="E49" s="10" t="inlineStr">
        <is>
          <t>Scope misalignment</t>
        </is>
      </c>
      <c r="F49">
        <f>COUNTIF($G$2:$G$44,E49)</f>
        <v/>
      </c>
    </row>
    <row r="50" ht="15" customHeight="1" s="54">
      <c r="E50" s="10" t="inlineStr">
        <is>
          <t>Responsibility leakage</t>
        </is>
      </c>
      <c r="F50">
        <f>COUNTIF($G$2:$G$44,E50)</f>
        <v/>
      </c>
    </row>
    <row r="51" ht="15" customHeight="1" s="54">
      <c r="E51" s="10" t="inlineStr">
        <is>
          <t>Architectural infeasibility</t>
        </is>
      </c>
      <c r="F51">
        <f>COUNTIF($G$2:$G$44,E51)</f>
        <v/>
      </c>
    </row>
    <row r="52" ht="15" customHeight="1" s="54"/>
    <row r="53" ht="15" customHeight="1" s="54">
      <c r="E53" s="16" t="inlineStr">
        <is>
          <t>Discoveries</t>
        </is>
      </c>
      <c r="F53" s="16">
        <f>COUNTIF(F2:F44,"No")</f>
        <v/>
      </c>
    </row>
    <row r="73">
      <c r="AA73" t="inlineStr">
        <is>
          <t>G0_ii.10.2</t>
        </is>
      </c>
    </row>
  </sheetData>
  <mergeCells count="8">
    <mergeCell ref="A40:A44"/>
    <mergeCell ref="A9:A18"/>
    <mergeCell ref="A2:A5"/>
    <mergeCell ref="A33:A39"/>
    <mergeCell ref="A28:A31"/>
    <mergeCell ref="A19:A23"/>
    <mergeCell ref="A24:A26"/>
    <mergeCell ref="A6:A8"/>
  </mergeCells>
  <conditionalFormatting sqref="D2:D44">
    <cfRule type="containsText" priority="4" operator="containsText" dxfId="6" text="Partial">
      <formula>NOT(ISERROR(SEARCH("Partial",D2)))</formula>
    </cfRule>
    <cfRule type="containsText" priority="5" operator="containsText" dxfId="0" text="No">
      <formula>NOT(ISERROR(SEARCH("No",D2)))</formula>
    </cfRule>
    <cfRule type="containsText" priority="6" operator="containsText" dxfId="1" text="Yes">
      <formula>NOT(ISERROR(SEARCH("Yes",D2)))</formula>
    </cfRule>
  </conditionalFormatting>
  <conditionalFormatting sqref="F2:F44">
    <cfRule type="containsText" priority="2" operator="containsText" dxfId="1" text="No">
      <formula>NOT(ISERROR(SEARCH("No",F2)))</formula>
    </cfRule>
    <cfRule type="containsText" priority="3" operator="containsText" dxfId="0" text="Yes">
      <formula>NOT(ISERROR(SEARCH("Yes",F2)))</formula>
    </cfRule>
  </conditionalFormatting>
  <conditionalFormatting sqref="G2:G108">
    <cfRule type="containsText" priority="7" operator="containsText" dxfId="1" text="No">
      <formula>NOT(ISERROR(SEARCH("No",G2)))</formula>
    </cfRule>
    <cfRule type="containsText" priority="8" operator="containsText" dxfId="0" text="Yes">
      <formula>NOT(ISERROR(SEARCH("Yes",G2)))</formula>
    </cfRule>
  </conditionalFormatting>
  <dataValidations count="3">
    <dataValidation sqref="D2:D44" showDropDown="0" showInputMessage="1" showErrorMessage="1" allowBlank="1" type="list" operator="equal">
      <formula1>"Yes,No,Partial"</formula1>
      <formula2>0</formula2>
    </dataValidation>
    <dataValidation sqref="F2:F44" showDropDown="0" showInputMessage="1" showErrorMessage="1" allowBlank="1" type="list" operator="equal">
      <formula1>"Yes,No"</formula1>
      <formula2>0</formula2>
    </dataValidation>
    <dataValidation sqref="G2:G108" showDropDown="0" showInputMessage="1" showErrorMessage="1" allowBlank="1" operator="equal">
      <formula1>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73"/>
  <sheetViews>
    <sheetView zoomScale="85" zoomScaleNormal="85" workbookViewId="0">
      <selection activeCell="E47" sqref="E47:F47"/>
    </sheetView>
  </sheetViews>
  <sheetFormatPr baseColWidth="8" defaultColWidth="9.140625" defaultRowHeight="14.45"/>
  <cols>
    <col width="60.7109375" customWidth="1" style="44" min="1" max="1"/>
    <col width="60.7109375" customWidth="1" style="54" min="3" max="3"/>
    <col width="14.7109375" customWidth="1" style="54" min="4" max="4"/>
    <col width="30.7109375" customWidth="1" style="54" min="5" max="5"/>
    <col width="14.7109375" customWidth="1" style="54" min="6" max="7"/>
    <col width="60.7109375" customWidth="1" style="54" min="8" max="8"/>
  </cols>
  <sheetData>
    <row r="1" customFormat="1" s="53">
      <c r="A1" s="53" t="inlineStr">
        <is>
          <t>Norm</t>
        </is>
      </c>
      <c r="B1" s="53" t="inlineStr">
        <is>
          <t>L0b.#</t>
        </is>
      </c>
      <c r="C1" s="53" t="inlineStr">
        <is>
          <t>Automated requirement name</t>
        </is>
      </c>
      <c r="D1" s="53" t="inlineStr">
        <is>
          <t>Present</t>
        </is>
      </c>
      <c r="E1" s="53" t="inlineStr">
        <is>
          <t>Support</t>
        </is>
      </c>
      <c r="F1" s="53" t="inlineStr">
        <is>
          <t>Hallucination</t>
        </is>
      </c>
      <c r="G1" s="53" t="inlineStr">
        <is>
          <t>Hall. Type</t>
        </is>
      </c>
      <c r="H1" s="53" t="inlineStr">
        <is>
          <t>Rationale</t>
        </is>
      </c>
    </row>
    <row r="2" ht="15" customHeight="1" s="54">
      <c r="A2" s="49" t="inlineStr">
        <is>
          <t>Help messages during the {log-on procedure} must not aid an unauthorized user, e.g., by indicating which {parts of the data} are correct or incorrect</t>
        </is>
      </c>
      <c r="B2" t="inlineStr">
        <is>
          <t>L0b.1.1</t>
        </is>
      </c>
      <c r="C2" t="inlineStr">
        <is>
          <t>Secure Log-on Feedback Protection</t>
        </is>
      </c>
      <c r="D2" t="inlineStr">
        <is>
          <t>Yes</t>
        </is>
      </c>
      <c r="E2" t="inlineStr">
        <is>
          <t>H.1.1</t>
        </is>
      </c>
    </row>
    <row r="3" ht="15" customHeight="1" s="54">
      <c r="B3" t="inlineStr">
        <is>
          <t>L0b.1.2</t>
        </is>
      </c>
      <c r="C3" t="inlineStr">
        <is>
          <t>Access Control Manager Log-on Error Message Protection</t>
        </is>
      </c>
      <c r="D3" t="inlineStr">
        <is>
          <t>No</t>
        </is>
      </c>
      <c r="F3" t="inlineStr">
        <is>
          <t>Yes</t>
        </is>
      </c>
      <c r="G3" t="inlineStr">
        <is>
          <t>Architectural infeasibility</t>
        </is>
      </c>
      <c r="H3" t="inlineStr">
        <is>
          <t>Rambles</t>
        </is>
      </c>
    </row>
    <row r="4" ht="15" customHeight="1" s="54">
      <c r="A4" s="49" t="inlineStr">
        <is>
          <t>A security incident must be raised if a potential attempted or successful breach of {log-on controls} is detected, and, when the risk of the incident warrants it, the account shall be temporarily restricted, plus an alert shall be sent to the {account owner}, and to the {organization's system administrators}.</t>
        </is>
      </c>
      <c r="B4" t="inlineStr">
        <is>
          <t>L0b.2.1</t>
        </is>
      </c>
      <c r="C4" t="inlineStr">
        <is>
          <t>Supply Vehicle Log-on Security Alert</t>
        </is>
      </c>
      <c r="D4" t="inlineStr">
        <is>
          <t>No</t>
        </is>
      </c>
      <c r="F4" t="inlineStr">
        <is>
          <t>Yes</t>
        </is>
      </c>
      <c r="G4" t="inlineStr">
        <is>
          <t>Architectural infeasibility</t>
        </is>
      </c>
      <c r="H4" t="inlineStr">
        <is>
          <t>Rambles</t>
        </is>
      </c>
    </row>
    <row r="5" ht="15" customHeight="1" s="54">
      <c r="B5" t="inlineStr">
        <is>
          <t>L0b.2.2</t>
        </is>
      </c>
      <c r="C5" t="inlineStr">
        <is>
          <t>Employee Log-on Security Alert</t>
        </is>
      </c>
      <c r="D5" t="inlineStr">
        <is>
          <t>Yes</t>
        </is>
      </c>
      <c r="E5" t="inlineStr">
        <is>
          <t>H.2.1</t>
        </is>
      </c>
    </row>
    <row r="6" ht="15" customHeight="1" s="54">
      <c r="B6" t="inlineStr">
        <is>
          <t>L0b.2.3</t>
        </is>
      </c>
      <c r="C6" t="inlineStr">
        <is>
          <t>System Administrator Log-on Security Alert</t>
        </is>
      </c>
      <c r="D6" t="inlineStr">
        <is>
          <t>Yes</t>
        </is>
      </c>
      <c r="E6" t="inlineStr">
        <is>
          <t>H.2.1</t>
        </is>
      </c>
    </row>
    <row r="7" ht="15" customHeight="1" s="54">
      <c r="A7" s="49" t="inlineStr">
        <is>
          <t>Physical or logical access controls must be implemented to isolate {sensitive applications, data, or systems}.</t>
        </is>
      </c>
      <c r="B7" t="inlineStr">
        <is>
          <t>L0b.3.1</t>
        </is>
      </c>
      <c r="C7" t="inlineStr">
        <is>
          <t>Isolation of Requisitions Data Store</t>
        </is>
      </c>
      <c r="D7" t="inlineStr">
        <is>
          <t>No</t>
        </is>
      </c>
      <c r="F7" t="inlineStr">
        <is>
          <t>Yes</t>
        </is>
      </c>
      <c r="G7" t="inlineStr">
        <is>
          <t>Template drift</t>
        </is>
      </c>
      <c r="H7" t="inlineStr">
        <is>
          <t>Rambles</t>
        </is>
      </c>
    </row>
    <row r="8" ht="15" customHeight="1" s="54">
      <c r="B8" t="inlineStr">
        <is>
          <t>L0b.3.2</t>
        </is>
      </c>
      <c r="C8" t="inlineStr">
        <is>
          <t>Secure Access to Supply Vehicles Registry</t>
        </is>
      </c>
      <c r="D8" t="inlineStr">
        <is>
          <t>No</t>
        </is>
      </c>
      <c r="F8" t="inlineStr">
        <is>
          <t>Yes</t>
        </is>
      </c>
      <c r="G8" t="inlineStr">
        <is>
          <t>Template drift</t>
        </is>
      </c>
      <c r="H8" t="inlineStr">
        <is>
          <t>Rambles</t>
        </is>
      </c>
    </row>
    <row r="9" ht="15" customHeight="1" s="54">
      <c r="B9" t="inlineStr">
        <is>
          <t>L0b.3.3</t>
        </is>
      </c>
      <c r="C9" t="inlineStr">
        <is>
          <t>Warehouse Inventory Access Control</t>
        </is>
      </c>
      <c r="D9" t="inlineStr">
        <is>
          <t>No</t>
        </is>
      </c>
      <c r="F9" t="inlineStr">
        <is>
          <t>Yes</t>
        </is>
      </c>
      <c r="G9" t="inlineStr">
        <is>
          <t>Template drift</t>
        </is>
      </c>
      <c r="H9" t="inlineStr">
        <is>
          <t>Rambles</t>
        </is>
      </c>
    </row>
    <row r="10" ht="15" customHeight="1" s="54">
      <c r="B10" t="inlineStr">
        <is>
          <t>L0b.3.4</t>
        </is>
      </c>
      <c r="C10" t="inlineStr">
        <is>
          <t>Protection of Production Plan Data Store</t>
        </is>
      </c>
      <c r="D10" t="inlineStr">
        <is>
          <t>No</t>
        </is>
      </c>
      <c r="F10" t="inlineStr">
        <is>
          <t>Yes</t>
        </is>
      </c>
      <c r="G10" t="inlineStr">
        <is>
          <t>Template drift</t>
        </is>
      </c>
      <c r="H10" t="inlineStr">
        <is>
          <t>Rambles</t>
        </is>
      </c>
    </row>
    <row r="11" ht="15" customHeight="1" s="54">
      <c r="B11" t="inlineStr">
        <is>
          <t>L0b.3.5</t>
        </is>
      </c>
      <c r="C11" t="inlineStr">
        <is>
          <t>Finished Car Registry Access Control</t>
        </is>
      </c>
      <c r="D11" t="inlineStr">
        <is>
          <t>No</t>
        </is>
      </c>
      <c r="F11" t="inlineStr">
        <is>
          <t>Yes</t>
        </is>
      </c>
      <c r="G11" t="inlineStr">
        <is>
          <t>Template drift</t>
        </is>
      </c>
      <c r="H11" t="inlineStr">
        <is>
          <t>Rambles</t>
        </is>
      </c>
    </row>
    <row r="12" ht="15" customHeight="1" s="54">
      <c r="B12" t="inlineStr">
        <is>
          <t>L0b.3.6</t>
        </is>
      </c>
      <c r="C12" t="inlineStr">
        <is>
          <t>Secure Logistics Terminal Car Registry</t>
        </is>
      </c>
      <c r="D12" t="inlineStr">
        <is>
          <t>No</t>
        </is>
      </c>
      <c r="F12" t="inlineStr">
        <is>
          <t>Yes</t>
        </is>
      </c>
      <c r="G12" t="inlineStr">
        <is>
          <t>Template drift</t>
        </is>
      </c>
      <c r="H12" t="inlineStr">
        <is>
          <t>Rambles</t>
        </is>
      </c>
    </row>
    <row r="13" ht="15" customHeight="1" s="54">
      <c r="B13" t="inlineStr">
        <is>
          <t>L0b.3.7</t>
        </is>
      </c>
      <c r="C13" t="inlineStr">
        <is>
          <t>Purchase Order and Transport Order Data Stores Access Control</t>
        </is>
      </c>
      <c r="D13" t="inlineStr">
        <is>
          <t>No</t>
        </is>
      </c>
      <c r="F13" t="inlineStr">
        <is>
          <t>Yes</t>
        </is>
      </c>
      <c r="G13" t="inlineStr">
        <is>
          <t>Template drift</t>
        </is>
      </c>
      <c r="H13" t="inlineStr">
        <is>
          <t>Rambles</t>
        </is>
      </c>
    </row>
    <row r="14" ht="15" customHeight="1" s="54">
      <c r="A14" s="49" t="inlineStr">
        <is>
          <t>{Access to data} must be controlled based on {user identity, group membership, and assigned roles}</t>
        </is>
      </c>
      <c r="B14" t="inlineStr">
        <is>
          <t>L0b.4.1</t>
        </is>
      </c>
      <c r="C14" t="inlineStr">
        <is>
          <t>Role-Based Access Control for Requisitions Data Store</t>
        </is>
      </c>
      <c r="D14" t="inlineStr">
        <is>
          <t>Yes</t>
        </is>
      </c>
      <c r="E14" t="inlineStr">
        <is>
          <t>H.4.2</t>
        </is>
      </c>
    </row>
    <row r="15">
      <c r="B15" t="inlineStr">
        <is>
          <t>L0b.4.2</t>
        </is>
      </c>
      <c r="C15" t="inlineStr">
        <is>
          <t>Restricted Access to Supply Vehicles Registry</t>
        </is>
      </c>
      <c r="D15" t="inlineStr">
        <is>
          <t>Yes</t>
        </is>
      </c>
      <c r="E15" t="inlineStr">
        <is>
          <t>H.4.1</t>
        </is>
      </c>
    </row>
    <row r="16">
      <c r="B16" t="inlineStr">
        <is>
          <t>L0b.4.3</t>
        </is>
      </c>
      <c r="C16" t="inlineStr">
        <is>
          <t>Warehouse Inventory Access Control</t>
        </is>
      </c>
      <c r="D16" t="inlineStr">
        <is>
          <t>Yes</t>
        </is>
      </c>
      <c r="E16" t="inlineStr">
        <is>
          <t>H.4.1</t>
        </is>
      </c>
    </row>
    <row r="17">
      <c r="B17" t="inlineStr">
        <is>
          <t>L0b.4.4</t>
        </is>
      </c>
      <c r="C17" t="inlineStr">
        <is>
          <t>Production Plan Data Store Access Restriction</t>
        </is>
      </c>
      <c r="D17" t="inlineStr">
        <is>
          <t>Yes</t>
        </is>
      </c>
      <c r="E17" t="inlineStr">
        <is>
          <t>H.4.7</t>
        </is>
      </c>
    </row>
    <row r="18">
      <c r="B18" t="inlineStr">
        <is>
          <t>L0b.4.5</t>
        </is>
      </c>
      <c r="C18" t="inlineStr">
        <is>
          <t>Finished Car Registry Access Control</t>
        </is>
      </c>
      <c r="D18" t="inlineStr">
        <is>
          <t>Yes</t>
        </is>
      </c>
      <c r="E18" t="inlineStr">
        <is>
          <t>H.4.3</t>
        </is>
      </c>
    </row>
    <row r="19">
      <c r="B19" t="inlineStr">
        <is>
          <t>L0b.4.6</t>
        </is>
      </c>
      <c r="C19" t="inlineStr">
        <is>
          <t>Purchase Order and Transport Order Data Stores Access Restriction</t>
        </is>
      </c>
      <c r="D19" t="inlineStr">
        <is>
          <t>Yes</t>
        </is>
      </c>
      <c r="E19" t="inlineStr">
        <is>
          <t>H.4.7</t>
        </is>
      </c>
    </row>
    <row r="20">
      <c r="B20" t="inlineStr">
        <is>
          <t>L0b.4.7</t>
        </is>
      </c>
      <c r="C20" t="inlineStr">
        <is>
          <t>Logistics Terminal Car Registry Access Control</t>
        </is>
      </c>
      <c r="D20" t="inlineStr">
        <is>
          <t>Yes</t>
        </is>
      </c>
      <c r="E20" t="inlineStr">
        <is>
          <t>H.4.7</t>
        </is>
      </c>
    </row>
    <row r="21" ht="16.35" customHeight="1" s="54">
      <c r="A21" s="49" t="inlineStr">
        <is>
          <t>The {organization} shall maintain a record of {all privileges allocated}</t>
        </is>
      </c>
      <c r="B21" t="inlineStr">
        <is>
          <t>L0b.5.1</t>
        </is>
      </c>
      <c r="C21" t="inlineStr">
        <is>
          <t>Employee Role Allocation Record</t>
        </is>
      </c>
      <c r="D21" t="inlineStr">
        <is>
          <t>Yes</t>
        </is>
      </c>
      <c r="E21" t="inlineStr">
        <is>
          <t>H.5.1</t>
        </is>
      </c>
    </row>
    <row r="22">
      <c r="B22" t="inlineStr">
        <is>
          <t>L0b.5.2</t>
        </is>
      </c>
      <c r="C22" t="inlineStr">
        <is>
          <t>Access Control and Physical Security Measure Record</t>
        </is>
      </c>
      <c r="D22" t="inlineStr">
        <is>
          <t>No</t>
        </is>
      </c>
      <c r="F22" t="inlineStr">
        <is>
          <t>Yes</t>
        </is>
      </c>
      <c r="G22" t="inlineStr">
        <is>
          <t>Template drift</t>
        </is>
      </c>
      <c r="H22" t="inlineStr">
        <is>
          <t>Rambles</t>
        </is>
      </c>
    </row>
    <row r="23" ht="15" customHeight="1" s="54">
      <c r="A23" s="44" t="inlineStr">
        <is>
          <t>The {organization} shall regularly review {users} with privileged access rights to ensure that their {duties}, {roles}, {responsibilities}, and {competence} still justify such access</t>
        </is>
      </c>
      <c r="B23" t="inlineStr">
        <is>
          <t>L0b.6.1</t>
        </is>
      </c>
      <c r="C23" t="inlineStr">
        <is>
          <t>Privileged Access Review for System Admins</t>
        </is>
      </c>
      <c r="D23" t="inlineStr">
        <is>
          <t>Yes</t>
        </is>
      </c>
    </row>
    <row r="24" ht="15" customHeight="1" s="54">
      <c r="B24" t="inlineStr">
        <is>
          <t>L0b.6.2</t>
        </is>
      </c>
      <c r="C24" t="inlineStr">
        <is>
          <t>Privileged Access Review for Operations Managers</t>
        </is>
      </c>
      <c r="D24" t="inlineStr">
        <is>
          <t>Yes</t>
        </is>
      </c>
    </row>
    <row r="25" ht="15" customHeight="1" s="54">
      <c r="B25" t="inlineStr">
        <is>
          <t>L0b.6.3</t>
        </is>
      </c>
      <c r="C25" t="inlineStr">
        <is>
          <t>Privileged Access Review for Security Managers</t>
        </is>
      </c>
      <c r="D25" t="inlineStr">
        <is>
          <t>Yes</t>
        </is>
      </c>
    </row>
    <row r="26" ht="15" customHeight="1" s="54">
      <c r="B26" t="inlineStr">
        <is>
          <t>L0b.6.4</t>
        </is>
      </c>
      <c r="C26" t="inlineStr">
        <is>
          <t>Role-Based Access Control Review</t>
        </is>
      </c>
      <c r="D26" t="inlineStr">
        <is>
          <t>Yes</t>
        </is>
      </c>
    </row>
    <row r="27" ht="15" customHeight="1" s="54">
      <c r="B27" t="inlineStr">
        <is>
          <t>L0b.6.5</t>
        </is>
      </c>
      <c r="C27" t="inlineStr">
        <is>
          <t>Competence-Based Access Control Review</t>
        </is>
      </c>
      <c r="D27" t="inlineStr">
        <is>
          <t>Yes</t>
        </is>
      </c>
    </row>
    <row r="28" ht="15" customHeight="1" s="54">
      <c r="A28" s="49" t="inlineStr">
        <is>
          <t>{Connection} of {systems} to the {network} must be restricted and filtered, e.g., using firewalls.</t>
        </is>
      </c>
      <c r="B28" t="inlineStr">
        <is>
          <t>L0b.7.1</t>
        </is>
      </c>
      <c r="C28" t="inlineStr">
        <is>
          <t>Restricted Network Connection for Factory Systems</t>
        </is>
      </c>
      <c r="D28" t="inlineStr">
        <is>
          <t>Yes</t>
        </is>
      </c>
      <c r="E28" t="inlineStr">
        <is>
          <t>H.7.1</t>
        </is>
      </c>
    </row>
    <row r="29">
      <c r="B29" t="inlineStr">
        <is>
          <t>L0b.7.2</t>
        </is>
      </c>
      <c r="C29" t="inlineStr">
        <is>
          <t>Secure IoT Middleware Platform Connection</t>
        </is>
      </c>
      <c r="D29" t="inlineStr">
        <is>
          <t>No</t>
        </is>
      </c>
      <c r="F29" t="inlineStr">
        <is>
          <t>No</t>
        </is>
      </c>
    </row>
    <row r="30">
      <c r="B30" t="inlineStr">
        <is>
          <t>L0b.7.3</t>
        </is>
      </c>
      <c r="C30" t="inlineStr">
        <is>
          <t>Filtered Network Access for Sensors and Actuators</t>
        </is>
      </c>
      <c r="D30" t="inlineStr">
        <is>
          <t>No</t>
        </is>
      </c>
      <c r="F30" t="inlineStr">
        <is>
          <t>No</t>
        </is>
      </c>
    </row>
    <row r="31" ht="29.25" customHeight="1" s="54">
      <c r="A31" s="44" t="inlineStr">
        <is>
          <t>{Network administration channels} must be segregated from {other network traffic}</t>
        </is>
      </c>
      <c r="B31" t="inlineStr">
        <is>
          <t>L0b.8.1</t>
        </is>
      </c>
      <c r="C31" t="inlineStr">
        <is>
          <t>Segregation of Network Administration Channels</t>
        </is>
      </c>
      <c r="D31" t="inlineStr">
        <is>
          <t>Yes</t>
        </is>
      </c>
      <c r="E31" t="inlineStr">
        <is>
          <t>H.9.1</t>
        </is>
      </c>
    </row>
    <row r="32">
      <c r="B32" t="inlineStr">
        <is>
          <t>L0b.8.2</t>
        </is>
      </c>
      <c r="C32" t="inlineStr">
        <is>
          <t>Isolation of Security Manager Network Communications</t>
        </is>
      </c>
      <c r="D32" t="inlineStr">
        <is>
          <t>No</t>
        </is>
      </c>
      <c r="F32" t="inlineStr">
        <is>
          <t>Yes</t>
        </is>
      </c>
      <c r="G32" t="inlineStr">
        <is>
          <t>Architectural infeasibility</t>
        </is>
      </c>
      <c r="H32" t="inlineStr">
        <is>
          <t>Excessive measures</t>
        </is>
      </c>
    </row>
    <row r="33">
      <c r="B33" t="inlineStr">
        <is>
          <t>L0b.8.3</t>
        </is>
      </c>
      <c r="C33" t="inlineStr">
        <is>
          <t>Separation of Operations Manager Network Traffic</t>
        </is>
      </c>
      <c r="D33" t="inlineStr">
        <is>
          <t>No</t>
        </is>
      </c>
      <c r="F33" t="inlineStr">
        <is>
          <t>Yes</t>
        </is>
      </c>
      <c r="G33" t="inlineStr">
        <is>
          <t>Architectural infeasibility</t>
        </is>
      </c>
      <c r="H33" t="inlineStr">
        <is>
          <t>Excessive measures</t>
        </is>
      </c>
    </row>
    <row r="34" ht="15" customHeight="1" s="54">
      <c r="A34" s="49" t="inlineStr">
        <is>
          <t>Implement cryptographic measures to safeguard {information stored} on {mobile user} {endpoint devices} or {storage media} and transmitted over {networks}</t>
        </is>
      </c>
      <c r="B34" t="inlineStr">
        <is>
          <t>L0b.9.1</t>
        </is>
      </c>
      <c r="C34" t="inlineStr">
        <is>
          <t>Secure Yard Driver Handheld Device Data</t>
        </is>
      </c>
      <c r="D34" t="inlineStr">
        <is>
          <t>No</t>
        </is>
      </c>
      <c r="F34" t="inlineStr">
        <is>
          <t>Yes</t>
        </is>
      </c>
      <c r="G34" t="inlineStr">
        <is>
          <t>Template drift</t>
        </is>
      </c>
      <c r="H34" t="inlineStr">
        <is>
          <t>Rambles</t>
        </is>
      </c>
    </row>
    <row r="35">
      <c r="B35" t="inlineStr">
        <is>
          <t>L0b.9.2</t>
        </is>
      </c>
      <c r="C35" t="inlineStr">
        <is>
          <t>Cryptographic Protection of Supply Vehicles Registry</t>
        </is>
      </c>
      <c r="D35" t="inlineStr">
        <is>
          <t>No</t>
        </is>
      </c>
      <c r="F35" t="inlineStr">
        <is>
          <t>Yes</t>
        </is>
      </c>
      <c r="G35" t="inlineStr">
        <is>
          <t>Template drift</t>
        </is>
      </c>
      <c r="H35" t="inlineStr">
        <is>
          <t>Rambles</t>
        </is>
      </c>
    </row>
    <row r="36">
      <c r="B36" t="inlineStr">
        <is>
          <t>L0b.9.3</t>
        </is>
      </c>
      <c r="C36" t="inlineStr">
        <is>
          <t>Secure Warehouse Inventory Data on Handheld Devices</t>
        </is>
      </c>
      <c r="D36" t="inlineStr">
        <is>
          <t>No</t>
        </is>
      </c>
      <c r="F36" t="inlineStr">
        <is>
          <t>Yes</t>
        </is>
      </c>
      <c r="G36" t="inlineStr">
        <is>
          <t>Template drift</t>
        </is>
      </c>
      <c r="H36" t="inlineStr">
        <is>
          <t>Rambles</t>
        </is>
      </c>
    </row>
    <row r="37">
      <c r="B37" t="inlineStr">
        <is>
          <t>L0b.9.4</t>
        </is>
      </c>
      <c r="C37" t="inlineStr">
        <is>
          <t>Protection of Finished Car Registry on Endpoint Devices</t>
        </is>
      </c>
      <c r="D37" t="inlineStr">
        <is>
          <t>No</t>
        </is>
      </c>
      <c r="F37" t="inlineStr">
        <is>
          <t>Yes</t>
        </is>
      </c>
      <c r="G37" t="inlineStr">
        <is>
          <t>Template drift</t>
        </is>
      </c>
      <c r="H37" t="inlineStr">
        <is>
          <t>Rambles</t>
        </is>
      </c>
    </row>
    <row r="38">
      <c r="B38" t="inlineStr">
        <is>
          <t>L0b.9.5</t>
        </is>
      </c>
      <c r="C38" t="inlineStr">
        <is>
          <t>Secure Transmission of Purchase Orders and Transport Orders</t>
        </is>
      </c>
      <c r="D38" t="inlineStr">
        <is>
          <t>Yes</t>
        </is>
      </c>
      <c r="E38" t="inlineStr">
        <is>
          <t>H.9.3</t>
        </is>
      </c>
    </row>
    <row r="39">
      <c r="B39" t="inlineStr">
        <is>
          <t>L0b.9.6</t>
        </is>
      </c>
      <c r="C39" t="inlineStr">
        <is>
          <t>Secure Storage of Requisitions Data Store</t>
        </is>
      </c>
      <c r="D39" t="inlineStr">
        <is>
          <t>Yes</t>
        </is>
      </c>
      <c r="E39" t="inlineStr">
        <is>
          <t>H.9.1</t>
        </is>
      </c>
    </row>
    <row r="40">
      <c r="B40" t="inlineStr">
        <is>
          <t>L0b.9.7</t>
        </is>
      </c>
      <c r="C40" t="inlineStr">
        <is>
          <t>Cryptographic Protection of Logistics Terminal Car Registry</t>
        </is>
      </c>
      <c r="D40" t="inlineStr">
        <is>
          <t>No</t>
        </is>
      </c>
      <c r="F40" t="inlineStr">
        <is>
          <t>Yes</t>
        </is>
      </c>
      <c r="G40" t="inlineStr">
        <is>
          <t>Template drift</t>
        </is>
      </c>
      <c r="H40" t="inlineStr">
        <is>
          <t>Rambles</t>
        </is>
      </c>
    </row>
    <row r="41" ht="15" customHeight="1" s="54">
      <c r="A41" s="49" t="inlineStr">
        <is>
          <t>Establish a comprehensive key management system, including procedures for generating and protecting {cryptographic keys} and recovering {encrypted data} in case of lost, compromised, or damaged {keys}</t>
        </is>
      </c>
      <c r="B41" t="inlineStr">
        <is>
          <t>L0b.10.1</t>
        </is>
      </c>
      <c r="C41" t="inlineStr">
        <is>
          <t>Comprehensive Key Management</t>
        </is>
      </c>
      <c r="D41" t="inlineStr">
        <is>
          <t>Yes</t>
        </is>
      </c>
      <c r="E41" t="inlineStr">
        <is>
          <t>H.10.1; H.10.2</t>
        </is>
      </c>
    </row>
    <row r="42">
      <c r="B42" t="inlineStr">
        <is>
          <t>L0b.10.2</t>
        </is>
      </c>
      <c r="C42" t="inlineStr">
        <is>
          <t>Secure Key Generation and Protection</t>
        </is>
      </c>
      <c r="D42" t="inlineStr">
        <is>
          <t>Yes</t>
        </is>
      </c>
      <c r="E42" t="inlineStr">
        <is>
          <t>H.10.2</t>
        </is>
      </c>
    </row>
    <row r="43">
      <c r="B43" t="inlineStr">
        <is>
          <t>L0b.10.3</t>
        </is>
      </c>
      <c r="C43" t="inlineStr">
        <is>
          <t>Key Recovery and Data Restoration</t>
        </is>
      </c>
      <c r="D43" t="inlineStr">
        <is>
          <t>No</t>
        </is>
      </c>
      <c r="F43" t="inlineStr">
        <is>
          <t>No</t>
        </is>
      </c>
    </row>
    <row r="44">
      <c r="B44" t="inlineStr">
        <is>
          <t>L0b.10.4</t>
        </is>
      </c>
      <c r="C44" t="inlineStr">
        <is>
          <t>Access Control and Authentication for Key Management</t>
        </is>
      </c>
      <c r="D44" t="inlineStr">
        <is>
          <t>No</t>
        </is>
      </c>
      <c r="F44" t="inlineStr">
        <is>
          <t>No</t>
        </is>
      </c>
    </row>
    <row r="45">
      <c r="B45" t="inlineStr">
        <is>
          <t>L0b.10.5</t>
        </is>
      </c>
      <c r="C45" t="inlineStr">
        <is>
          <t>Key Management System Monitoring and Auditing</t>
        </is>
      </c>
      <c r="D45" t="inlineStr">
        <is>
          <t>No</t>
        </is>
      </c>
      <c r="F45" t="inlineStr">
        <is>
          <t>Yes</t>
        </is>
      </c>
      <c r="G45" t="inlineStr">
        <is>
          <t>Template drift</t>
        </is>
      </c>
      <c r="H45" t="inlineStr">
        <is>
          <t>Rambles</t>
        </is>
      </c>
    </row>
    <row r="46" ht="14.45" customHeight="1" s="54">
      <c r="B46" s="16" t="inlineStr">
        <is>
          <t>Count</t>
        </is>
      </c>
      <c r="C46" s="16" t="inlineStr">
        <is>
          <t>No</t>
        </is>
      </c>
      <c r="D46" s="16">
        <f>COUNTIF(D2:D45,"No")</f>
        <v/>
      </c>
      <c r="E46" s="16" t="inlineStr">
        <is>
          <t>Hallucinations</t>
        </is>
      </c>
      <c r="F46" s="16">
        <f>COUNTIF(F2:F45,"Yes")</f>
        <v/>
      </c>
    </row>
    <row r="47" ht="14.45" customHeight="1" s="54">
      <c r="B47" s="47" t="n"/>
      <c r="C47" s="16" t="inlineStr">
        <is>
          <t>Yes</t>
        </is>
      </c>
      <c r="D47" s="16">
        <f>COUNTIF(D2:D45,"Yes")</f>
        <v/>
      </c>
      <c r="E47" s="16" t="inlineStr">
        <is>
          <t>Partial hallucinations</t>
        </is>
      </c>
      <c r="F47">
        <f>COUNTIFS(D:D,"Partial",F:F,"Yes")</f>
        <v/>
      </c>
    </row>
    <row r="48" ht="14.45" customHeight="1" s="54">
      <c r="B48" s="47" t="n"/>
      <c r="C48" s="16" t="inlineStr">
        <is>
          <t>Partial</t>
        </is>
      </c>
      <c r="D48" s="16">
        <f>COUNTIF(D2:D45,"Partial")</f>
        <v/>
      </c>
      <c r="E48" s="10" t="inlineStr">
        <is>
          <t>Template drift</t>
        </is>
      </c>
      <c r="F48">
        <f>COUNTIF($G$2:$G$45,E48)</f>
        <v/>
      </c>
    </row>
    <row r="49" ht="15" customHeight="1" s="54">
      <c r="E49" s="10" t="inlineStr">
        <is>
          <t>Contextual misfit</t>
        </is>
      </c>
      <c r="F49">
        <f>COUNTIF($G$2:$G$45,E49)</f>
        <v/>
      </c>
    </row>
    <row r="50" ht="15" customHeight="1" s="54">
      <c r="E50" s="10" t="inlineStr">
        <is>
          <t>Scope misalignment</t>
        </is>
      </c>
      <c r="F50">
        <f>COUNTIF($G$2:$G$45,E50)</f>
        <v/>
      </c>
    </row>
    <row r="51" ht="15" customHeight="1" s="54">
      <c r="E51" s="10" t="inlineStr">
        <is>
          <t>Responsibility leakage</t>
        </is>
      </c>
      <c r="F51">
        <f>COUNTIF($G$2:$G$45,E51)</f>
        <v/>
      </c>
    </row>
    <row r="52" ht="15" customHeight="1" s="54">
      <c r="E52" s="10" t="inlineStr">
        <is>
          <t>Architectural infeasibility</t>
        </is>
      </c>
      <c r="F52">
        <f>COUNTIF($G$2:$G$45,E52)</f>
        <v/>
      </c>
    </row>
    <row r="53" ht="15" customHeight="1" s="54"/>
    <row r="54" ht="15" customHeight="1" s="54">
      <c r="E54" s="16" t="inlineStr">
        <is>
          <t>Discoveries</t>
        </is>
      </c>
      <c r="F54" s="16">
        <f>COUNTIF(F2:F45,"No")</f>
        <v/>
      </c>
    </row>
    <row r="73">
      <c r="AA73" t="inlineStr">
        <is>
          <t>G0_ii.10.2</t>
        </is>
      </c>
    </row>
  </sheetData>
  <mergeCells count="10">
    <mergeCell ref="A4:A6"/>
    <mergeCell ref="A34:A40"/>
    <mergeCell ref="A28:A30"/>
    <mergeCell ref="A7:A13"/>
    <mergeCell ref="A14:A20"/>
    <mergeCell ref="A2:A3"/>
    <mergeCell ref="A41:A45"/>
    <mergeCell ref="A31:A33"/>
    <mergeCell ref="A23:A27"/>
    <mergeCell ref="A21:A22"/>
  </mergeCells>
  <conditionalFormatting sqref="D2:D45">
    <cfRule type="containsText" priority="6" operator="containsText" dxfId="6" text="Partial">
      <formula>NOT(ISERROR(SEARCH("Partial",D2)))</formula>
    </cfRule>
    <cfRule type="containsText" priority="7" operator="containsText" dxfId="0" text="No">
      <formula>NOT(ISERROR(SEARCH("No",D2)))</formula>
    </cfRule>
    <cfRule type="containsText" priority="8" operator="containsText" dxfId="1" text="Yes">
      <formula>NOT(ISERROR(SEARCH("Yes",D2)))</formula>
    </cfRule>
  </conditionalFormatting>
  <conditionalFormatting sqref="F2:F45">
    <cfRule type="containsText" priority="4" operator="containsText" dxfId="1" text="No">
      <formula>NOT(ISERROR(SEARCH("No",F2)))</formula>
    </cfRule>
    <cfRule type="containsText" priority="5" operator="containsText" dxfId="0" text="Yes">
      <formula>NOT(ISERROR(SEARCH("Yes",F2)))</formula>
    </cfRule>
  </conditionalFormatting>
  <conditionalFormatting sqref="G2:G108">
    <cfRule type="containsText" priority="1" operator="containsText" dxfId="1" text="No">
      <formula>NOT(ISERROR(SEARCH("No",G2)))</formula>
    </cfRule>
    <cfRule type="containsText" priority="2" operator="containsText" dxfId="0" text="Yes">
      <formula>NOT(ISERROR(SEARCH("Yes",G2)))</formula>
    </cfRule>
  </conditionalFormatting>
  <dataValidations count="3">
    <dataValidation sqref="D2:D45" showDropDown="0" showInputMessage="1" showErrorMessage="1" allowBlank="1" type="list" operator="equal">
      <formula1>"Yes,No,Partial"</formula1>
      <formula2>0</formula2>
    </dataValidation>
    <dataValidation sqref="F2:F45" showDropDown="0" showInputMessage="1" showErrorMessage="1" allowBlank="1" type="list" operator="equal">
      <formula1>"Yes,No"</formula1>
      <formula2>0</formula2>
    </dataValidation>
    <dataValidation sqref="G2:G108" showDropDown="0" showInputMessage="1" showErrorMessage="1" allowBlank="1" operator="equal">
      <formula1>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73"/>
  <sheetViews>
    <sheetView zoomScale="85" zoomScaleNormal="85" workbookViewId="0">
      <selection activeCell="E42" sqref="E42:F42"/>
    </sheetView>
  </sheetViews>
  <sheetFormatPr baseColWidth="8" defaultColWidth="9.140625" defaultRowHeight="14.45"/>
  <cols>
    <col width="60.7109375" customWidth="1" style="44" min="1" max="1"/>
    <col width="60.7109375" customWidth="1" style="54" min="3" max="3"/>
    <col width="14.7109375" customWidth="1" style="54" min="4" max="4"/>
    <col width="30.7109375" customWidth="1" style="54" min="5" max="5"/>
    <col width="14.7109375" customWidth="1" style="54" min="6" max="7"/>
    <col width="60.7109375" customWidth="1" style="54" min="8" max="8"/>
  </cols>
  <sheetData>
    <row r="1" customFormat="1" s="53">
      <c r="A1" s="53" t="inlineStr">
        <is>
          <t>Norm</t>
        </is>
      </c>
      <c r="B1" s="53" t="inlineStr">
        <is>
          <t>Q0.#</t>
        </is>
      </c>
      <c r="C1" s="53" t="inlineStr">
        <is>
          <t>Automated requirement name</t>
        </is>
      </c>
      <c r="D1" s="53" t="inlineStr">
        <is>
          <t>Present</t>
        </is>
      </c>
      <c r="E1" s="53" t="inlineStr">
        <is>
          <t>Support</t>
        </is>
      </c>
      <c r="F1" s="53" t="inlineStr">
        <is>
          <t>Hallucination</t>
        </is>
      </c>
      <c r="G1" s="53" t="inlineStr">
        <is>
          <t>Hall. Type</t>
        </is>
      </c>
      <c r="H1" s="53" t="inlineStr">
        <is>
          <t>Rationale</t>
        </is>
      </c>
    </row>
    <row r="2" ht="15" customHeight="1" s="54">
      <c r="A2" s="49" t="inlineStr">
        <is>
          <t>Help messages during the {log-on procedure} must not aid an unauthorized user, e.g., by indicating which {parts of the data} are correct or incorrect</t>
        </is>
      </c>
      <c r="B2" t="inlineStr">
        <is>
          <t>Q0.1.1</t>
        </is>
      </c>
      <c r="C2" t="inlineStr">
        <is>
          <t>Confidential Log-On Feedback</t>
        </is>
      </c>
      <c r="D2" t="inlineStr">
        <is>
          <t>Yes</t>
        </is>
      </c>
      <c r="E2" t="inlineStr">
        <is>
          <t>H.1.1</t>
        </is>
      </c>
    </row>
    <row r="3" ht="15" customHeight="1" s="54">
      <c r="B3" t="inlineStr">
        <is>
          <t>Q0.1.2</t>
        </is>
      </c>
      <c r="C3" t="inlineStr">
        <is>
          <t>Uniform Login Failure Response</t>
        </is>
      </c>
      <c r="D3" t="inlineStr">
        <is>
          <t>Yes</t>
        </is>
      </c>
      <c r="E3" t="inlineStr">
        <is>
          <t>H.1.1</t>
        </is>
      </c>
    </row>
    <row r="4" ht="15" customHeight="1" s="54">
      <c r="A4" s="49" t="inlineStr">
        <is>
          <t>A security incident must be raised if a potential attempted or successful breach of {log-on controls} is detected, and, when the risk of the incident warrants it, the account shall be temporarily restricted, plus an alert shall be sent to the {account owner}, and to the {organization's system administrators}.</t>
        </is>
      </c>
      <c r="B4" t="inlineStr">
        <is>
          <t>Q0.2.1</t>
        </is>
      </c>
      <c r="C4" t="inlineStr">
        <is>
          <t>EnhancedLogOnControlsSurveillance</t>
        </is>
      </c>
      <c r="D4" t="inlineStr">
        <is>
          <t>Yes</t>
        </is>
      </c>
      <c r="E4" t="inlineStr">
        <is>
          <t>H.2.1</t>
        </is>
      </c>
    </row>
    <row r="5" ht="16.35" customHeight="1" s="54">
      <c r="A5" s="49" t="inlineStr">
        <is>
          <t>Physical or logical access controls must be implemented to isolate {sensitive applications, data, or systems}.</t>
        </is>
      </c>
      <c r="B5" t="inlineStr">
        <is>
          <t>Q0.3.1</t>
        </is>
      </c>
      <c r="C5" t="inlineStr">
        <is>
          <t>IsolatedAccessControlSystemForSupplyVehicleManagement</t>
        </is>
      </c>
      <c r="D5" t="inlineStr">
        <is>
          <t>Yes</t>
        </is>
      </c>
      <c r="E5" t="inlineStr">
        <is>
          <t>H.3.4</t>
        </is>
      </c>
    </row>
    <row r="6">
      <c r="B6" t="inlineStr">
        <is>
          <t>Q0.3.2</t>
        </is>
      </c>
      <c r="C6" t="inlineStr">
        <is>
          <t>SecureProductionManagementSystemAccess</t>
        </is>
      </c>
      <c r="D6" t="inlineStr">
        <is>
          <t>No</t>
        </is>
      </c>
      <c r="F6" t="inlineStr">
        <is>
          <t>Yes</t>
        </is>
      </c>
      <c r="G6" t="inlineStr">
        <is>
          <t>Contextual misfit</t>
        </is>
      </c>
    </row>
    <row r="7" ht="15" customHeight="1" s="54">
      <c r="B7" t="inlineStr">
        <is>
          <t>Q0.3.3</t>
        </is>
      </c>
      <c r="C7" t="inlineStr">
        <is>
          <t>ConfidentialRequisitionsDataStoreAccess</t>
        </is>
      </c>
      <c r="D7" t="inlineStr">
        <is>
          <t>Yes</t>
        </is>
      </c>
      <c r="E7" t="inlineStr">
        <is>
          <t>H.3.1</t>
        </is>
      </c>
    </row>
    <row r="8" ht="15" customHeight="1" s="54">
      <c r="B8" t="inlineStr">
        <is>
          <t>Q0.3.4</t>
        </is>
      </c>
      <c r="C8" t="inlineStr">
        <is>
          <t>WarehouseInventoryDataSecurity</t>
        </is>
      </c>
      <c r="D8" t="inlineStr">
        <is>
          <t>Yes</t>
        </is>
      </c>
      <c r="E8" t="inlineStr">
        <is>
          <t>H.3.1</t>
        </is>
      </c>
    </row>
    <row r="9" ht="15" customHeight="1" s="54">
      <c r="B9" t="inlineStr">
        <is>
          <t>Q0.3.5</t>
        </is>
      </c>
      <c r="C9" t="inlineStr">
        <is>
          <t>SecuredFinishedCarRegistryAccess</t>
        </is>
      </c>
      <c r="D9" t="inlineStr">
        <is>
          <t>Yes</t>
        </is>
      </c>
      <c r="E9" t="inlineStr">
        <is>
          <t>H.3.1</t>
        </is>
      </c>
    </row>
    <row r="10" ht="15" customHeight="1" s="54">
      <c r="B10" t="inlineStr">
        <is>
          <t>Q0.3.6</t>
        </is>
      </c>
      <c r="C10" t="inlineStr">
        <is>
          <t>IsolatedIoTMiddlewarePlatformSecurity</t>
        </is>
      </c>
      <c r="D10" t="inlineStr">
        <is>
          <t>No</t>
        </is>
      </c>
      <c r="F10" t="inlineStr">
        <is>
          <t>No</t>
        </is>
      </c>
    </row>
    <row r="11" ht="15" customHeight="1" s="54">
      <c r="B11" t="inlineStr">
        <is>
          <t>Q0.3.7</t>
        </is>
      </c>
      <c r="C11" t="inlineStr">
        <is>
          <t>AssemblyLineManagementSystemProtection</t>
        </is>
      </c>
      <c r="D11" t="inlineStr">
        <is>
          <t>No</t>
        </is>
      </c>
      <c r="F11" t="inlineStr">
        <is>
          <t>Yes</t>
        </is>
      </c>
      <c r="G11" t="inlineStr">
        <is>
          <t>Contextual misfit</t>
        </is>
      </c>
    </row>
    <row r="12" ht="15" customHeight="1" s="54">
      <c r="B12" t="inlineStr">
        <is>
          <t>Q0.3.8</t>
        </is>
      </c>
      <c r="C12" t="inlineStr">
        <is>
          <t>SystemAdminRoleAccessControl</t>
        </is>
      </c>
      <c r="D12" t="inlineStr">
        <is>
          <t>No</t>
        </is>
      </c>
      <c r="F12" t="inlineStr">
        <is>
          <t>Yes</t>
        </is>
      </c>
      <c r="G12" t="inlineStr">
        <is>
          <t>Template drift</t>
        </is>
      </c>
    </row>
    <row r="13" ht="15" customHeight="1" s="54">
      <c r="B13" t="inlineStr">
        <is>
          <t>Q0.3.9</t>
        </is>
      </c>
      <c r="C13" t="inlineStr">
        <is>
          <t>SecurityManagerOversightImplementation</t>
        </is>
      </c>
      <c r="D13" t="inlineStr">
        <is>
          <t>No</t>
        </is>
      </c>
      <c r="F13" t="inlineStr">
        <is>
          <t>Yes</t>
        </is>
      </c>
      <c r="G13" t="inlineStr">
        <is>
          <t>Template drift</t>
        </is>
      </c>
    </row>
    <row r="14" ht="15" customHeight="1" s="54">
      <c r="A14" s="49" t="inlineStr">
        <is>
          <t>{Access to data} must be controlled based on {user identity, group membership, and assigned roles}</t>
        </is>
      </c>
      <c r="B14" t="inlineStr">
        <is>
          <t>Q0.4.1</t>
        </is>
      </c>
      <c r="C14" t="inlineStr">
        <is>
          <t>Role-Based_Access_Control</t>
        </is>
      </c>
      <c r="D14" t="inlineStr">
        <is>
          <t>Yes</t>
        </is>
      </c>
      <c r="E14" t="inlineStr">
        <is>
          <t>H.4.7</t>
        </is>
      </c>
    </row>
    <row r="15" ht="15" customHeight="1" s="54">
      <c r="B15" t="inlineStr">
        <is>
          <t>Q0.4.2</t>
        </is>
      </c>
      <c r="C15" t="inlineStr">
        <is>
          <t>User_Authentication_and_Authorization</t>
        </is>
      </c>
      <c r="D15" t="inlineStr">
        <is>
          <t>No</t>
        </is>
      </c>
      <c r="F15" t="inlineStr">
        <is>
          <t>Yes</t>
        </is>
      </c>
      <c r="G15" t="inlineStr">
        <is>
          <t>Template drift</t>
        </is>
      </c>
    </row>
    <row r="16" ht="15" customHeight="1" s="54">
      <c r="B16" t="inlineStr">
        <is>
          <t>Q0.4.3</t>
        </is>
      </c>
      <c r="C16" t="inlineStr">
        <is>
          <t>Access_Control_Manager_Permissions</t>
        </is>
      </c>
      <c r="D16" t="inlineStr">
        <is>
          <t>Yes</t>
        </is>
      </c>
      <c r="E16" t="inlineStr">
        <is>
          <t>H.4.1</t>
        </is>
      </c>
    </row>
    <row r="17">
      <c r="B17" t="inlineStr">
        <is>
          <t>Q0.4.4</t>
        </is>
      </c>
      <c r="C17" t="inlineStr">
        <is>
          <t>Dock_Manager_Permissions</t>
        </is>
      </c>
      <c r="D17" t="inlineStr">
        <is>
          <t>Yes</t>
        </is>
      </c>
      <c r="E17" t="inlineStr">
        <is>
          <t>H.4.4</t>
        </is>
      </c>
    </row>
    <row r="18">
      <c r="B18" t="inlineStr">
        <is>
          <t>Q0.4.5</t>
        </is>
      </c>
      <c r="C18" t="inlineStr">
        <is>
          <t>Warehouse_Manager_Permissions</t>
        </is>
      </c>
      <c r="D18" t="inlineStr">
        <is>
          <t>Yes</t>
        </is>
      </c>
      <c r="E18" t="inlineStr">
        <is>
          <t>H.4.5</t>
        </is>
      </c>
    </row>
    <row r="19">
      <c r="B19" t="inlineStr">
        <is>
          <t>Q0.4.6</t>
        </is>
      </c>
      <c r="C19" t="inlineStr">
        <is>
          <t>Plant_Manager_Permissions</t>
        </is>
      </c>
      <c r="D19" t="inlineStr">
        <is>
          <t>No</t>
        </is>
      </c>
      <c r="F19" t="inlineStr">
        <is>
          <t>No</t>
        </is>
      </c>
    </row>
    <row r="20">
      <c r="B20" t="inlineStr">
        <is>
          <t>Q0.4.7</t>
        </is>
      </c>
      <c r="C20" t="inlineStr">
        <is>
          <t>Assembly_Line_Workers_Permissions</t>
        </is>
      </c>
      <c r="D20" t="inlineStr">
        <is>
          <t>No</t>
        </is>
      </c>
      <c r="F20" t="inlineStr">
        <is>
          <t>Yes</t>
        </is>
      </c>
      <c r="G20" t="inlineStr">
        <is>
          <t>Contextual misfit</t>
        </is>
      </c>
      <c r="H20" t="inlineStr">
        <is>
          <t>Incorrect assumption</t>
        </is>
      </c>
    </row>
    <row r="21">
      <c r="B21" t="inlineStr">
        <is>
          <t>Q0.4.8</t>
        </is>
      </c>
      <c r="C21" t="inlineStr">
        <is>
          <t>Finished_Car_Yard_Manager_Permissions</t>
        </is>
      </c>
      <c r="D21" t="inlineStr">
        <is>
          <t>No</t>
        </is>
      </c>
      <c r="F21" t="inlineStr">
        <is>
          <t>No</t>
        </is>
      </c>
    </row>
    <row r="22">
      <c r="B22" t="inlineStr">
        <is>
          <t>Q0.4.9</t>
        </is>
      </c>
      <c r="C22" t="inlineStr">
        <is>
          <t>Shipping_Manager_Permissions</t>
        </is>
      </c>
      <c r="D22" t="inlineStr">
        <is>
          <t>No</t>
        </is>
      </c>
      <c r="F22" t="inlineStr">
        <is>
          <t>No</t>
        </is>
      </c>
    </row>
    <row r="23">
      <c r="B23" t="inlineStr">
        <is>
          <t>Q0.4.10</t>
        </is>
      </c>
      <c r="C23" t="inlineStr">
        <is>
          <t>Datastore_Access_Control</t>
        </is>
      </c>
      <c r="D23" t="inlineStr">
        <is>
          <t>Yes</t>
        </is>
      </c>
      <c r="E23" t="inlineStr">
        <is>
          <t>H.4.1; H.4.2; H.4.3; H.4.4; H.4.5</t>
        </is>
      </c>
    </row>
    <row r="24">
      <c r="B24" t="inlineStr">
        <is>
          <t>Q0.4.11</t>
        </is>
      </c>
      <c r="C24" t="inlineStr">
        <is>
          <t>Subsystem_Specific_Access</t>
        </is>
      </c>
      <c r="D24" t="inlineStr">
        <is>
          <t>No</t>
        </is>
      </c>
      <c r="F24" t="inlineStr">
        <is>
          <t>Yes</t>
        </is>
      </c>
      <c r="G24" t="inlineStr">
        <is>
          <t>Template drift</t>
        </is>
      </c>
    </row>
    <row r="25">
      <c r="B25" t="inlineStr">
        <is>
          <t>Q0.4.12</t>
        </is>
      </c>
      <c r="C25" t="inlineStr">
        <is>
          <t>Use_Case_Access_Control</t>
        </is>
      </c>
      <c r="D25" t="inlineStr">
        <is>
          <t>Partial</t>
        </is>
      </c>
      <c r="E25" t="inlineStr">
        <is>
          <t>H.4.8</t>
        </is>
      </c>
      <c r="F25" t="inlineStr">
        <is>
          <t>Yes</t>
        </is>
      </c>
      <c r="G25" t="inlineStr">
        <is>
          <t>Template drift</t>
        </is>
      </c>
      <c r="H25" t="inlineStr">
        <is>
          <t>Partial hall.</t>
        </is>
      </c>
    </row>
    <row r="26">
      <c r="A26" s="49" t="inlineStr">
        <is>
          <t>The {organization} shall maintain a record of {all privileges allocated}</t>
        </is>
      </c>
      <c r="B26" t="inlineStr">
        <is>
          <t>Q0.5.1</t>
        </is>
      </c>
      <c r="C26" t="inlineStr">
        <is>
          <t>Maintain Comprehensive Privilege Allocation Records</t>
        </is>
      </c>
      <c r="D26" t="inlineStr">
        <is>
          <t>Yes</t>
        </is>
      </c>
      <c r="E26" t="inlineStr">
        <is>
          <t>H.5.1; H.5.2</t>
        </is>
      </c>
    </row>
    <row r="27" ht="43.5" customHeight="1" s="54">
      <c r="A27" s="44" t="inlineStr">
        <is>
          <t>The {organization} shall regularly review {users} with privileged access rights to ensure that their {duties}, {roles}, {responsibilities}, and {competence} still justify such access</t>
        </is>
      </c>
      <c r="B27" t="inlineStr">
        <is>
          <t>Q0.6.1</t>
        </is>
      </c>
      <c r="C27" t="inlineStr">
        <is>
          <t>Periodic Review of Privileged Access Rights</t>
        </is>
      </c>
      <c r="D27" t="inlineStr">
        <is>
          <t>Yes</t>
        </is>
      </c>
      <c r="E27" t="inlineStr">
        <is>
          <t>H.6.1</t>
        </is>
      </c>
      <c r="H27" t="inlineStr">
        <is>
          <t>Includes irrelevant periodicity</t>
        </is>
      </c>
    </row>
    <row r="28" ht="29.1" customHeight="1" s="54">
      <c r="A28" s="49" t="inlineStr">
        <is>
          <t>{Connection} of {systems} to the {network} must be restricted and filtered, e.g., using firewalls.</t>
        </is>
      </c>
      <c r="B28" t="inlineStr">
        <is>
          <t>Q0.7.1</t>
        </is>
      </c>
      <c r="C28" t="inlineStr">
        <is>
          <t>Network Access Control Enforcement</t>
        </is>
      </c>
      <c r="D28" t="inlineStr">
        <is>
          <t>Yes</t>
        </is>
      </c>
      <c r="E28" t="inlineStr">
        <is>
          <t>H.7.1; H.7.3</t>
        </is>
      </c>
    </row>
    <row r="29" ht="15" customHeight="1" s="54">
      <c r="A29" s="44" t="inlineStr">
        <is>
          <t>{Network administration channels} must be segregated from {other network traffic}</t>
        </is>
      </c>
      <c r="B29" t="inlineStr">
        <is>
          <t>Q0.8.1</t>
        </is>
      </c>
      <c r="C29" t="inlineStr">
        <is>
          <t>Secure Isolation of Administration Traffic</t>
        </is>
      </c>
      <c r="D29" t="inlineStr">
        <is>
          <t>Yes</t>
        </is>
      </c>
      <c r="E29" t="inlineStr">
        <is>
          <t>H.8.1</t>
        </is>
      </c>
    </row>
    <row r="30" ht="15" customHeight="1" s="54">
      <c r="A30" s="49" t="inlineStr">
        <is>
          <t>Implement cryptographic measures to safeguard {information stored} on {mobile user} {endpoint devices} or {storage media} and transmitted over {networks}</t>
        </is>
      </c>
      <c r="B30" t="inlineStr">
        <is>
          <t>Q0.9.1</t>
        </is>
      </c>
      <c r="C30" t="inlineStr">
        <is>
          <t>CryptographicProtectionOfDataAtRest</t>
        </is>
      </c>
      <c r="D30" t="inlineStr">
        <is>
          <t>Yes</t>
        </is>
      </c>
      <c r="E30" t="inlineStr">
        <is>
          <t>H.9.1</t>
        </is>
      </c>
    </row>
    <row r="31">
      <c r="B31" t="inlineStr">
        <is>
          <t>Q0.9.2</t>
        </is>
      </c>
      <c r="C31" t="inlineStr">
        <is>
          <t>SecureEncryptionForDataInTransit</t>
        </is>
      </c>
      <c r="D31" t="inlineStr">
        <is>
          <t>Yes</t>
        </is>
      </c>
      <c r="E31" t="inlineStr">
        <is>
          <t>H.9.3</t>
        </is>
      </c>
    </row>
    <row r="32" ht="15" customHeight="1" s="54">
      <c r="B32" t="inlineStr">
        <is>
          <t>Q0.9.3</t>
        </is>
      </c>
      <c r="C32" t="inlineStr">
        <is>
          <t>ConfidentialityAndIntegrityOfPhysicalDataCarriers</t>
        </is>
      </c>
      <c r="D32" t="inlineStr">
        <is>
          <t>Yes</t>
        </is>
      </c>
      <c r="E32" t="inlineStr">
        <is>
          <t>H.9.2</t>
        </is>
      </c>
    </row>
    <row r="33">
      <c r="B33" t="inlineStr">
        <is>
          <t>Q0.9.4</t>
        </is>
      </c>
      <c r="C33" t="inlineStr">
        <is>
          <t>SecureAuthenticationAndKeyManagement</t>
        </is>
      </c>
      <c r="D33" t="inlineStr">
        <is>
          <t>No</t>
        </is>
      </c>
      <c r="F33" t="inlineStr">
        <is>
          <t>Yes</t>
        </is>
      </c>
      <c r="G33" t="inlineStr">
        <is>
          <t>Template drift</t>
        </is>
      </c>
    </row>
    <row r="34" ht="16.35" customHeight="1" s="54">
      <c r="A34" s="49" t="inlineStr">
        <is>
          <t>Establish a comprehensive key management system, including procedures for generating and protecting {cryptographic keys} and recovering {encrypted data} in case of lost, compromised, or damaged {keys}</t>
        </is>
      </c>
      <c r="B34" t="inlineStr">
        <is>
          <t>Q0.10.1</t>
        </is>
      </c>
      <c r="C34" t="inlineStr">
        <is>
          <t>Secure Key Lifecycle Management</t>
        </is>
      </c>
      <c r="D34" t="inlineStr">
        <is>
          <t>Yes</t>
        </is>
      </c>
      <c r="E34" t="inlineStr">
        <is>
          <t>H.10.3</t>
        </is>
      </c>
    </row>
    <row r="35">
      <c r="B35" t="inlineStr">
        <is>
          <t>Q0.10.2</t>
        </is>
      </c>
      <c r="C35" t="inlineStr">
        <is>
          <t>Endpoint Device Data Protection</t>
        </is>
      </c>
      <c r="D35" t="inlineStr">
        <is>
          <t>No</t>
        </is>
      </c>
      <c r="F35" t="inlineStr">
        <is>
          <t>Yes</t>
        </is>
      </c>
      <c r="G35" t="inlineStr">
        <is>
          <t>Template drift</t>
        </is>
      </c>
    </row>
    <row r="36" ht="15" customHeight="1" s="54">
      <c r="B36" t="inlineStr">
        <is>
          <t>Q0.10.3</t>
        </is>
      </c>
      <c r="C36" t="inlineStr">
        <is>
          <t>Secure Storage Media Handling</t>
        </is>
      </c>
      <c r="D36" t="inlineStr">
        <is>
          <t>No</t>
        </is>
      </c>
      <c r="F36" t="inlineStr">
        <is>
          <t>Yes</t>
        </is>
      </c>
      <c r="G36" t="inlineStr">
        <is>
          <t>Template drift</t>
        </is>
      </c>
    </row>
    <row r="37">
      <c r="B37" t="inlineStr">
        <is>
          <t>Q0.10.4</t>
        </is>
      </c>
      <c r="C37" t="inlineStr">
        <is>
          <t>Network Communication Security</t>
        </is>
      </c>
      <c r="D37" t="inlineStr">
        <is>
          <t>No</t>
        </is>
      </c>
      <c r="F37" t="inlineStr">
        <is>
          <t>Yes</t>
        </is>
      </c>
      <c r="G37" t="inlineStr">
        <is>
          <t>Template drift</t>
        </is>
      </c>
    </row>
    <row r="38">
      <c r="B38" t="inlineStr">
        <is>
          <t>Q0.10.5</t>
        </is>
      </c>
      <c r="C38" t="inlineStr">
        <is>
          <t>Data Transmission Integrity</t>
        </is>
      </c>
      <c r="D38" t="inlineStr">
        <is>
          <t>No</t>
        </is>
      </c>
      <c r="F38" t="inlineStr">
        <is>
          <t>Yes</t>
        </is>
      </c>
      <c r="G38" t="inlineStr">
        <is>
          <t>Template drift</t>
        </is>
      </c>
    </row>
    <row r="39">
      <c r="B39" t="inlineStr">
        <is>
          <t>Q0.10.6</t>
        </is>
      </c>
      <c r="C39" t="inlineStr">
        <is>
          <t>IoT Middleware Security</t>
        </is>
      </c>
      <c r="D39" t="inlineStr">
        <is>
          <t>No</t>
        </is>
      </c>
      <c r="F39" t="inlineStr">
        <is>
          <t>Yes</t>
        </is>
      </c>
      <c r="G39" t="inlineStr">
        <is>
          <t>Template drift</t>
        </is>
      </c>
    </row>
    <row r="40">
      <c r="B40" t="inlineStr">
        <is>
          <t>Q0.10.7</t>
        </is>
      </c>
      <c r="C40" t="inlineStr">
        <is>
          <t>Administrative Device Encryption</t>
        </is>
      </c>
      <c r="D40" t="inlineStr">
        <is>
          <t>No</t>
        </is>
      </c>
      <c r="F40" t="inlineStr">
        <is>
          <t>Yes</t>
        </is>
      </c>
      <c r="G40" t="inlineStr">
        <is>
          <t>Template drift</t>
        </is>
      </c>
    </row>
    <row r="41" ht="14.45" customHeight="1" s="54">
      <c r="B41" s="16" t="inlineStr">
        <is>
          <t>Count</t>
        </is>
      </c>
      <c r="C41" s="16" t="inlineStr">
        <is>
          <t>No</t>
        </is>
      </c>
      <c r="D41" s="16">
        <f>COUNTIF(D2:D40,"No")</f>
        <v/>
      </c>
      <c r="E41" s="16" t="inlineStr">
        <is>
          <t>Hallucinations</t>
        </is>
      </c>
      <c r="F41" s="16">
        <f>COUNTIF(F2:F40,"Yes")</f>
        <v/>
      </c>
    </row>
    <row r="42" ht="14.45" customHeight="1" s="54">
      <c r="B42" s="47" t="n"/>
      <c r="C42" s="16" t="inlineStr">
        <is>
          <t>Yes</t>
        </is>
      </c>
      <c r="D42" s="16">
        <f>COUNTIF(D2:D40,"Yes")</f>
        <v/>
      </c>
      <c r="E42" s="16" t="inlineStr">
        <is>
          <t>Partial hallucinations</t>
        </is>
      </c>
      <c r="F42">
        <f>COUNTIFS(D:D,"Partial",F:F,"Yes")</f>
        <v/>
      </c>
    </row>
    <row r="43" ht="14.45" customHeight="1" s="54">
      <c r="B43" s="47" t="n"/>
      <c r="C43" s="16" t="inlineStr">
        <is>
          <t>Partial</t>
        </is>
      </c>
      <c r="D43" s="16">
        <f>COUNTIF(D2:D40,"Partial")</f>
        <v/>
      </c>
      <c r="E43" s="10" t="inlineStr">
        <is>
          <t>Template drift</t>
        </is>
      </c>
      <c r="F43">
        <f>COUNTIF($G$2:$G$40,E43)</f>
        <v/>
      </c>
    </row>
    <row r="44" ht="15" customHeight="1" s="54">
      <c r="E44" s="10" t="inlineStr">
        <is>
          <t>Contextual misfit</t>
        </is>
      </c>
      <c r="F44">
        <f>COUNTIF($G$2:$G$40,E44)</f>
        <v/>
      </c>
    </row>
    <row r="45" ht="15" customHeight="1" s="54">
      <c r="E45" s="10" t="inlineStr">
        <is>
          <t>Scope misalignment</t>
        </is>
      </c>
      <c r="F45">
        <f>COUNTIF($G$2:$G$40,E45)</f>
        <v/>
      </c>
    </row>
    <row r="46" ht="15" customHeight="1" s="54">
      <c r="E46" s="10" t="inlineStr">
        <is>
          <t>Responsibility leakage</t>
        </is>
      </c>
      <c r="F46">
        <f>COUNTIF($G$2:$G$40,E46)</f>
        <v/>
      </c>
    </row>
    <row r="47" ht="15" customHeight="1" s="54">
      <c r="E47" s="10" t="inlineStr">
        <is>
          <t>Architectural infeasibility</t>
        </is>
      </c>
      <c r="F47">
        <f>COUNTIF($G$2:$G$40,E47)</f>
        <v/>
      </c>
    </row>
    <row r="48" ht="15" customHeight="1" s="54"/>
    <row r="49" ht="15" customHeight="1" s="54">
      <c r="E49" s="16" t="inlineStr">
        <is>
          <t>Discoveries</t>
        </is>
      </c>
      <c r="F49" s="16">
        <f>COUNTIF(F2:F40,"No")</f>
        <v/>
      </c>
    </row>
    <row r="73">
      <c r="AA73" t="inlineStr">
        <is>
          <t>G0_ii.10.2</t>
        </is>
      </c>
    </row>
  </sheetData>
  <mergeCells count="5">
    <mergeCell ref="A5:A13"/>
    <mergeCell ref="A34:A40"/>
    <mergeCell ref="A14:A25"/>
    <mergeCell ref="A30:A33"/>
    <mergeCell ref="A2:A3"/>
  </mergeCells>
  <conditionalFormatting sqref="D2:D40">
    <cfRule type="containsText" priority="4" operator="containsText" dxfId="6" text="Partial">
      <formula>NOT(ISERROR(SEARCH("Partial",D2)))</formula>
    </cfRule>
    <cfRule type="containsText" priority="5" operator="containsText" dxfId="0" text="No">
      <formula>NOT(ISERROR(SEARCH("No",D2)))</formula>
    </cfRule>
    <cfRule type="containsText" priority="6" operator="containsText" dxfId="1" text="Yes">
      <formula>NOT(ISERROR(SEARCH("Yes",D2)))</formula>
    </cfRule>
  </conditionalFormatting>
  <conditionalFormatting sqref="F2:F40">
    <cfRule type="containsText" priority="2" operator="containsText" dxfId="1" text="No">
      <formula>NOT(ISERROR(SEARCH("No",F2)))</formula>
    </cfRule>
    <cfRule type="containsText" priority="3" operator="containsText" dxfId="0" text="Yes">
      <formula>NOT(ISERROR(SEARCH("Yes",F2)))</formula>
    </cfRule>
  </conditionalFormatting>
  <conditionalFormatting sqref="G2:G23 G25:G108">
    <cfRule type="containsText" priority="10" operator="containsText" dxfId="1" text="No">
      <formula>NOT(ISERROR(SEARCH("No",G2)))</formula>
    </cfRule>
    <cfRule type="containsText" priority="11" operator="containsText" dxfId="0" text="Yes">
      <formula>NOT(ISERROR(SEARCH("Yes",G2)))</formula>
    </cfRule>
  </conditionalFormatting>
  <dataValidations count="3">
    <dataValidation sqref="D2:D40" showDropDown="0" showInputMessage="1" showErrorMessage="1" allowBlank="1" type="list" operator="equal">
      <formula1>"Yes;No;Partial"</formula1>
      <formula2>0</formula2>
    </dataValidation>
    <dataValidation sqref="F2:F40" showDropDown="0" showInputMessage="1" showErrorMessage="1" allowBlank="1" type="list" operator="equal">
      <formula1>"Yes,No"</formula1>
      <formula2>0</formula2>
    </dataValidation>
    <dataValidation sqref="G2:G23 G25:G108" showDropDown="0" showInputMessage="1" showErrorMessage="1" allowBlank="1" operator="equal">
      <formula1>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73"/>
  <sheetViews>
    <sheetView zoomScale="85" zoomScaleNormal="85" workbookViewId="0">
      <selection activeCell="E29" sqref="E29:F29"/>
    </sheetView>
  </sheetViews>
  <sheetFormatPr baseColWidth="8" defaultColWidth="9.140625" defaultRowHeight="14.45"/>
  <cols>
    <col width="60.7109375" customWidth="1" style="44" min="1" max="1"/>
    <col width="60.7109375" customWidth="1" style="54" min="3" max="3"/>
    <col width="14.7109375" customWidth="1" style="54" min="4" max="4"/>
    <col width="30.7109375" customWidth="1" style="54" min="5" max="5"/>
    <col width="14.7109375" customWidth="1" style="54" min="6" max="7"/>
    <col width="60.7109375" customWidth="1" style="54" min="8" max="8"/>
  </cols>
  <sheetData>
    <row r="1" customFormat="1" s="53">
      <c r="A1" s="53" t="inlineStr">
        <is>
          <t>Norm</t>
        </is>
      </c>
      <c r="B1" s="53" t="inlineStr">
        <is>
          <t>Q0_ii.#</t>
        </is>
      </c>
      <c r="C1" s="53" t="inlineStr">
        <is>
          <t>Automated requirement name</t>
        </is>
      </c>
      <c r="D1" s="53" t="inlineStr">
        <is>
          <t>Present</t>
        </is>
      </c>
      <c r="E1" s="53" t="inlineStr">
        <is>
          <t>Support</t>
        </is>
      </c>
      <c r="F1" s="53" t="inlineStr">
        <is>
          <t>Hallucination</t>
        </is>
      </c>
      <c r="G1" s="53" t="inlineStr">
        <is>
          <t>Hall. Type</t>
        </is>
      </c>
      <c r="H1" s="53" t="inlineStr">
        <is>
          <t>Rationale</t>
        </is>
      </c>
    </row>
    <row r="2" ht="15" customHeight="1" s="54">
      <c r="A2" s="49" t="inlineStr">
        <is>
          <t>Help messages during the {log-on procedure} must not aid an unauthorized user, e.g., by indicating which {parts of the data} are correct or incorrect</t>
        </is>
      </c>
      <c r="B2" t="inlineStr">
        <is>
          <t>Q0_ii.1.1</t>
        </is>
      </c>
      <c r="C2" t="inlineStr">
        <is>
          <t>Secure Log-On Procedure</t>
        </is>
      </c>
      <c r="D2" t="inlineStr">
        <is>
          <t>Yes</t>
        </is>
      </c>
      <c r="E2" t="inlineStr">
        <is>
          <t>H.1.1</t>
        </is>
      </c>
    </row>
    <row r="3" ht="15" customHeight="1" s="54">
      <c r="A3" s="49" t="inlineStr">
        <is>
          <t>A security incident must be raised if a potential attempted or successful breach of {log-on controls} is detected, and, when the risk of the incident warrants it, the account shall be temporarily restricted, plus an alert shall be sent to the {account owner}, and to the {organization's system administrators}.</t>
        </is>
      </c>
      <c r="B3" t="inlineStr">
        <is>
          <t>Q0_ii.2.1</t>
        </is>
      </c>
      <c r="C3" t="inlineStr">
        <is>
          <t>Enhanced Log-On Controls Monitoring</t>
        </is>
      </c>
      <c r="D3" t="inlineStr">
        <is>
          <t>Yes</t>
        </is>
      </c>
      <c r="E3" t="inlineStr">
        <is>
          <t>H.2.1</t>
        </is>
      </c>
    </row>
    <row r="4" ht="15" customHeight="1" s="54">
      <c r="B4" t="inlineStr">
        <is>
          <t>Q0_ii.2.2</t>
        </is>
      </c>
      <c r="C4" t="inlineStr">
        <is>
          <t>Alert Notification for Failed Access Attempts</t>
        </is>
      </c>
      <c r="D4" t="inlineStr">
        <is>
          <t>Yes</t>
        </is>
      </c>
      <c r="E4" t="inlineStr">
        <is>
          <t>H.2.1</t>
        </is>
      </c>
    </row>
    <row r="5" ht="15" customHeight="1" s="54">
      <c r="A5" s="49" t="inlineStr">
        <is>
          <t>Physical or logical access controls must be implemented to isolate {sensitive applications, data, or systems}.</t>
        </is>
      </c>
      <c r="B5" t="inlineStr">
        <is>
          <t>Q0_ii.3.1</t>
        </is>
      </c>
      <c r="C5" t="inlineStr">
        <is>
          <t>Access Control for Sensitive Logistics Data</t>
        </is>
      </c>
      <c r="D5" t="inlineStr">
        <is>
          <t>Yes</t>
        </is>
      </c>
      <c r="E5" t="inlineStr">
        <is>
          <t>H.3.1; H.3.4</t>
        </is>
      </c>
    </row>
    <row r="6" ht="15" customHeight="1" s="54">
      <c r="B6" t="inlineStr">
        <is>
          <t>Q0_ii.3.2</t>
        </is>
      </c>
      <c r="C6" t="inlineStr">
        <is>
          <t>Isolation of Critical Manufacturing Systems</t>
        </is>
      </c>
      <c r="D6" t="inlineStr">
        <is>
          <t>No</t>
        </is>
      </c>
      <c r="F6" t="inlineStr">
        <is>
          <t>Yes</t>
        </is>
      </c>
      <c r="G6" t="inlineStr">
        <is>
          <t>Scope misalignment</t>
        </is>
      </c>
    </row>
    <row r="7" ht="15" customHeight="1" s="54">
      <c r="B7" t="inlineStr">
        <is>
          <t>Q0_ii.3.3</t>
        </is>
      </c>
      <c r="C7" t="inlineStr">
        <is>
          <t>Access Control for Financial Transactions</t>
        </is>
      </c>
      <c r="D7" t="inlineStr">
        <is>
          <t>No</t>
        </is>
      </c>
      <c r="F7" t="inlineStr">
        <is>
          <t>Yes</t>
        </is>
      </c>
      <c r="G7" t="inlineStr">
        <is>
          <t>Contextual misfit</t>
        </is>
      </c>
    </row>
    <row r="8" ht="15" customHeight="1" s="54">
      <c r="A8" s="49" t="inlineStr">
        <is>
          <t>{Access to data} must be controlled based on {user identity, group membership, and assigned roles}</t>
        </is>
      </c>
      <c r="B8" t="inlineStr">
        <is>
          <t>Q0_ii.4.1</t>
        </is>
      </c>
      <c r="C8" t="inlineStr">
        <is>
          <t>Role-Based Access Control for AI4I4 System Entities</t>
        </is>
      </c>
      <c r="D8" t="inlineStr">
        <is>
          <t>Partial</t>
        </is>
      </c>
      <c r="E8" t="inlineStr">
        <is>
          <t xml:space="preserve">H.4.1; H.4.2; H.4.3; H.4.7 </t>
        </is>
      </c>
      <c r="F8" t="inlineStr">
        <is>
          <t>No</t>
        </is>
      </c>
    </row>
    <row r="9">
      <c r="B9" t="inlineStr">
        <is>
          <t>Q0_ii.4.2</t>
        </is>
      </c>
      <c r="C9" t="inlineStr">
        <is>
          <t>Secure Communication for User-System Interactions</t>
        </is>
      </c>
      <c r="D9" t="inlineStr">
        <is>
          <t>No</t>
        </is>
      </c>
      <c r="F9" t="inlineStr">
        <is>
          <t>Yes</t>
        </is>
      </c>
      <c r="G9" t="inlineStr">
        <is>
          <t>Template drift</t>
        </is>
      </c>
    </row>
    <row r="10">
      <c r="B10" t="inlineStr">
        <is>
          <t>Q0_ii.4.3</t>
        </is>
      </c>
      <c r="C10" t="inlineStr">
        <is>
          <t>Access Control for Physical Data Carriers</t>
        </is>
      </c>
      <c r="D10" t="inlineStr">
        <is>
          <t>Yes</t>
        </is>
      </c>
      <c r="E10" t="inlineStr">
        <is>
          <t>H.4.6</t>
        </is>
      </c>
    </row>
    <row r="11">
      <c r="B11" t="inlineStr">
        <is>
          <t>Q0_ii.4.4</t>
        </is>
      </c>
      <c r="C11" t="inlineStr">
        <is>
          <t>Authorization for System Administration Tasks</t>
        </is>
      </c>
      <c r="D11" t="inlineStr">
        <is>
          <t>Yes</t>
        </is>
      </c>
      <c r="E11" s="44" t="inlineStr">
        <is>
          <t>H.4.8</t>
        </is>
      </c>
    </row>
    <row r="12" ht="15" customHeight="1" s="54">
      <c r="A12" s="49" t="inlineStr">
        <is>
          <t>The {organization} shall maintain a record of {all privileges allocated}</t>
        </is>
      </c>
      <c r="B12" t="inlineStr">
        <is>
          <t>Q0_ii.5.1</t>
        </is>
      </c>
      <c r="C12" t="inlineStr">
        <is>
          <t>PrivilegeAllocationRecordMaintenance</t>
        </is>
      </c>
      <c r="D12" t="inlineStr">
        <is>
          <t>Yes</t>
        </is>
      </c>
      <c r="E12" t="inlineStr">
        <is>
          <t>H.5.1; H.5.2</t>
        </is>
      </c>
    </row>
    <row r="13">
      <c r="B13" t="inlineStr">
        <is>
          <t>Q0_ii.5.2</t>
        </is>
      </c>
      <c r="C13" t="inlineStr">
        <is>
          <t>AccessRightsAuditTrail</t>
        </is>
      </c>
      <c r="D13" t="inlineStr">
        <is>
          <t>No</t>
        </is>
      </c>
      <c r="F13" t="inlineStr">
        <is>
          <t>No</t>
        </is>
      </c>
    </row>
    <row r="14" ht="15" customHeight="1" s="54">
      <c r="A14" s="44" t="inlineStr">
        <is>
          <t>The {organization} shall regularly review {users} with privileged access rights to ensure that their {duties}, {roles}, {responsibilities}, and {competence} still justify such access</t>
        </is>
      </c>
      <c r="B14" t="inlineStr">
        <is>
          <t>Q0_ii.6.1</t>
        </is>
      </c>
      <c r="C14" t="inlineStr">
        <is>
          <t>RegularReviewOfPrivilegedAccessRights</t>
        </is>
      </c>
      <c r="D14" t="inlineStr">
        <is>
          <t>Yes</t>
        </is>
      </c>
      <c r="E14" t="inlineStr">
        <is>
          <t>H.6.1</t>
        </is>
      </c>
    </row>
    <row r="15" ht="15" customHeight="1" s="54">
      <c r="A15" s="49" t="inlineStr">
        <is>
          <t>{Connection} of {systems} to the {network} must be restricted and filtered, e.g., using firewalls.</t>
        </is>
      </c>
      <c r="B15" t="inlineStr">
        <is>
          <t>Q0_ii.7.1</t>
        </is>
      </c>
      <c r="C15" t="inlineStr">
        <is>
          <t>Controlled Network Access for Factory Subsystems</t>
        </is>
      </c>
      <c r="D15" t="inlineStr">
        <is>
          <t>Yes</t>
        </is>
      </c>
      <c r="E15" t="inlineStr">
        <is>
          <t>H.7.1; H.7.3</t>
        </is>
      </c>
    </row>
    <row r="16">
      <c r="B16" t="inlineStr">
        <is>
          <t>Q0_ii.7.2</t>
        </is>
      </c>
      <c r="C16" t="inlineStr">
        <is>
          <t>Secure Communication Channels for Logistics Entities</t>
        </is>
      </c>
      <c r="D16" t="inlineStr">
        <is>
          <t>Yes</t>
        </is>
      </c>
      <c r="E16" t="inlineStr">
        <is>
          <t>H.7.1</t>
        </is>
      </c>
    </row>
    <row r="17" ht="29.25" customHeight="1" s="54">
      <c r="A17" s="44" t="inlineStr">
        <is>
          <t>{Network administration channels} must be segregated from {other network traffic}</t>
        </is>
      </c>
      <c r="B17" t="inlineStr">
        <is>
          <t>Q0_ii.8.1</t>
        </is>
      </c>
      <c r="C17" t="inlineStr">
        <is>
          <t>Segregation of Network Administration Channels</t>
        </is>
      </c>
      <c r="D17" t="inlineStr">
        <is>
          <t>Yes</t>
        </is>
      </c>
      <c r="E17" t="inlineStr">
        <is>
          <t>H.8.1</t>
        </is>
      </c>
    </row>
    <row r="18">
      <c r="B18" t="inlineStr">
        <is>
          <t>Q0_ii.8.2</t>
        </is>
      </c>
      <c r="C18" t="inlineStr">
        <is>
          <t>Isolation of Critical Management Networks</t>
        </is>
      </c>
      <c r="D18" t="inlineStr">
        <is>
          <t>Yes</t>
        </is>
      </c>
      <c r="E18" t="inlineStr">
        <is>
          <t>H.8.1</t>
        </is>
      </c>
    </row>
    <row r="19" ht="15" customHeight="1" s="54">
      <c r="A19" s="49" t="inlineStr">
        <is>
          <t>Implement cryptographic measures to safeguard {information stored} on {mobile user} {endpoint devices} or {storage media} and transmitted over {networks}</t>
        </is>
      </c>
      <c r="B19" t="inlineStr">
        <is>
          <t>Q0_ii.9.1</t>
        </is>
      </c>
      <c r="C19" t="inlineStr">
        <is>
          <t>CryptographicProtectionForSupplyVehicleDocumentation</t>
        </is>
      </c>
      <c r="D19" t="inlineStr">
        <is>
          <t>Yes</t>
        </is>
      </c>
      <c r="E19" t="inlineStr">
        <is>
          <t>H.9.1; H.9.3</t>
        </is>
      </c>
    </row>
    <row r="20">
      <c r="B20" t="inlineStr">
        <is>
          <t>Q0_ii.9.2</t>
        </is>
      </c>
      <c r="C20" t="inlineStr">
        <is>
          <t>SecureWarehouseInventoryUpdates</t>
        </is>
      </c>
      <c r="D20" t="inlineStr">
        <is>
          <t>Yes</t>
        </is>
      </c>
      <c r="E20" t="inlineStr">
        <is>
          <t>H.9.1; H.9.3</t>
        </is>
      </c>
    </row>
    <row r="21">
      <c r="B21" t="inlineStr">
        <is>
          <t>Q0_ii.9.3</t>
        </is>
      </c>
      <c r="C21" t="inlineStr">
        <is>
          <t>ConfidentialityOfFinishedCarInformation</t>
        </is>
      </c>
      <c r="D21" t="inlineStr">
        <is>
          <t>Yes</t>
        </is>
      </c>
      <c r="E21" t="inlineStr">
        <is>
          <t>H.9.1; H.9.3</t>
        </is>
      </c>
    </row>
    <row r="22">
      <c r="B22" t="inlineStr">
        <is>
          <t>Q0_ii.9.4</t>
        </is>
      </c>
      <c r="C22" t="inlineStr">
        <is>
          <t>SecurePurchaseOrderProcessing</t>
        </is>
      </c>
      <c r="D22" t="inlineStr">
        <is>
          <t>No</t>
        </is>
      </c>
      <c r="F22" t="inlineStr">
        <is>
          <t>Yes</t>
        </is>
      </c>
      <c r="G22" t="inlineStr">
        <is>
          <t>Template drift</t>
        </is>
      </c>
    </row>
    <row r="23">
      <c r="B23" t="inlineStr">
        <is>
          <t>Q0_ii.9.5</t>
        </is>
      </c>
      <c r="C23" t="inlineStr">
        <is>
          <t>IntegrityOfTransportOrderDetails</t>
        </is>
      </c>
      <c r="D23" t="inlineStr">
        <is>
          <t>Yes</t>
        </is>
      </c>
      <c r="E23" t="inlineStr">
        <is>
          <t>H.9.1; H.9.3</t>
        </is>
      </c>
    </row>
    <row r="24" ht="15" customHeight="1" s="54">
      <c r="A24" s="49" t="inlineStr">
        <is>
          <t>Establish a comprehensive key management system, including procedures for generating and protecting {cryptographic keys} and recovering {encrypted data} in case of lost, compromised, or damaged {keys}</t>
        </is>
      </c>
      <c r="B24" t="inlineStr">
        <is>
          <t>Q0_ii.10.1</t>
        </is>
      </c>
      <c r="C24" t="inlineStr">
        <is>
          <t>KeyManagementSystemForAIDCTechnologies</t>
        </is>
      </c>
      <c r="D24" t="inlineStr">
        <is>
          <t>Yes</t>
        </is>
      </c>
      <c r="E24" t="inlineStr">
        <is>
          <t>H.10.1</t>
        </is>
      </c>
    </row>
    <row r="25">
      <c r="B25" t="inlineStr">
        <is>
          <t>Q0_ii.10.2</t>
        </is>
      </c>
      <c r="C25" t="inlineStr">
        <is>
          <t>CryptographicKeyLifecycleManagement</t>
        </is>
      </c>
      <c r="D25" t="inlineStr">
        <is>
          <t>Yes</t>
        </is>
      </c>
      <c r="E25" t="inlineStr">
        <is>
          <t>H.10.1</t>
        </is>
      </c>
    </row>
    <row r="26">
      <c r="B26" t="inlineStr">
        <is>
          <t>Q0_ii.10.3</t>
        </is>
      </c>
      <c r="C26" t="inlineStr">
        <is>
          <t>SecureKeyRecoveryMechanism</t>
        </is>
      </c>
      <c r="D26" t="inlineStr">
        <is>
          <t>Yes</t>
        </is>
      </c>
      <c r="E26" t="inlineStr">
        <is>
          <t>H.10.1</t>
        </is>
      </c>
    </row>
    <row r="27">
      <c r="B27" t="inlineStr">
        <is>
          <t>Q0_ii.10.4</t>
        </is>
      </c>
      <c r="C27" t="inlineStr">
        <is>
          <t>AccessControlForKeyManagementSystem</t>
        </is>
      </c>
      <c r="D27" t="inlineStr">
        <is>
          <t>No</t>
        </is>
      </c>
      <c r="F27" t="inlineStr">
        <is>
          <t>Yes</t>
        </is>
      </c>
      <c r="G27" t="inlineStr">
        <is>
          <t>Template drift</t>
        </is>
      </c>
    </row>
    <row r="28" ht="14.45" customHeight="1" s="54">
      <c r="B28" s="16" t="inlineStr">
        <is>
          <t>Count</t>
        </is>
      </c>
      <c r="C28" s="16" t="inlineStr">
        <is>
          <t>No</t>
        </is>
      </c>
      <c r="D28" s="16">
        <f>COUNTIF(D2:D27,"No")</f>
        <v/>
      </c>
      <c r="E28" s="16" t="inlineStr">
        <is>
          <t>Hallucinations</t>
        </is>
      </c>
      <c r="F28" s="16">
        <f>COUNTIF(F2:F27,"Yes")</f>
        <v/>
      </c>
    </row>
    <row r="29" ht="14.45" customHeight="1" s="54">
      <c r="B29" s="47" t="n"/>
      <c r="C29" s="16" t="inlineStr">
        <is>
          <t>Yes</t>
        </is>
      </c>
      <c r="D29" s="16">
        <f>COUNTIF(D2:D27,"Yes")</f>
        <v/>
      </c>
      <c r="E29" s="16" t="inlineStr">
        <is>
          <t>Partial hallucinations</t>
        </is>
      </c>
      <c r="F29">
        <f>COUNTIFS(D:D,"Partial",F:F,"Yes")</f>
        <v/>
      </c>
    </row>
    <row r="30" ht="14.45" customHeight="1" s="54">
      <c r="B30" s="47" t="n"/>
      <c r="C30" s="16" t="inlineStr">
        <is>
          <t>Partial</t>
        </is>
      </c>
      <c r="D30" s="16">
        <f>COUNTIF(D2:D27,"Partial")</f>
        <v/>
      </c>
      <c r="E30" s="10" t="inlineStr">
        <is>
          <t>Template drift</t>
        </is>
      </c>
      <c r="F30">
        <f>COUNTIF($G$2:$G$27,E30)</f>
        <v/>
      </c>
    </row>
    <row r="31" ht="15" customHeight="1" s="54">
      <c r="E31" s="10" t="inlineStr">
        <is>
          <t>Contextual misfit</t>
        </is>
      </c>
      <c r="F31">
        <f>COUNTIF($G$2:$G$27,E31)</f>
        <v/>
      </c>
    </row>
    <row r="32" ht="15" customHeight="1" s="54">
      <c r="E32" s="10" t="inlineStr">
        <is>
          <t>Scope misalignment</t>
        </is>
      </c>
      <c r="F32">
        <f>COUNTIF($G$2:$G$27,E32)</f>
        <v/>
      </c>
    </row>
    <row r="33" ht="15" customHeight="1" s="54">
      <c r="E33" s="10" t="inlineStr">
        <is>
          <t>Responsibility leakage</t>
        </is>
      </c>
      <c r="F33">
        <f>COUNTIF($G$2:$G$27,E33)</f>
        <v/>
      </c>
    </row>
    <row r="34" ht="15" customHeight="1" s="54">
      <c r="E34" s="10" t="inlineStr">
        <is>
          <t>Architectural infeasibility</t>
        </is>
      </c>
      <c r="F34">
        <f>COUNTIF($G$2:$G$27,E34)</f>
        <v/>
      </c>
    </row>
    <row r="35" ht="15" customHeight="1" s="54"/>
    <row r="36" ht="15" customHeight="1" s="54">
      <c r="E36" s="16" t="inlineStr">
        <is>
          <t>Discoveries</t>
        </is>
      </c>
      <c r="F36" s="16">
        <f>COUNTIF(F2:F27,"No")</f>
        <v/>
      </c>
    </row>
    <row r="73">
      <c r="AA73" t="inlineStr">
        <is>
          <t>G0_ii.10.2</t>
        </is>
      </c>
    </row>
  </sheetData>
  <mergeCells count="8">
    <mergeCell ref="A17:A18"/>
    <mergeCell ref="A8:A11"/>
    <mergeCell ref="A12:A13"/>
    <mergeCell ref="A3:A4"/>
    <mergeCell ref="A15:A16"/>
    <mergeCell ref="A5:A7"/>
    <mergeCell ref="A19:A23"/>
    <mergeCell ref="A24:A27"/>
  </mergeCells>
  <conditionalFormatting sqref="D2:D13 D18:D27">
    <cfRule type="containsText" priority="4" operator="containsText" dxfId="6" text="Partial">
      <formula>NOT(ISERROR(SEARCH("Partial",D2)))</formula>
    </cfRule>
    <cfRule type="containsText" priority="5" operator="containsText" dxfId="0" text="No">
      <formula>NOT(ISERROR(SEARCH("No",D2)))</formula>
    </cfRule>
    <cfRule type="containsText" priority="6" operator="containsText" dxfId="1" text="Yes">
      <formula>NOT(ISERROR(SEARCH("Yes",D2)))</formula>
    </cfRule>
  </conditionalFormatting>
  <conditionalFormatting sqref="D14:D18">
    <cfRule type="containsText" priority="11" operator="containsText" dxfId="6" text="Partial">
      <formula>NOT(ISERROR(SEARCH("Partial",D14)))</formula>
    </cfRule>
    <cfRule type="containsText" priority="12" operator="containsText" dxfId="0" text="No">
      <formula>NOT(ISERROR(SEARCH("No",D14)))</formula>
    </cfRule>
    <cfRule type="containsText" priority="13" operator="containsText" dxfId="1" text="Yes">
      <formula>NOT(ISERROR(SEARCH("Yes",D14)))</formula>
    </cfRule>
  </conditionalFormatting>
  <conditionalFormatting sqref="F2:F27">
    <cfRule type="containsText" priority="2" operator="containsText" dxfId="1" text="No">
      <formula>NOT(ISERROR(SEARCH("No",F2)))</formula>
    </cfRule>
    <cfRule type="containsText" priority="3" operator="containsText" dxfId="0" text="Yes">
      <formula>NOT(ISERROR(SEARCH("Yes",F2)))</formula>
    </cfRule>
  </conditionalFormatting>
  <conditionalFormatting sqref="G2:G108">
    <cfRule type="containsText" priority="7" operator="containsText" dxfId="1" text="No">
      <formula>NOT(ISERROR(SEARCH("No",G2)))</formula>
    </cfRule>
    <cfRule type="containsText" priority="8" operator="containsText" dxfId="0" text="Yes">
      <formula>NOT(ISERROR(SEARCH("Yes",G2)))</formula>
    </cfRule>
  </conditionalFormatting>
  <dataValidations count="4">
    <dataValidation sqref="D9 D12 D14:D18" showDropDown="0" showInputMessage="1" showErrorMessage="1" allowBlank="1" type="list" operator="equal">
      <formula1>"Yes;No;Partial"</formula1>
      <formula2>0</formula2>
    </dataValidation>
    <dataValidation sqref="F2:F27" showDropDown="0" showInputMessage="1" showErrorMessage="1" allowBlank="1" type="list" operator="equal">
      <formula1>"Yes,No"</formula1>
      <formula2>0</formula2>
    </dataValidation>
    <dataValidation sqref="D2:D8 D10:D11 D13 D19:D27" showDropDown="0" showInputMessage="1" showErrorMessage="1" allowBlank="1" type="list" operator="equal">
      <formula1>"Yes,No,Partial"</formula1>
      <formula2>0</formula2>
    </dataValidation>
    <dataValidation sqref="G2:G108" showDropDown="0" showInputMessage="1" showErrorMessage="1" allowBlank="1" operator="equal">
      <formula1>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73"/>
  <sheetViews>
    <sheetView zoomScale="85" zoomScaleNormal="85" workbookViewId="0">
      <selection activeCell="E37" sqref="E37:F37"/>
    </sheetView>
  </sheetViews>
  <sheetFormatPr baseColWidth="8" defaultColWidth="9.140625" defaultRowHeight="14.45"/>
  <cols>
    <col width="60.7109375" customWidth="1" style="44" min="1" max="1"/>
    <col width="60.7109375" customWidth="1" style="54" min="3" max="3"/>
    <col width="14.7109375" customWidth="1" style="54" min="4" max="4"/>
    <col width="30.7109375" customWidth="1" style="54" min="5" max="5"/>
    <col width="14.7109375" customWidth="1" style="54" min="6" max="7"/>
    <col width="60.7109375" customWidth="1" style="54" min="8" max="8"/>
  </cols>
  <sheetData>
    <row r="1" customFormat="1" s="53">
      <c r="A1" s="53" t="inlineStr">
        <is>
          <t>Norm</t>
        </is>
      </c>
      <c r="B1" s="53" t="inlineStr">
        <is>
          <t>Q0_iii.#</t>
        </is>
      </c>
      <c r="C1" s="53" t="inlineStr">
        <is>
          <t>Automated requirement name</t>
        </is>
      </c>
      <c r="D1" s="53" t="inlineStr">
        <is>
          <t>Present</t>
        </is>
      </c>
      <c r="E1" s="53" t="inlineStr">
        <is>
          <t>Support</t>
        </is>
      </c>
      <c r="F1" s="53" t="inlineStr">
        <is>
          <t>Hallucination</t>
        </is>
      </c>
      <c r="G1" s="53" t="inlineStr">
        <is>
          <t>Hall. Type</t>
        </is>
      </c>
      <c r="H1" s="53" t="inlineStr">
        <is>
          <t>Rationale</t>
        </is>
      </c>
    </row>
    <row r="2" ht="15" customHeight="1" s="54">
      <c r="A2" s="49" t="inlineStr">
        <is>
          <t>Help messages during the {log-on procedure} must not aid an unauthorized user, e.g., by indicating which {parts of the data} are correct or incorrect</t>
        </is>
      </c>
      <c r="B2" t="inlineStr">
        <is>
          <t>Q0_iii.1.1</t>
        </is>
      </c>
      <c r="C2" t="inlineStr">
        <is>
          <t>SecureLogOnProcedure</t>
        </is>
      </c>
      <c r="D2" t="inlineStr">
        <is>
          <t>Yes</t>
        </is>
      </c>
      <c r="E2" t="inlineStr">
        <is>
          <t>H.1.1</t>
        </is>
      </c>
    </row>
    <row r="3" ht="15" customHeight="1" s="54">
      <c r="A3" s="49" t="inlineStr">
        <is>
          <t>A security incident must be raised if a potential attempted or successful breach of {log-on controls} is detected, and, when the risk of the incident warrants it, the account shall be temporarily restricted, plus an alert shall be sent to the {account owner}, and to the {organization's system administrators}.</t>
        </is>
      </c>
      <c r="B3" t="inlineStr">
        <is>
          <t>Q0_iii.2.1</t>
        </is>
      </c>
      <c r="C3" t="inlineStr">
        <is>
          <t>EnhancedLogOnControlsAlerting</t>
        </is>
      </c>
      <c r="D3" t="inlineStr">
        <is>
          <t>Yes</t>
        </is>
      </c>
      <c r="E3" t="inlineStr">
        <is>
          <t>H.2.1</t>
        </is>
      </c>
    </row>
    <row r="4" ht="15" customHeight="1" s="54">
      <c r="B4" t="inlineStr">
        <is>
          <t>Q0_iii.2.2</t>
        </is>
      </c>
      <c r="C4" t="inlineStr">
        <is>
          <t>WarehouseSystemIntrusionNotification</t>
        </is>
      </c>
      <c r="D4" t="inlineStr">
        <is>
          <t>Yes</t>
        </is>
      </c>
      <c r="E4" t="inlineStr">
        <is>
          <t>H.2.1</t>
        </is>
      </c>
    </row>
    <row r="5" ht="15" customHeight="1" s="54">
      <c r="B5" t="inlineStr">
        <is>
          <t>Q0_iii.2.3</t>
        </is>
      </c>
      <c r="C5" t="inlineStr">
        <is>
          <t>AssemblyLineManagementSystemProtection</t>
        </is>
      </c>
      <c r="D5" t="inlineStr">
        <is>
          <t>Yes</t>
        </is>
      </c>
      <c r="E5" t="inlineStr">
        <is>
          <t>H.2.1</t>
        </is>
      </c>
    </row>
    <row r="6" ht="15" customHeight="1" s="54">
      <c r="B6" t="inlineStr">
        <is>
          <t>Q0_iii.2.4</t>
        </is>
      </c>
      <c r="C6" t="inlineStr">
        <is>
          <t>FinishedCarYardAccessSecurityMonitoring</t>
        </is>
      </c>
      <c r="D6" t="inlineStr">
        <is>
          <t>No</t>
        </is>
      </c>
      <c r="F6" t="inlineStr">
        <is>
          <t>Yes</t>
        </is>
      </c>
      <c r="G6" t="inlineStr">
        <is>
          <t>Scope misalignment</t>
        </is>
      </c>
    </row>
    <row r="7" ht="15" customHeight="1" s="54">
      <c r="A7" s="49" t="inlineStr">
        <is>
          <t>Physical or logical access controls must be implemented to isolate {sensitive applications, data, or systems}.</t>
        </is>
      </c>
      <c r="B7" t="inlineStr">
        <is>
          <t>Q0_iii.3.1</t>
        </is>
      </c>
      <c r="C7" t="inlineStr">
        <is>
          <t>AccessControlForCriticalManufacturingSystems</t>
        </is>
      </c>
      <c r="D7" t="inlineStr">
        <is>
          <t>Yes</t>
        </is>
      </c>
      <c r="E7" t="inlineStr">
        <is>
          <t>H.3.1; H.3.4</t>
        </is>
      </c>
    </row>
    <row r="8" ht="15" customHeight="1" s="54">
      <c r="B8" t="inlineStr">
        <is>
          <t>Q0_iii.3.2</t>
        </is>
      </c>
      <c r="C8" t="inlineStr">
        <is>
          <t>AccessControlForSensitiveData</t>
        </is>
      </c>
      <c r="D8" t="inlineStr">
        <is>
          <t>Yes</t>
        </is>
      </c>
      <c r="E8" t="inlineStr">
        <is>
          <t>H.3.1</t>
        </is>
      </c>
    </row>
    <row r="9" ht="15" customHeight="1" s="54">
      <c r="B9" t="inlineStr">
        <is>
          <t>Q0_iii.3.3</t>
        </is>
      </c>
      <c r="C9" t="inlineStr">
        <is>
          <t>AccessControlForLogisticsAreas</t>
        </is>
      </c>
      <c r="D9" t="inlineStr">
        <is>
          <t>No</t>
        </is>
      </c>
      <c r="F9" t="inlineStr">
        <is>
          <t>Yes</t>
        </is>
      </c>
      <c r="G9" t="inlineStr">
        <is>
          <t>Scope misalignment</t>
        </is>
      </c>
    </row>
    <row r="10" ht="15" customHeight="1" s="54">
      <c r="B10" t="inlineStr">
        <is>
          <t>Q0_iii.3.4</t>
        </is>
      </c>
      <c r="C10" t="inlineStr">
        <is>
          <t>AccessControlForAutomatedHandlingSystems</t>
        </is>
      </c>
      <c r="D10" t="inlineStr">
        <is>
          <t>No</t>
        </is>
      </c>
      <c r="F10" t="inlineStr">
        <is>
          <t>Yes</t>
        </is>
      </c>
      <c r="G10" t="inlineStr">
        <is>
          <t>Template drift</t>
        </is>
      </c>
    </row>
    <row r="11" ht="15" customHeight="1" s="54">
      <c r="B11" t="inlineStr">
        <is>
          <t>Q0_iii.3.5</t>
        </is>
      </c>
      <c r="C11" t="inlineStr">
        <is>
          <t>AccessControlForQualityControlProcesses</t>
        </is>
      </c>
      <c r="D11" t="inlineStr">
        <is>
          <t>No</t>
        </is>
      </c>
      <c r="F11" t="inlineStr">
        <is>
          <t>Yes</t>
        </is>
      </c>
      <c r="G11" t="inlineStr">
        <is>
          <t>Contextual misfit</t>
        </is>
      </c>
    </row>
    <row r="12" ht="15" customHeight="1" s="54">
      <c r="B12" t="inlineStr">
        <is>
          <t>Q0_iii.3.6</t>
        </is>
      </c>
      <c r="C12" t="inlineStr">
        <is>
          <t>AccessControlForCommunicationChannels</t>
        </is>
      </c>
      <c r="D12" t="inlineStr">
        <is>
          <t>No</t>
        </is>
      </c>
      <c r="F12" t="inlineStr">
        <is>
          <t>Yes</t>
        </is>
      </c>
      <c r="G12" t="inlineStr">
        <is>
          <t>Architectural infeasibility</t>
        </is>
      </c>
    </row>
    <row r="13" ht="15" customHeight="1" s="54">
      <c r="A13" s="49" t="inlineStr">
        <is>
          <t>{Access to data} must be controlled based on {user identity, group membership, and assigned roles}</t>
        </is>
      </c>
      <c r="B13" t="inlineStr">
        <is>
          <t>Q0_iii.4.1</t>
        </is>
      </c>
      <c r="C13" t="inlineStr">
        <is>
          <t>Role-Based Access Control for Critical Logistics Data</t>
        </is>
      </c>
      <c r="D13" t="inlineStr">
        <is>
          <t>Partial</t>
        </is>
      </c>
      <c r="E13" s="44" t="inlineStr">
        <is>
          <t>H.4.1; H.4.2; H.4.3; H.4.4; H.4.5; H.4.7</t>
        </is>
      </c>
    </row>
    <row r="14">
      <c r="B14" t="inlineStr">
        <is>
          <t>Q0_iii.4.2</t>
        </is>
      </c>
      <c r="C14" t="inlineStr">
        <is>
          <t>Access Control for System Administration Functions</t>
        </is>
      </c>
      <c r="D14" t="inlineStr">
        <is>
          <t>Yes</t>
        </is>
      </c>
      <c r="E14" s="44" t="inlineStr">
        <is>
          <t>H.4.8</t>
        </is>
      </c>
    </row>
    <row r="15">
      <c r="B15" t="inlineStr">
        <is>
          <t>Q0_iii.4.3</t>
        </is>
      </c>
      <c r="C15" t="inlineStr">
        <is>
          <t>Authorization for Physical Movement Operations</t>
        </is>
      </c>
      <c r="D15" t="inlineStr">
        <is>
          <t>No</t>
        </is>
      </c>
      <c r="F15" t="inlineStr">
        <is>
          <t>Yes</t>
        </is>
      </c>
      <c r="G15" t="inlineStr">
        <is>
          <t>Scope misalignment</t>
        </is>
      </c>
    </row>
    <row r="16">
      <c r="B16" t="inlineStr">
        <is>
          <t>Q0_iii.4.4</t>
        </is>
      </c>
      <c r="C16" t="inlineStr">
        <is>
          <t>Access Control for Quality Control Processes</t>
        </is>
      </c>
      <c r="D16" t="inlineStr">
        <is>
          <t>No</t>
        </is>
      </c>
      <c r="F16" t="inlineStr">
        <is>
          <t>Yes</t>
        </is>
      </c>
      <c r="G16" t="inlineStr">
        <is>
          <t>Contextual misfit</t>
        </is>
      </c>
    </row>
    <row r="17" ht="15" customHeight="1" s="54">
      <c r="A17" s="49" t="inlineStr">
        <is>
          <t>The {organization} shall maintain a record of {all privileges allocated}</t>
        </is>
      </c>
      <c r="B17" t="inlineStr">
        <is>
          <t>Q0_iii.5.1</t>
        </is>
      </c>
      <c r="C17" t="inlineStr">
        <is>
          <t>PrivilegeAllocationRecordMaintenance</t>
        </is>
      </c>
      <c r="D17" t="inlineStr">
        <is>
          <t>Yes</t>
        </is>
      </c>
      <c r="E17" t="inlineStr">
        <is>
          <t>H.5.1; H.5.2</t>
        </is>
      </c>
    </row>
    <row r="18">
      <c r="B18" t="inlineStr">
        <is>
          <t>Q0_iii.5.2</t>
        </is>
      </c>
      <c r="C18" t="inlineStr">
        <is>
          <t>RealTimePrivilegeAllocationLogging</t>
        </is>
      </c>
      <c r="D18" t="inlineStr">
        <is>
          <t>No</t>
        </is>
      </c>
      <c r="F18" t="inlineStr">
        <is>
          <t>No</t>
        </is>
      </c>
    </row>
    <row r="19" ht="15" customHeight="1" s="54">
      <c r="A19" s="44" t="inlineStr">
        <is>
          <t>The {organization} shall regularly review {users} with privileged access rights to ensure that their {duties}, {roles}, {responsibilities}, and {competence} still justify such access</t>
        </is>
      </c>
      <c r="B19" t="inlineStr">
        <is>
          <t>Q0_iii.6.1</t>
        </is>
      </c>
      <c r="C19" t="inlineStr">
        <is>
          <t>Privileged Access Review for Critical Roles</t>
        </is>
      </c>
      <c r="D19" t="inlineStr">
        <is>
          <t>Yes</t>
        </is>
      </c>
      <c r="E19" t="inlineStr">
        <is>
          <t>H.6.1</t>
        </is>
      </c>
    </row>
    <row r="20" ht="15" customHeight="1" s="54">
      <c r="B20" t="inlineStr">
        <is>
          <t>Q0_iii.6.2</t>
        </is>
      </c>
      <c r="C20" t="inlineStr">
        <is>
          <t>Authorization Audit for Access Control Manager</t>
        </is>
      </c>
      <c r="D20" t="inlineStr">
        <is>
          <t>Yes</t>
        </is>
      </c>
      <c r="E20" t="inlineStr">
        <is>
          <t>H.6.1</t>
        </is>
      </c>
    </row>
    <row r="21" ht="15" customHeight="1" s="54">
      <c r="B21" t="inlineStr">
        <is>
          <t>Q0_iii.6.3</t>
        </is>
      </c>
      <c r="C21" t="inlineStr">
        <is>
          <t>Dock Manager Access Validation</t>
        </is>
      </c>
      <c r="D21" t="inlineStr">
        <is>
          <t>Yes</t>
        </is>
      </c>
      <c r="E21" t="inlineStr">
        <is>
          <t>H.6.1</t>
        </is>
      </c>
    </row>
    <row r="22" ht="15" customHeight="1" s="54">
      <c r="B22" t="inlineStr">
        <is>
          <t>Q0_iii.6.4</t>
        </is>
      </c>
      <c r="C22" t="inlineStr">
        <is>
          <t>Warehouse Manager Access Justification</t>
        </is>
      </c>
      <c r="D22" t="inlineStr">
        <is>
          <t>Yes</t>
        </is>
      </c>
      <c r="E22" t="inlineStr">
        <is>
          <t>H.6.1</t>
        </is>
      </c>
    </row>
    <row r="23" ht="15" customHeight="1" s="54">
      <c r="B23" t="inlineStr">
        <is>
          <t>Q0_iii.6.5</t>
        </is>
      </c>
      <c r="C23" t="inlineStr">
        <is>
          <t>Plant Manager Access Rights Review</t>
        </is>
      </c>
      <c r="D23" t="inlineStr">
        <is>
          <t>Yes</t>
        </is>
      </c>
      <c r="E23" t="inlineStr">
        <is>
          <t>H.6.1</t>
        </is>
      </c>
    </row>
    <row r="24" ht="15" customHeight="1" s="54">
      <c r="B24" t="inlineStr">
        <is>
          <t>Q0_iii.6.6</t>
        </is>
      </c>
      <c r="C24" t="inlineStr">
        <is>
          <t>Shipping Manager Access Verification</t>
        </is>
      </c>
      <c r="D24" t="inlineStr">
        <is>
          <t>Yes</t>
        </is>
      </c>
      <c r="E24" t="inlineStr">
        <is>
          <t>H.6.1</t>
        </is>
      </c>
    </row>
    <row r="25" ht="15" customHeight="1" s="54">
      <c r="A25" s="49" t="inlineStr">
        <is>
          <t>{Connection} of {systems} to the {network} must be restricted and filtered, e.g., using firewalls.</t>
        </is>
      </c>
      <c r="B25" t="inlineStr">
        <is>
          <t>Q0_iii.7.1</t>
        </is>
      </c>
      <c r="C25" t="inlineStr">
        <is>
          <t>RestrictedNetworkAccessForFactorySystems</t>
        </is>
      </c>
      <c r="D25" t="inlineStr">
        <is>
          <t>Yes</t>
        </is>
      </c>
      <c r="E25" t="inlineStr">
        <is>
          <t>H.7.1</t>
        </is>
      </c>
    </row>
    <row r="26" ht="14.25" customHeight="1" s="54">
      <c r="B26" t="inlineStr">
        <is>
          <t>Q0_iii.7.2</t>
        </is>
      </c>
      <c r="C26" t="inlineStr">
        <is>
          <t>FirewallProtectionForCriticalSubsystems</t>
        </is>
      </c>
      <c r="D26" t="inlineStr">
        <is>
          <t>No</t>
        </is>
      </c>
      <c r="F26" t="inlineStr">
        <is>
          <t>Yes</t>
        </is>
      </c>
      <c r="G26" t="inlineStr">
        <is>
          <t>Contextual misfit</t>
        </is>
      </c>
    </row>
    <row r="27">
      <c r="B27" t="inlineStr">
        <is>
          <t>Q0_iii.7.3</t>
        </is>
      </c>
      <c r="C27" t="inlineStr">
        <is>
          <t>SecureCommunicationForExternalEntities</t>
        </is>
      </c>
      <c r="D27" t="inlineStr">
        <is>
          <t>Yes</t>
        </is>
      </c>
      <c r="E27" t="inlineStr">
        <is>
          <t>H.7.3</t>
        </is>
      </c>
    </row>
    <row r="28">
      <c r="B28" t="inlineStr">
        <is>
          <t>Q0_iii.7.4</t>
        </is>
      </c>
      <c r="C28" t="inlineStr">
        <is>
          <t>AccessControlForFactoryEmployees</t>
        </is>
      </c>
      <c r="D28" t="inlineStr">
        <is>
          <t>No</t>
        </is>
      </c>
      <c r="F28" t="inlineStr">
        <is>
          <t>Yes</t>
        </is>
      </c>
      <c r="G28" t="inlineStr">
        <is>
          <t>Template drift</t>
        </is>
      </c>
    </row>
    <row r="29" ht="29.25" customHeight="1" s="54">
      <c r="A29" s="44" t="inlineStr">
        <is>
          <t>{Network administration channels} must be segregated from {other network traffic}</t>
        </is>
      </c>
      <c r="B29" t="inlineStr">
        <is>
          <t>Q0_iii.8.1</t>
        </is>
      </c>
      <c r="C29" t="inlineStr">
        <is>
          <t>Segregation of Network Administration Channels</t>
        </is>
      </c>
      <c r="D29" t="inlineStr">
        <is>
          <t>Yes</t>
        </is>
      </c>
      <c r="E29" t="inlineStr">
        <is>
          <t>H.8.1</t>
        </is>
      </c>
    </row>
    <row r="30" ht="15" customHeight="1" s="54">
      <c r="A30" s="49" t="inlineStr">
        <is>
          <t>Implement cryptographic measures to safeguard {information stored} on {mobile user} {endpoint devices} or {storage media} and transmitted over {networks}</t>
        </is>
      </c>
      <c r="B30" t="inlineStr">
        <is>
          <t>Q0_iii.9.1</t>
        </is>
      </c>
      <c r="C30" t="inlineStr">
        <is>
          <t>CryptographicProtectionForInTransitComponentData</t>
        </is>
      </c>
      <c r="D30" t="inlineStr">
        <is>
          <t>Yes</t>
        </is>
      </c>
      <c r="E30" t="inlineStr">
        <is>
          <t>H.9.3</t>
        </is>
      </c>
    </row>
    <row r="31">
      <c r="B31" t="inlineStr">
        <is>
          <t>Q0_iii.9.2</t>
        </is>
      </c>
      <c r="C31" t="inlineStr">
        <is>
          <t>SecureCommunicationForAssemblyLineData</t>
        </is>
      </c>
      <c r="D31" t="inlineStr">
        <is>
          <t>Yes</t>
        </is>
      </c>
      <c r="E31" t="inlineStr">
        <is>
          <t>H.9.1</t>
        </is>
      </c>
    </row>
    <row r="32">
      <c r="B32" t="inlineStr">
        <is>
          <t>Q0_iii.9.3</t>
        </is>
      </c>
      <c r="C32" t="inlineStr">
        <is>
          <t>EncryptionForOutboundLogisticsInformation</t>
        </is>
      </c>
      <c r="D32" t="inlineStr">
        <is>
          <t>Yes</t>
        </is>
      </c>
      <c r="E32" t="inlineStr">
        <is>
          <t>H.9.1</t>
        </is>
      </c>
    </row>
    <row r="33" ht="15" customHeight="1" s="54">
      <c r="A33" s="49" t="inlineStr">
        <is>
          <t>Establish a comprehensive key management system, including procedures for generating and protecting {cryptographic keys} and recovering {encrypted data} in case of lost, compromised, or damaged {keys}</t>
        </is>
      </c>
      <c r="B33" t="inlineStr">
        <is>
          <t>Q0_iii.10.1</t>
        </is>
      </c>
      <c r="C33" t="inlineStr">
        <is>
          <t>KeyManagementForAIDCTechnologies</t>
        </is>
      </c>
      <c r="D33" t="inlineStr">
        <is>
          <t>Yes</t>
        </is>
      </c>
      <c r="E33" t="inlineStr">
        <is>
          <t>H.10.1</t>
        </is>
      </c>
    </row>
    <row r="34">
      <c r="B34" t="inlineStr">
        <is>
          <t>Q0_iii.10.2</t>
        </is>
      </c>
      <c r="C34" t="inlineStr">
        <is>
          <t>SecureKeyLifecycleManagementForLogisticsProcesses</t>
        </is>
      </c>
      <c r="D34" t="inlineStr">
        <is>
          <t>No</t>
        </is>
      </c>
      <c r="F34" t="inlineStr">
        <is>
          <t>Yes</t>
        </is>
      </c>
      <c r="G34" t="inlineStr">
        <is>
          <t>Contextual misfit</t>
        </is>
      </c>
    </row>
    <row r="35">
      <c r="B35" t="inlineStr">
        <is>
          <t>Q0_iii.10.3</t>
        </is>
      </c>
      <c r="C35" t="inlineStr">
        <is>
          <t>AccessControlForCryptographicKeys</t>
        </is>
      </c>
      <c r="D35" t="inlineStr">
        <is>
          <t>No</t>
        </is>
      </c>
      <c r="F35" t="inlineStr">
        <is>
          <t>Yes</t>
        </is>
      </c>
      <c r="G35" t="inlineStr">
        <is>
          <t>Template drift</t>
        </is>
      </c>
    </row>
    <row r="36" ht="14.45" customHeight="1" s="54">
      <c r="B36" s="16" t="inlineStr">
        <is>
          <t>Count</t>
        </is>
      </c>
      <c r="C36" s="16" t="inlineStr">
        <is>
          <t>No</t>
        </is>
      </c>
      <c r="D36" s="16">
        <f>COUNTIF(D2:D35,"No")</f>
        <v/>
      </c>
      <c r="E36" s="16" t="inlineStr">
        <is>
          <t>Hallucinations</t>
        </is>
      </c>
      <c r="F36" s="16">
        <f>COUNTIF(F2:F35,"Yes")</f>
        <v/>
      </c>
    </row>
    <row r="37" ht="14.45" customHeight="1" s="54">
      <c r="B37" s="47" t="n"/>
      <c r="C37" s="16" t="inlineStr">
        <is>
          <t>Yes</t>
        </is>
      </c>
      <c r="D37" s="16">
        <f>COUNTIF(D2:D35,"Yes")</f>
        <v/>
      </c>
      <c r="E37" s="16" t="inlineStr">
        <is>
          <t>Partial hallucinations</t>
        </is>
      </c>
      <c r="F37">
        <f>COUNTIFS(D:D,"Partial",F:F,"Yes")</f>
        <v/>
      </c>
    </row>
    <row r="38" ht="14.45" customHeight="1" s="54">
      <c r="B38" s="47" t="n"/>
      <c r="C38" s="16" t="inlineStr">
        <is>
          <t>Partial</t>
        </is>
      </c>
      <c r="D38" s="16">
        <f>COUNTIF(D2:D35,"Partial")</f>
        <v/>
      </c>
      <c r="E38" s="10" t="inlineStr">
        <is>
          <t>Template drift</t>
        </is>
      </c>
      <c r="F38">
        <f>COUNTIF($G$2:$G$35,E38)</f>
        <v/>
      </c>
    </row>
    <row r="39" ht="15" customHeight="1" s="54">
      <c r="E39" s="10" t="inlineStr">
        <is>
          <t>Contextual misfit</t>
        </is>
      </c>
      <c r="F39">
        <f>COUNTIF($G$2:$G$35,E39)</f>
        <v/>
      </c>
    </row>
    <row r="40" ht="15" customHeight="1" s="54">
      <c r="E40" s="10" t="inlineStr">
        <is>
          <t>Scope misalignment</t>
        </is>
      </c>
      <c r="F40">
        <f>COUNTIF($G$2:$G$35,E40)</f>
        <v/>
      </c>
    </row>
    <row r="41" ht="15" customHeight="1" s="54">
      <c r="E41" s="10" t="inlineStr">
        <is>
          <t>Responsibility leakage</t>
        </is>
      </c>
      <c r="F41">
        <f>COUNTIF($G$2:$G$35,E41)</f>
        <v/>
      </c>
    </row>
    <row r="42" ht="15" customHeight="1" s="54">
      <c r="E42" s="10" t="inlineStr">
        <is>
          <t>Architectural infeasibility</t>
        </is>
      </c>
      <c r="F42">
        <f>COUNTIF($G$2:$G$35,E42)</f>
        <v/>
      </c>
    </row>
    <row r="43" ht="15" customHeight="1" s="54"/>
    <row r="44" ht="15" customHeight="1" s="54">
      <c r="E44" s="16" t="inlineStr">
        <is>
          <t>Discoveries</t>
        </is>
      </c>
      <c r="F44" s="16">
        <f>COUNTIF(F2:F35,"No")</f>
        <v/>
      </c>
    </row>
    <row r="73">
      <c r="AA73" t="inlineStr">
        <is>
          <t>G0_ii.10.2</t>
        </is>
      </c>
    </row>
  </sheetData>
  <mergeCells count="8">
    <mergeCell ref="A30:A32"/>
    <mergeCell ref="A13:A16"/>
    <mergeCell ref="A17:A18"/>
    <mergeCell ref="A7:A12"/>
    <mergeCell ref="A33:A35"/>
    <mergeCell ref="A3:A6"/>
    <mergeCell ref="A25:A28"/>
    <mergeCell ref="A19:A24"/>
  </mergeCells>
  <conditionalFormatting sqref="D2:D15 D18 D21:D24 D26:D35">
    <cfRule type="containsText" priority="4" operator="containsText" dxfId="6" text="Partial">
      <formula>NOT(ISERROR(SEARCH("Partial",D2)))</formula>
    </cfRule>
    <cfRule type="containsText" priority="5" operator="containsText" dxfId="0" text="No">
      <formula>NOT(ISERROR(SEARCH("No",D2)))</formula>
    </cfRule>
    <cfRule type="containsText" priority="6" operator="containsText" dxfId="1" text="Yes">
      <formula>NOT(ISERROR(SEARCH("Yes",D2)))</formula>
    </cfRule>
  </conditionalFormatting>
  <conditionalFormatting sqref="D16:D25">
    <cfRule type="containsText" priority="7" operator="containsText" dxfId="6" text="Partial">
      <formula>NOT(ISERROR(SEARCH("Partial",D16)))</formula>
    </cfRule>
    <cfRule type="containsText" priority="8" operator="containsText" dxfId="0" text="No">
      <formula>NOT(ISERROR(SEARCH("No",D16)))</formula>
    </cfRule>
    <cfRule type="containsText" priority="9" operator="containsText" dxfId="1" text="Yes">
      <formula>NOT(ISERROR(SEARCH("Yes",D16)))</formula>
    </cfRule>
  </conditionalFormatting>
  <conditionalFormatting sqref="F2:F15 F18:F35">
    <cfRule type="containsText" priority="2" operator="containsText" dxfId="1" text="No">
      <formula>NOT(ISERROR(SEARCH("No",F2)))</formula>
    </cfRule>
    <cfRule type="containsText" priority="3" operator="containsText" dxfId="0" text="Yes">
      <formula>NOT(ISERROR(SEARCH("Yes",F2)))</formula>
    </cfRule>
  </conditionalFormatting>
  <conditionalFormatting sqref="F16:F18">
    <cfRule type="containsText" priority="12" operator="containsText" dxfId="1" text="No">
      <formula>NOT(ISERROR(SEARCH("No",F16)))</formula>
    </cfRule>
    <cfRule type="containsText" priority="13" operator="containsText" dxfId="0" text="Yes">
      <formula>NOT(ISERROR(SEARCH("Yes",F16)))</formula>
    </cfRule>
  </conditionalFormatting>
  <conditionalFormatting sqref="G2:G108 H10">
    <cfRule type="containsText" priority="10" operator="containsText" dxfId="1" text="No">
      <formula>NOT(ISERROR(SEARCH("No",G2)))</formula>
    </cfRule>
    <cfRule type="containsText" priority="11" operator="containsText" dxfId="0" text="Yes">
      <formula>NOT(ISERROR(SEARCH("Yes",G2)))</formula>
    </cfRule>
  </conditionalFormatting>
  <dataValidations count="4">
    <dataValidation sqref="D16:D17 D19:D25 D29" showDropDown="0" showInputMessage="1" showErrorMessage="1" allowBlank="1" type="list" operator="equal">
      <formula1>"Yes;No;Partial"</formula1>
      <formula2>0</formula2>
    </dataValidation>
    <dataValidation sqref="F2:F35" showDropDown="0" showInputMessage="1" showErrorMessage="1" allowBlank="1" type="list" operator="equal">
      <formula1>"Yes,No"</formula1>
      <formula2>0</formula2>
    </dataValidation>
    <dataValidation sqref="D2:D15 D18 D26:D28 D30:D35" showDropDown="0" showInputMessage="1" showErrorMessage="1" allowBlank="1" type="list" operator="equal">
      <formula1>"Yes,No,Partial"</formula1>
      <formula2>0</formula2>
    </dataValidation>
    <dataValidation sqref="G2:G108 H10" showDropDown="0" showInputMessage="1" showErrorMessage="1" allowBlank="1" operator="equal">
      <formula1>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73"/>
  <sheetViews>
    <sheetView zoomScale="85" zoomScaleNormal="85" workbookViewId="0">
      <selection activeCell="E28" sqref="E28:F28"/>
    </sheetView>
  </sheetViews>
  <sheetFormatPr baseColWidth="8" defaultColWidth="9.140625" defaultRowHeight="14.45"/>
  <cols>
    <col width="60.7109375" customWidth="1" style="44" min="1" max="1"/>
    <col width="60.7109375" customWidth="1" style="54" min="3" max="3"/>
    <col width="14.7109375" customWidth="1" style="54" min="4" max="4"/>
    <col width="30.7109375" customWidth="1" style="54" min="5" max="5"/>
    <col width="14.7109375" customWidth="1" style="54" min="6" max="7"/>
    <col width="60.7109375" customWidth="1" style="54" min="8" max="8"/>
  </cols>
  <sheetData>
    <row r="1" customFormat="1" s="53">
      <c r="A1" s="53" t="inlineStr">
        <is>
          <t>Norm</t>
        </is>
      </c>
      <c r="B1" s="53" t="inlineStr">
        <is>
          <t>Q0_iv.#</t>
        </is>
      </c>
      <c r="C1" s="53" t="inlineStr">
        <is>
          <t>Automated requirement name</t>
        </is>
      </c>
      <c r="D1" s="53" t="inlineStr">
        <is>
          <t>Present</t>
        </is>
      </c>
      <c r="E1" s="53" t="inlineStr">
        <is>
          <t>Support</t>
        </is>
      </c>
      <c r="F1" s="53" t="inlineStr">
        <is>
          <t>Hallucination</t>
        </is>
      </c>
      <c r="G1" s="53" t="inlineStr">
        <is>
          <t>Hall. Type</t>
        </is>
      </c>
      <c r="H1" s="53" t="inlineStr">
        <is>
          <t>Rationale</t>
        </is>
      </c>
    </row>
    <row r="2" ht="15" customHeight="1" s="54">
      <c r="A2" s="49" t="inlineStr">
        <is>
          <t>Help messages during the {log-on procedure} must not aid an unauthorized user, e.g., by indicating which {parts of the data} are correct or incorrect</t>
        </is>
      </c>
      <c r="B2" t="inlineStr">
        <is>
          <t>Q0_iv.1.1</t>
        </is>
      </c>
      <c r="C2" t="inlineStr">
        <is>
          <t>SecureLogOnProcedureForFactoryEmployees</t>
        </is>
      </c>
      <c r="D2" t="inlineStr">
        <is>
          <t>Yes</t>
        </is>
      </c>
      <c r="E2" t="inlineStr">
        <is>
          <t>H.1.1</t>
        </is>
      </c>
    </row>
    <row r="3" ht="15" customHeight="1" s="54">
      <c r="B3" t="inlineStr">
        <is>
          <t>Q0_iv.1.2</t>
        </is>
      </c>
      <c r="C3" t="inlineStr">
        <is>
          <t>NonDisclosureOfAuthenticationStatusForExternalParties</t>
        </is>
      </c>
      <c r="D3" t="inlineStr">
        <is>
          <t>Yes</t>
        </is>
      </c>
      <c r="E3" t="inlineStr">
        <is>
          <t>H.1.2</t>
        </is>
      </c>
    </row>
    <row r="4" ht="15" customHeight="1" s="54">
      <c r="A4" s="49" t="inlineStr">
        <is>
          <t>A security incident must be raised if a potential attempted or successful breach of {log-on controls} is detected, and, when the risk of the incident warrants it, the account shall be temporarily restricted, plus an alert shall be sent to the {account owner}, and to the {organization's system administrators}.</t>
        </is>
      </c>
      <c r="B4" t="inlineStr">
        <is>
          <t>Q0_iv.2.1</t>
        </is>
      </c>
      <c r="C4" t="inlineStr">
        <is>
          <t>EnhancedLogOnControlsMonitoring</t>
        </is>
      </c>
      <c r="D4" t="inlineStr">
        <is>
          <t>Yes</t>
        </is>
      </c>
      <c r="E4" t="inlineStr">
        <is>
          <t>H.2.1</t>
        </is>
      </c>
    </row>
    <row r="5" ht="15" customHeight="1" s="54">
      <c r="A5" s="49" t="inlineStr">
        <is>
          <t>Physical or logical access controls must be implemented to isolate {sensitive applications, data, or systems}.</t>
        </is>
      </c>
      <c r="B5" t="inlineStr">
        <is>
          <t>Q0_iv.3.1</t>
        </is>
      </c>
      <c r="C5" t="inlineStr">
        <is>
          <t>AccessControlForSensitiveAreas</t>
        </is>
      </c>
      <c r="D5" t="inlineStr">
        <is>
          <t>No</t>
        </is>
      </c>
      <c r="F5" t="inlineStr">
        <is>
          <t>Yes</t>
        </is>
      </c>
      <c r="G5" t="inlineStr">
        <is>
          <t>Scope misalignment</t>
        </is>
      </c>
    </row>
    <row r="6" ht="15" customHeight="1" s="54">
      <c r="B6" t="inlineStr">
        <is>
          <t>Q0_iv.3.2</t>
        </is>
      </c>
      <c r="C6" t="inlineStr">
        <is>
          <t>IsolationOfCriticalSystems</t>
        </is>
      </c>
      <c r="D6" t="inlineStr">
        <is>
          <t>Yes</t>
        </is>
      </c>
      <c r="E6" t="inlineStr">
        <is>
          <t>H.3.1; H.3.4</t>
        </is>
      </c>
    </row>
    <row r="7" ht="15" customHeight="1" s="54">
      <c r="A7" s="49" t="inlineStr">
        <is>
          <t>{Access to data} must be controlled based on {user identity, group membership, and assigned roles}</t>
        </is>
      </c>
      <c r="B7" t="inlineStr">
        <is>
          <t>Q0_iv.4.1</t>
        </is>
      </c>
      <c r="C7" t="inlineStr">
        <is>
          <t>Role-Based Access Control for Critical Data</t>
        </is>
      </c>
      <c r="D7" t="inlineStr">
        <is>
          <t>Partial</t>
        </is>
      </c>
      <c r="E7" t="inlineStr">
        <is>
          <t xml:space="preserve">H.4.1; H.4.2; H.4.3; H.4.4; H.4.5; H.4.7; H.4.8 </t>
        </is>
      </c>
    </row>
    <row r="8">
      <c r="B8" t="inlineStr">
        <is>
          <t>Q0_iv.4.2</t>
        </is>
      </c>
      <c r="C8" t="inlineStr">
        <is>
          <t>Access Control for Physical Data Carriers</t>
        </is>
      </c>
      <c r="D8" t="inlineStr">
        <is>
          <t>Yes</t>
        </is>
      </c>
      <c r="E8" s="44" t="inlineStr">
        <is>
          <t>H.4.6</t>
        </is>
      </c>
    </row>
    <row r="9" ht="14.25" customHeight="1" s="54">
      <c r="B9" t="inlineStr">
        <is>
          <t>Q0_iv.4.3</t>
        </is>
      </c>
      <c r="C9" t="inlineStr">
        <is>
          <t>Secure Access to IoT Middleware Platforms</t>
        </is>
      </c>
      <c r="D9" t="inlineStr">
        <is>
          <t>No</t>
        </is>
      </c>
      <c r="F9" t="inlineStr">
        <is>
          <t>No</t>
        </is>
      </c>
    </row>
    <row r="10" ht="14.25" customHeight="1" s="54">
      <c r="B10" t="inlineStr">
        <is>
          <t>Q0_iv.4.4</t>
        </is>
      </c>
      <c r="C10" t="inlineStr">
        <is>
          <t>Controlled Access to Factory Facilities</t>
        </is>
      </c>
      <c r="D10" t="inlineStr">
        <is>
          <t>No</t>
        </is>
      </c>
      <c r="F10" t="inlineStr">
        <is>
          <t>Yes</t>
        </is>
      </c>
      <c r="G10" t="inlineStr">
        <is>
          <t>Scope misalignment</t>
        </is>
      </c>
    </row>
    <row r="11">
      <c r="B11" t="inlineStr">
        <is>
          <t>Q0_iv.4.5</t>
        </is>
      </c>
      <c r="C11" t="inlineStr">
        <is>
          <t>Secure Handling of Delivery Documentation</t>
        </is>
      </c>
      <c r="D11" t="inlineStr">
        <is>
          <t>Yes</t>
        </is>
      </c>
      <c r="E11" s="44" t="inlineStr">
        <is>
          <t>H.4.2</t>
        </is>
      </c>
    </row>
    <row r="12" ht="14.25" customHeight="1" s="54">
      <c r="A12" s="49" t="inlineStr">
        <is>
          <t>The {organization} shall maintain a record of {all privileges allocated}</t>
        </is>
      </c>
      <c r="B12" t="inlineStr">
        <is>
          <t>Q0_iv.5.1</t>
        </is>
      </c>
      <c r="C12" t="inlineStr">
        <is>
          <t>Maintain Comprehensive Privilege Allocation Record</t>
        </is>
      </c>
      <c r="D12" t="inlineStr">
        <is>
          <t>Yes</t>
        </is>
      </c>
      <c r="E12" t="inlineStr">
        <is>
          <t>H.5.1; H.5.2</t>
        </is>
      </c>
    </row>
    <row r="13" ht="15" customHeight="1" s="54">
      <c r="A13" s="44" t="inlineStr">
        <is>
          <t>The {organization} shall regularly review {users} with privileged access rights to ensure that their {duties}, {roles}, {responsibilities}, and {competence} still justify such access</t>
        </is>
      </c>
      <c r="B13" t="inlineStr">
        <is>
          <t>Q0_iv.6.1</t>
        </is>
      </c>
      <c r="C13" t="inlineStr">
        <is>
          <t>RegularReviewOfPrivilegedAccessRights</t>
        </is>
      </c>
      <c r="D13" t="inlineStr">
        <is>
          <t>Yes</t>
        </is>
      </c>
      <c r="E13" t="inlineStr">
        <is>
          <t>H.6.1</t>
        </is>
      </c>
    </row>
    <row r="14" ht="15" customHeight="1" s="54">
      <c r="B14" t="inlineStr">
        <is>
          <t>Q0_iv.6.2</t>
        </is>
      </c>
      <c r="C14" t="inlineStr">
        <is>
          <t>VerificationOfAccessRightsAlignment</t>
        </is>
      </c>
      <c r="D14" t="inlineStr">
        <is>
          <t>Yes</t>
        </is>
      </c>
      <c r="E14" t="inlineStr">
        <is>
          <t>H.6.1</t>
        </is>
      </c>
    </row>
    <row r="15" ht="15" customHeight="1" s="54">
      <c r="B15" t="inlineStr">
        <is>
          <t>Q0_iv.6.3</t>
        </is>
      </c>
      <c r="C15" t="inlineStr">
        <is>
          <t>PrivilegedAccessRightsAudit</t>
        </is>
      </c>
      <c r="D15" t="inlineStr">
        <is>
          <t>Yes</t>
        </is>
      </c>
      <c r="E15" t="inlineStr">
        <is>
          <t>H.6.1</t>
        </is>
      </c>
    </row>
    <row r="16" ht="15" customHeight="1" s="54">
      <c r="A16" s="49" t="inlineStr">
        <is>
          <t>{Connection} of {systems} to the {network} must be restricted and filtered, e.g., using firewalls.</t>
        </is>
      </c>
      <c r="B16" t="inlineStr">
        <is>
          <t>Q0_iv.7.1</t>
        </is>
      </c>
      <c r="C16" t="inlineStr">
        <is>
          <t>NetworkAccessRestrictionForCriticalSystems</t>
        </is>
      </c>
      <c r="D16" t="inlineStr">
        <is>
          <t>Yes</t>
        </is>
      </c>
      <c r="E16" t="inlineStr">
        <is>
          <t>H.7.1; H.7.3</t>
        </is>
      </c>
    </row>
    <row r="17" ht="14.25" customHeight="1" s="54">
      <c r="B17" t="inlineStr">
        <is>
          <t>Q0_iv.7.2</t>
        </is>
      </c>
      <c r="C17" t="inlineStr">
        <is>
          <t>SecureCommunicationForLogisticsEntities</t>
        </is>
      </c>
      <c r="D17" t="inlineStr">
        <is>
          <t>Yes</t>
        </is>
      </c>
      <c r="E17" t="inlineStr">
        <is>
          <t>H.7.1</t>
        </is>
      </c>
    </row>
    <row r="18" ht="29.25" customHeight="1" s="54">
      <c r="A18" s="44" t="inlineStr">
        <is>
          <t>{Network administration channels} must be segregated from {other network traffic}</t>
        </is>
      </c>
      <c r="B18" t="inlineStr">
        <is>
          <t>Q0_iv.8.1</t>
        </is>
      </c>
      <c r="C18" t="inlineStr">
        <is>
          <t>Segregation of Network Administration Channels</t>
        </is>
      </c>
      <c r="D18" t="inlineStr">
        <is>
          <t>Yes</t>
        </is>
      </c>
      <c r="E18" t="inlineStr">
        <is>
          <t>H.8.1</t>
        </is>
      </c>
    </row>
    <row r="19" ht="15" customHeight="1" s="54">
      <c r="A19" s="49" t="inlineStr">
        <is>
          <t>Implement cryptographic measures to safeguard {information stored} on {mobile user} {endpoint devices} or {storage media} and transmitted over {networks}</t>
        </is>
      </c>
      <c r="B19" t="inlineStr">
        <is>
          <t>Q0_iv.9.1</t>
        </is>
      </c>
      <c r="C19" t="inlineStr">
        <is>
          <t>Cryptographic Protection of Supply Vehicle Data</t>
        </is>
      </c>
      <c r="D19" t="inlineStr">
        <is>
          <t>Yes</t>
        </is>
      </c>
      <c r="E19" t="inlineStr">
        <is>
          <t>H.9.1</t>
        </is>
      </c>
    </row>
    <row r="20" ht="14.25" customHeight="1" s="54">
      <c r="B20" t="inlineStr">
        <is>
          <t>Q0_iv.9.2</t>
        </is>
      </c>
      <c r="C20" t="inlineStr">
        <is>
          <t>Secure Communication in Assembly Line Operations</t>
        </is>
      </c>
      <c r="D20" t="inlineStr">
        <is>
          <t>Yes</t>
        </is>
      </c>
      <c r="E20" t="inlineStr">
        <is>
          <t>H.9.3</t>
        </is>
      </c>
    </row>
    <row r="21" ht="14.25" customHeight="1" s="54">
      <c r="B21" t="inlineStr">
        <is>
          <t>Q0_iv.9.3</t>
        </is>
      </c>
      <c r="C21" t="inlineStr">
        <is>
          <t>Encryption of Finished Car Information</t>
        </is>
      </c>
      <c r="D21" t="inlineStr">
        <is>
          <t>Yes</t>
        </is>
      </c>
      <c r="E21" t="inlineStr">
        <is>
          <t>H.9.1</t>
        </is>
      </c>
    </row>
    <row r="22">
      <c r="B22" t="inlineStr">
        <is>
          <t>Q0_iv.9.4</t>
        </is>
      </c>
      <c r="C22" t="inlineStr">
        <is>
          <t>Secure Management of IoT Middleware Platforms</t>
        </is>
      </c>
      <c r="D22" t="inlineStr">
        <is>
          <t>Yes</t>
        </is>
      </c>
      <c r="E22" t="inlineStr">
        <is>
          <t>H.9.1</t>
        </is>
      </c>
    </row>
    <row r="23" ht="15" customHeight="1" s="54">
      <c r="A23" s="49" t="inlineStr">
        <is>
          <t>Establish a comprehensive key management system, including procedures for generating and protecting {cryptographic keys} and recovering {encrypted data} in case of lost, compromised, or damaged {keys}</t>
        </is>
      </c>
      <c r="B23" t="inlineStr">
        <is>
          <t>Q0_iv.10.1</t>
        </is>
      </c>
      <c r="C23" t="inlineStr">
        <is>
          <t>KeyManagementForSecureAIDCSystems</t>
        </is>
      </c>
      <c r="D23" t="inlineStr">
        <is>
          <t>Yes</t>
        </is>
      </c>
      <c r="E23" t="inlineStr">
        <is>
          <t>H.10.1</t>
        </is>
      </c>
    </row>
    <row r="24" ht="14.25" customHeight="1" s="54">
      <c r="B24" t="inlineStr">
        <is>
          <t>Q0_iv.10.2</t>
        </is>
      </c>
      <c r="C24" t="inlineStr">
        <is>
          <t>SecureKeyGenerationForAIDCTags</t>
        </is>
      </c>
      <c r="D24" t="inlineStr">
        <is>
          <t>Yes</t>
        </is>
      </c>
      <c r="E24" t="inlineStr">
        <is>
          <t>H.10.1</t>
        </is>
      </c>
    </row>
    <row r="25">
      <c r="B25" t="inlineStr">
        <is>
          <t>Q0_iv.10.3</t>
        </is>
      </c>
      <c r="C25" t="inlineStr">
        <is>
          <t>KeyProtectionMechanismsForAIDCSystems</t>
        </is>
      </c>
      <c r="D25" t="inlineStr">
        <is>
          <t>Yes</t>
        </is>
      </c>
      <c r="E25" t="inlineStr">
        <is>
          <t>H.10.1</t>
        </is>
      </c>
    </row>
    <row r="26">
      <c r="B26" t="inlineStr">
        <is>
          <t>Q0_iv.10.4</t>
        </is>
      </c>
      <c r="C26" t="inlineStr">
        <is>
          <t>KeyRecoveryProceduresForAIDCDisruptions</t>
        </is>
      </c>
      <c r="D26" t="inlineStr">
        <is>
          <t>Yes</t>
        </is>
      </c>
      <c r="E26" t="inlineStr">
        <is>
          <t>H.10.1</t>
        </is>
      </c>
    </row>
    <row r="27" ht="14.45" customHeight="1" s="54">
      <c r="B27" s="16" t="inlineStr">
        <is>
          <t>Count</t>
        </is>
      </c>
      <c r="C27" s="16" t="inlineStr">
        <is>
          <t>No</t>
        </is>
      </c>
      <c r="D27" s="16">
        <f>COUNTIF(D2:D26,"No")</f>
        <v/>
      </c>
      <c r="E27" s="16" t="inlineStr">
        <is>
          <t>Hallucinations</t>
        </is>
      </c>
      <c r="F27" s="16">
        <f>COUNTIF(F2:F26,"Yes")</f>
        <v/>
      </c>
    </row>
    <row r="28" ht="14.45" customHeight="1" s="54">
      <c r="B28" s="47" t="n"/>
      <c r="C28" s="16" t="inlineStr">
        <is>
          <t>Yes</t>
        </is>
      </c>
      <c r="D28" s="16">
        <f>COUNTIF(D2:D26,"Yes")</f>
        <v/>
      </c>
      <c r="E28" s="16" t="inlineStr">
        <is>
          <t>Partial hallucinations</t>
        </is>
      </c>
      <c r="F28">
        <f>COUNTIFS(D:D,"Partial",F:F,"Yes")</f>
        <v/>
      </c>
    </row>
    <row r="29" ht="14.45" customHeight="1" s="54">
      <c r="B29" s="47" t="n"/>
      <c r="C29" s="16" t="inlineStr">
        <is>
          <t>Partial</t>
        </is>
      </c>
      <c r="D29" s="16">
        <f>COUNTIF(D2:D26,"Partial")</f>
        <v/>
      </c>
      <c r="E29" s="10" t="inlineStr">
        <is>
          <t>Template drift</t>
        </is>
      </c>
      <c r="F29">
        <f>COUNTIF($G$2:$G$26,E29)</f>
        <v/>
      </c>
    </row>
    <row r="30" ht="15" customHeight="1" s="54">
      <c r="E30" s="10" t="inlineStr">
        <is>
          <t>Contextual misfit</t>
        </is>
      </c>
      <c r="F30">
        <f>COUNTIF($G$2:$G$26,E30)</f>
        <v/>
      </c>
    </row>
    <row r="31" ht="15" customHeight="1" s="54">
      <c r="E31" s="10" t="inlineStr">
        <is>
          <t>Scope misalignment</t>
        </is>
      </c>
      <c r="F31">
        <f>COUNTIF($G$2:$G$26,E31)</f>
        <v/>
      </c>
    </row>
    <row r="32" ht="15" customHeight="1" s="54">
      <c r="E32" s="10" t="inlineStr">
        <is>
          <t>Responsibility leakage</t>
        </is>
      </c>
      <c r="F32">
        <f>COUNTIF($G$2:$G$26,E32)</f>
        <v/>
      </c>
    </row>
    <row r="33" ht="15" customHeight="1" s="54">
      <c r="E33" s="10" t="inlineStr">
        <is>
          <t>Architectural infeasibility</t>
        </is>
      </c>
      <c r="F33">
        <f>COUNTIF($G$2:$G$26,E33)</f>
        <v/>
      </c>
    </row>
    <row r="34" ht="15" customHeight="1" s="54"/>
    <row r="35" ht="15" customHeight="1" s="54">
      <c r="E35" s="16" t="inlineStr">
        <is>
          <t>Discoveries</t>
        </is>
      </c>
      <c r="F35" s="16">
        <f>COUNTIF(F2:F26,"No")</f>
        <v/>
      </c>
    </row>
    <row r="73">
      <c r="AA73" t="inlineStr">
        <is>
          <t>G0_ii.10.2</t>
        </is>
      </c>
    </row>
  </sheetData>
  <mergeCells count="7">
    <mergeCell ref="A5:A6"/>
    <mergeCell ref="A23:A26"/>
    <mergeCell ref="A16:A17"/>
    <mergeCell ref="A2:A3"/>
    <mergeCell ref="A7:A11"/>
    <mergeCell ref="A19:A22"/>
    <mergeCell ref="A13:A15"/>
  </mergeCells>
  <conditionalFormatting sqref="D2:D11 D14:D15 D19:D26">
    <cfRule type="containsText" priority="4" operator="containsText" dxfId="6" text="Partial">
      <formula>NOT(ISERROR(SEARCH("Partial",D2)))</formula>
    </cfRule>
    <cfRule type="containsText" priority="5" operator="containsText" dxfId="0" text="No">
      <formula>NOT(ISERROR(SEARCH("No",D2)))</formula>
    </cfRule>
    <cfRule type="containsText" priority="6" operator="containsText" dxfId="1" text="Yes">
      <formula>NOT(ISERROR(SEARCH("Yes",D2)))</formula>
    </cfRule>
  </conditionalFormatting>
  <conditionalFormatting sqref="D12:D18">
    <cfRule type="containsText" priority="14" operator="containsText" dxfId="6" text="Partial">
      <formula>NOT(ISERROR(SEARCH("Partial",D12)))</formula>
    </cfRule>
    <cfRule type="containsText" priority="15" operator="containsText" dxfId="0" text="No">
      <formula>NOT(ISERROR(SEARCH("No",D12)))</formula>
    </cfRule>
    <cfRule type="containsText" priority="16" operator="containsText" dxfId="1" text="Yes">
      <formula>NOT(ISERROR(SEARCH("Yes",D12)))</formula>
    </cfRule>
  </conditionalFormatting>
  <conditionalFormatting sqref="F2:F26">
    <cfRule type="containsText" priority="2" operator="containsText" dxfId="1" text="No">
      <formula>NOT(ISERROR(SEARCH("No",F2)))</formula>
    </cfRule>
    <cfRule type="containsText" priority="3" operator="containsText" dxfId="0" text="Yes">
      <formula>NOT(ISERROR(SEARCH("Yes",F2)))</formula>
    </cfRule>
  </conditionalFormatting>
  <conditionalFormatting sqref="G2:G108">
    <cfRule type="containsText" priority="10" operator="containsText" dxfId="1" text="No">
      <formula>NOT(ISERROR(SEARCH("No",G2)))</formula>
    </cfRule>
    <cfRule type="containsText" priority="11" operator="containsText" dxfId="0" text="Yes">
      <formula>NOT(ISERROR(SEARCH("Yes",G2)))</formula>
    </cfRule>
  </conditionalFormatting>
  <dataValidations count="4">
    <dataValidation sqref="D12:D18" showDropDown="0" showInputMessage="1" showErrorMessage="1" allowBlank="1" type="list" operator="equal">
      <formula1>"Yes;No;Partial"</formula1>
      <formula2>0</formula2>
    </dataValidation>
    <dataValidation sqref="D2:D11 D19:D26" showDropDown="0" showInputMessage="1" showErrorMessage="1" allowBlank="1" type="list" operator="equal">
      <formula1>"Yes,No,Partial"</formula1>
      <formula2>0</formula2>
    </dataValidation>
    <dataValidation sqref="F2:F26" showDropDown="0" showInputMessage="1" showErrorMessage="1" allowBlank="1" type="list" operator="equal">
      <formula1>"Yes,No"</formula1>
      <formula2>0</formula2>
    </dataValidation>
    <dataValidation sqref="G2:G108" showDropDown="0" showInputMessage="1" showErrorMessage="1" allowBlank="1" operator="equal">
      <formula1>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73"/>
  <sheetViews>
    <sheetView zoomScale="85" zoomScaleNormal="85" workbookViewId="0">
      <selection activeCell="E24" sqref="E24:F24"/>
    </sheetView>
  </sheetViews>
  <sheetFormatPr baseColWidth="8" defaultColWidth="9.140625" defaultRowHeight="14.45"/>
  <cols>
    <col width="60.7109375" customWidth="1" style="44" min="1" max="1"/>
    <col width="60.7109375" customWidth="1" style="54" min="3" max="3"/>
    <col width="14.7109375" customWidth="1" style="54" min="4" max="4"/>
    <col width="30.7109375" customWidth="1" style="54" min="5" max="5"/>
    <col width="14.7109375" customWidth="1" style="54" min="6" max="7"/>
    <col width="60.7109375" customWidth="1" style="54" min="8" max="8"/>
  </cols>
  <sheetData>
    <row r="1" customFormat="1" s="53">
      <c r="A1" s="53" t="inlineStr">
        <is>
          <t>Norm</t>
        </is>
      </c>
      <c r="B1" s="53" t="inlineStr">
        <is>
          <t>Q1.#</t>
        </is>
      </c>
      <c r="C1" s="53" t="inlineStr">
        <is>
          <t>Automated requirement name</t>
        </is>
      </c>
      <c r="D1" s="53" t="inlineStr">
        <is>
          <t>Present</t>
        </is>
      </c>
      <c r="E1" s="53" t="inlineStr">
        <is>
          <t>Support</t>
        </is>
      </c>
      <c r="F1" s="53" t="inlineStr">
        <is>
          <t>Hallucination</t>
        </is>
      </c>
      <c r="G1" s="53" t="inlineStr">
        <is>
          <t>Hall. Type</t>
        </is>
      </c>
      <c r="H1" s="53" t="inlineStr">
        <is>
          <t>Rationale</t>
        </is>
      </c>
    </row>
    <row r="2" ht="15" customHeight="1" s="54">
      <c r="A2" s="49" t="inlineStr">
        <is>
          <t>Help messages during the {log-on procedure} must not aid an unauthorized user, e.g., by indicating which {parts of the data} are correct or incorrect</t>
        </is>
      </c>
      <c r="B2" t="inlineStr">
        <is>
          <t>Q1.1.1</t>
        </is>
      </c>
      <c r="C2" t="inlineStr">
        <is>
          <t>SecureLogOnFeedback</t>
        </is>
      </c>
      <c r="D2" t="inlineStr">
        <is>
          <t>Yes</t>
        </is>
      </c>
      <c r="E2" t="inlineStr">
        <is>
          <t>H.1.1</t>
        </is>
      </c>
    </row>
    <row r="3" ht="15" customHeight="1" s="54">
      <c r="A3" s="49" t="inlineStr">
        <is>
          <t>A security incident must be raised if a potential attempted or successful breach of {log-on controls} is detected, and, when the risk of the incident warrants it, the account shall be temporarily restricted, plus an alert shall be sent to the {account owner}, and to the {organization's system administrators}.</t>
        </is>
      </c>
      <c r="B3" t="inlineStr">
        <is>
          <t>Q1.2.1</t>
        </is>
      </c>
      <c r="C3" t="inlineStr">
        <is>
          <t>EnhancedLogOnControlsSurveillance</t>
        </is>
      </c>
      <c r="D3" t="inlineStr">
        <is>
          <t>Yes</t>
        </is>
      </c>
      <c r="E3" t="inlineStr">
        <is>
          <t>H.2.1</t>
        </is>
      </c>
    </row>
    <row r="4" ht="16.35" customHeight="1" s="54">
      <c r="A4" s="49" t="inlineStr">
        <is>
          <t>Physical or logical access controls must be implemented to isolate {sensitive applications, data, or systems}.</t>
        </is>
      </c>
      <c r="B4" t="inlineStr">
        <is>
          <t>Q1.3.1</t>
        </is>
      </c>
      <c r="C4" t="inlineStr">
        <is>
          <t>AccessControlForFactoryITInfrastructure</t>
        </is>
      </c>
      <c r="D4" t="inlineStr">
        <is>
          <t>Yes</t>
        </is>
      </c>
      <c r="E4" t="inlineStr">
        <is>
          <t>H.3.2</t>
        </is>
      </c>
    </row>
    <row r="5">
      <c r="B5" t="inlineStr">
        <is>
          <t>Q1.3.2</t>
        </is>
      </c>
      <c r="C5" t="inlineStr">
        <is>
          <t>SecureProductionPlanDataStore</t>
        </is>
      </c>
      <c r="D5" t="inlineStr">
        <is>
          <t>Yes</t>
        </is>
      </c>
      <c r="E5" t="inlineStr">
        <is>
          <t>H.3.1</t>
        </is>
      </c>
    </row>
    <row r="6" ht="15" customHeight="1" s="54">
      <c r="B6" t="inlineStr">
        <is>
          <t>Q1.3.3</t>
        </is>
      </c>
      <c r="C6" t="inlineStr">
        <is>
          <t>WarehouseInventoryAccessControl</t>
        </is>
      </c>
      <c r="D6" t="inlineStr">
        <is>
          <t>Yes</t>
        </is>
      </c>
      <c r="E6" t="inlineStr">
        <is>
          <t>H.3.1</t>
        </is>
      </c>
    </row>
    <row r="7" ht="15" customHeight="1" s="54">
      <c r="B7" t="inlineStr">
        <is>
          <t>Q1.3.4</t>
        </is>
      </c>
      <c r="C7" t="inlineStr">
        <is>
          <t>ProtectFinishedCarRegistry</t>
        </is>
      </c>
      <c r="D7" t="inlineStr">
        <is>
          <t>Yes</t>
        </is>
      </c>
      <c r="E7" t="inlineStr">
        <is>
          <t>H.3.1</t>
        </is>
      </c>
    </row>
    <row r="8">
      <c r="B8" t="inlineStr">
        <is>
          <t>Q1.3.5</t>
        </is>
      </c>
      <c r="C8" t="inlineStr">
        <is>
          <t>SecurePurchaseAndTransportOrderDataStores</t>
        </is>
      </c>
      <c r="D8" t="inlineStr">
        <is>
          <t>Yes</t>
        </is>
      </c>
      <c r="E8" t="inlineStr">
        <is>
          <t>H.3.1</t>
        </is>
      </c>
    </row>
    <row r="9">
      <c r="B9" t="inlineStr">
        <is>
          <t>Q1.3.6</t>
        </is>
      </c>
      <c r="C9" t="inlineStr">
        <is>
          <t>AccessGateAndDockSecurityControls</t>
        </is>
      </c>
      <c r="D9" t="inlineStr">
        <is>
          <t>No</t>
        </is>
      </c>
      <c r="F9" t="inlineStr">
        <is>
          <t>Yes</t>
        </is>
      </c>
      <c r="G9" t="inlineStr">
        <is>
          <t>Scope misalignment</t>
        </is>
      </c>
    </row>
    <row r="10">
      <c r="B10" t="inlineStr">
        <is>
          <t>Q1.3.7</t>
        </is>
      </c>
      <c r="C10" t="inlineStr">
        <is>
          <t>SecureInboundAndOutboundLogisticProcesses</t>
        </is>
      </c>
      <c r="D10" t="inlineStr">
        <is>
          <t>No</t>
        </is>
      </c>
      <c r="F10" t="inlineStr">
        <is>
          <t>Yes</t>
        </is>
      </c>
      <c r="G10" t="inlineStr">
        <is>
          <t>Scope misalignment</t>
        </is>
      </c>
    </row>
    <row r="11">
      <c r="B11" t="inlineStr">
        <is>
          <t>Q1.3.8</t>
        </is>
      </c>
      <c r="C11" t="inlineStr">
        <is>
          <t>SecureIoTMiddlewarePlatforms</t>
        </is>
      </c>
      <c r="D11" t="inlineStr">
        <is>
          <t>No</t>
        </is>
      </c>
      <c r="F11" t="inlineStr">
        <is>
          <t>No</t>
        </is>
      </c>
    </row>
    <row r="12" ht="15" customHeight="1" s="54">
      <c r="B12" t="inlineStr">
        <is>
          <t>Q1.3.9</t>
        </is>
      </c>
      <c r="C12" t="inlineStr">
        <is>
          <t>RoleBasedAccessControlForEmployees</t>
        </is>
      </c>
      <c r="D12" t="inlineStr">
        <is>
          <t>No</t>
        </is>
      </c>
      <c r="F12" t="inlineStr">
        <is>
          <t>Yes</t>
        </is>
      </c>
      <c r="G12" t="inlineStr">
        <is>
          <t>Template drift</t>
        </is>
      </c>
    </row>
    <row r="13" ht="29.1" customHeight="1" s="54">
      <c r="A13" s="49" t="inlineStr">
        <is>
          <t>{Access to data} must be controlled based on {user identity, group membership, and assigned roles}</t>
        </is>
      </c>
      <c r="B13" t="inlineStr">
        <is>
          <t>Q1.4.1</t>
        </is>
      </c>
      <c r="C13" t="inlineStr">
        <is>
          <t>Role-Based Access Control Implementation</t>
        </is>
      </c>
      <c r="D13" t="inlineStr">
        <is>
          <t>Yes</t>
        </is>
      </c>
      <c r="E13" t="inlineStr">
        <is>
          <t>H.4.7</t>
        </is>
      </c>
    </row>
    <row r="14">
      <c r="A14" s="49" t="inlineStr">
        <is>
          <t>The {organization} shall maintain a record of {all privileges allocated}</t>
        </is>
      </c>
      <c r="B14" t="inlineStr">
        <is>
          <t>Q1.5.1</t>
        </is>
      </c>
      <c r="C14" t="inlineStr">
        <is>
          <t>PrivilegeAllocationRecordMaintenance</t>
        </is>
      </c>
      <c r="D14" t="inlineStr">
        <is>
          <t>Yes</t>
        </is>
      </c>
      <c r="E14" t="inlineStr">
        <is>
          <t>H.5.1; H.5.2</t>
        </is>
      </c>
    </row>
    <row r="15" ht="15" customHeight="1" s="54">
      <c r="A15" s="44" t="inlineStr">
        <is>
          <t>The {organization} shall regularly review {users} with privileged access rights to ensure that their {duties}, {roles}, {responsibilities}, and {competence} still justify such access</t>
        </is>
      </c>
      <c r="B15" t="inlineStr">
        <is>
          <t>Q1.6.1</t>
        </is>
      </c>
      <c r="C15" t="inlineStr">
        <is>
          <t>Regular Review of Privileged Access Rights</t>
        </is>
      </c>
      <c r="D15" t="inlineStr">
        <is>
          <t>Yes</t>
        </is>
      </c>
      <c r="E15" t="inlineStr">
        <is>
          <t>H.6.1</t>
        </is>
      </c>
      <c r="H15" t="inlineStr">
        <is>
          <t>Includes irrelevant periodicity</t>
        </is>
      </c>
    </row>
    <row r="16" ht="29.1" customHeight="1" s="54">
      <c r="A16" s="49" t="inlineStr">
        <is>
          <t>{Connection} of {systems} to the {network} must be restricted and filtered, e.g., using firewalls.</t>
        </is>
      </c>
      <c r="B16" t="inlineStr">
        <is>
          <t>Q1.7.1</t>
        </is>
      </c>
      <c r="C16" t="inlineStr">
        <is>
          <t>Network_Access_Control</t>
        </is>
      </c>
      <c r="D16" t="inlineStr">
        <is>
          <t>Yes</t>
        </is>
      </c>
      <c r="E16" t="inlineStr">
        <is>
          <t>H.7.1</t>
        </is>
      </c>
    </row>
    <row r="17" ht="29.1" customHeight="1" s="54">
      <c r="A17" s="44" t="inlineStr">
        <is>
          <t>{Network administration channels} must be segregated from {other network traffic}</t>
        </is>
      </c>
      <c r="B17" t="inlineStr">
        <is>
          <t>Q1.8.1</t>
        </is>
      </c>
      <c r="C17" t="inlineStr">
        <is>
          <t>Segregation of Factory Network Administration Channels</t>
        </is>
      </c>
      <c r="D17" t="inlineStr">
        <is>
          <t>Yes</t>
        </is>
      </c>
      <c r="E17" t="inlineStr">
        <is>
          <t>H.8.1</t>
        </is>
      </c>
    </row>
    <row r="18" ht="15" customHeight="1" s="54">
      <c r="A18" s="49" t="inlineStr">
        <is>
          <t>Implement cryptographic measures to safeguard {information stored} on {mobile user} {endpoint devices} or {storage media} and transmitted over {networks}</t>
        </is>
      </c>
      <c r="B18" t="inlineStr">
        <is>
          <t>Q1.9.1</t>
        </is>
      </c>
      <c r="C18" t="inlineStr">
        <is>
          <t>SecureCommunicationAndDataProtection</t>
        </is>
      </c>
      <c r="D18" t="inlineStr">
        <is>
          <t>Yes</t>
        </is>
      </c>
      <c r="E18" t="inlineStr">
        <is>
          <t>H.9.1; H.9.3</t>
        </is>
      </c>
    </row>
    <row r="19" ht="16.35" customHeight="1" s="54">
      <c r="A19" s="49" t="inlineStr">
        <is>
          <t>Establish a comprehensive key management system, including procedures for generating and protecting {cryptographic keys} and recovering {encrypted data} in case of lost, compromised, or damaged {keys}</t>
        </is>
      </c>
      <c r="B19" t="inlineStr">
        <is>
          <t>Q1.10.1</t>
        </is>
      </c>
      <c r="C19" t="inlineStr">
        <is>
          <t>Secure Key Lifecycle Management</t>
        </is>
      </c>
      <c r="D19" t="inlineStr">
        <is>
          <t>Yes</t>
        </is>
      </c>
      <c r="E19" t="inlineStr">
        <is>
          <t>H.10.3</t>
        </is>
      </c>
    </row>
    <row r="20">
      <c r="B20" t="inlineStr">
        <is>
          <t>Q1.10.2</t>
        </is>
      </c>
      <c r="C20" t="inlineStr">
        <is>
          <t>Resilient Key Recovery Mechanisms</t>
        </is>
      </c>
      <c r="D20" t="inlineStr">
        <is>
          <t>No</t>
        </is>
      </c>
      <c r="F20" t="inlineStr">
        <is>
          <t>No</t>
        </is>
      </c>
    </row>
    <row r="21">
      <c r="B21" t="inlineStr">
        <is>
          <t>Q1.10.3</t>
        </is>
      </c>
      <c r="C21" t="inlineStr">
        <is>
          <t>Secure Data Store Encryption</t>
        </is>
      </c>
      <c r="D21" t="inlineStr">
        <is>
          <t>No</t>
        </is>
      </c>
      <c r="F21" t="inlineStr">
        <is>
          <t>Yes</t>
        </is>
      </c>
      <c r="G21" t="inlineStr">
        <is>
          <t>Template drift</t>
        </is>
      </c>
    </row>
    <row r="22" ht="15" customHeight="1" s="54">
      <c r="B22" t="inlineStr">
        <is>
          <t>Q1.10.4</t>
        </is>
      </c>
      <c r="C22" t="inlineStr">
        <is>
          <t>Secure Communication Channels</t>
        </is>
      </c>
      <c r="D22" t="inlineStr">
        <is>
          <t>No</t>
        </is>
      </c>
      <c r="F22" t="inlineStr">
        <is>
          <t>Yes</t>
        </is>
      </c>
      <c r="G22" t="inlineStr">
        <is>
          <t>Template drift</t>
        </is>
      </c>
    </row>
    <row r="23" ht="14.45" customHeight="1" s="54">
      <c r="B23" s="16" t="inlineStr">
        <is>
          <t>Count</t>
        </is>
      </c>
      <c r="C23" s="16" t="inlineStr">
        <is>
          <t>No</t>
        </is>
      </c>
      <c r="D23" s="16">
        <f>COUNTIF(D2:D22,"No")</f>
        <v/>
      </c>
      <c r="E23" s="16" t="inlineStr">
        <is>
          <t>Hallucinations</t>
        </is>
      </c>
      <c r="F23" s="16">
        <f>COUNTIF(F2:F22,"Yes")</f>
        <v/>
      </c>
    </row>
    <row r="24" ht="14.45" customHeight="1" s="54">
      <c r="B24" s="47" t="n"/>
      <c r="C24" s="16" t="inlineStr">
        <is>
          <t>Yes</t>
        </is>
      </c>
      <c r="D24" s="16">
        <f>COUNTIF(D2:D22,"Yes")</f>
        <v/>
      </c>
      <c r="E24" s="16" t="inlineStr">
        <is>
          <t>Partial hallucinations</t>
        </is>
      </c>
      <c r="F24">
        <f>COUNTIFS(D:D,"Partial",F:F,"Yes")</f>
        <v/>
      </c>
    </row>
    <row r="25" ht="14.45" customHeight="1" s="54">
      <c r="B25" s="47" t="n"/>
      <c r="C25" s="16" t="inlineStr">
        <is>
          <t>Partial</t>
        </is>
      </c>
      <c r="D25" s="16">
        <f>COUNTIF(D2:D22,"Partial")</f>
        <v/>
      </c>
      <c r="E25" s="10" t="inlineStr">
        <is>
          <t>Template drift</t>
        </is>
      </c>
      <c r="F25">
        <f>COUNTIF($G$2:$G$22,E25)</f>
        <v/>
      </c>
    </row>
    <row r="26" ht="15" customHeight="1" s="54">
      <c r="E26" s="10" t="inlineStr">
        <is>
          <t>Contextual misfit</t>
        </is>
      </c>
      <c r="F26">
        <f>COUNTIF($G$2:$G$22,E26)</f>
        <v/>
      </c>
    </row>
    <row r="27" ht="15" customHeight="1" s="54">
      <c r="E27" s="10" t="inlineStr">
        <is>
          <t>Scope misalignment</t>
        </is>
      </c>
      <c r="F27">
        <f>COUNTIF($G$2:$G$22,E27)</f>
        <v/>
      </c>
    </row>
    <row r="28" ht="15" customHeight="1" s="54">
      <c r="E28" s="10" t="inlineStr">
        <is>
          <t>Responsibility leakage</t>
        </is>
      </c>
      <c r="F28">
        <f>COUNTIF($G$2:$G$22,E28)</f>
        <v/>
      </c>
    </row>
    <row r="29" ht="15" customHeight="1" s="54">
      <c r="E29" s="10" t="inlineStr">
        <is>
          <t>Architectural infeasibility</t>
        </is>
      </c>
      <c r="F29">
        <f>COUNTIF($G$2:$G$22,E29)</f>
        <v/>
      </c>
    </row>
    <row r="30" ht="15" customHeight="1" s="54"/>
    <row r="31" ht="15" customHeight="1" s="54">
      <c r="E31" s="16" t="inlineStr">
        <is>
          <t>Discoveries</t>
        </is>
      </c>
      <c r="F31" s="16">
        <f>COUNTIF(F2:F22,"No")</f>
        <v/>
      </c>
    </row>
    <row r="73">
      <c r="AA73" t="inlineStr">
        <is>
          <t>G0_ii.10.2</t>
        </is>
      </c>
    </row>
  </sheetData>
  <mergeCells count="2">
    <mergeCell ref="A19:A22"/>
    <mergeCell ref="A4:A12"/>
  </mergeCells>
  <conditionalFormatting sqref="D2:D22">
    <cfRule type="containsText" priority="4" operator="containsText" dxfId="6" text="Partial">
      <formula>NOT(ISERROR(SEARCH("Partial",D2)))</formula>
    </cfRule>
    <cfRule type="containsText" priority="5" operator="containsText" dxfId="0" text="No">
      <formula>NOT(ISERROR(SEARCH("No",D2)))</formula>
    </cfRule>
    <cfRule type="containsText" priority="6" operator="containsText" dxfId="1" text="Yes">
      <formula>NOT(ISERROR(SEARCH("Yes",D2)))</formula>
    </cfRule>
  </conditionalFormatting>
  <conditionalFormatting sqref="F2:F22">
    <cfRule type="containsText" priority="2" operator="containsText" dxfId="1" text="No">
      <formula>NOT(ISERROR(SEARCH("No",F2)))</formula>
    </cfRule>
    <cfRule type="containsText" priority="3" operator="containsText" dxfId="0" text="Yes">
      <formula>NOT(ISERROR(SEARCH("Yes",F2)))</formula>
    </cfRule>
  </conditionalFormatting>
  <conditionalFormatting sqref="G2:G108">
    <cfRule type="containsText" priority="7" operator="containsText" dxfId="1" text="No">
      <formula>NOT(ISERROR(SEARCH("No",G2)))</formula>
    </cfRule>
    <cfRule type="containsText" priority="8" operator="containsText" dxfId="0" text="Yes">
      <formula>NOT(ISERROR(SEARCH("Yes",G2)))</formula>
    </cfRule>
  </conditionalFormatting>
  <dataValidations count="3">
    <dataValidation sqref="D2:D22" showDropDown="0" showInputMessage="1" showErrorMessage="1" allowBlank="1" type="list" operator="equal">
      <formula1>"Yes,No,Partial"</formula1>
      <formula2>0</formula2>
    </dataValidation>
    <dataValidation sqref="F2:F22" showDropDown="0" showInputMessage="1" showErrorMessage="1" allowBlank="1" type="list" operator="equal">
      <formula1>"Yes,No"</formula1>
      <formula2>0</formula2>
    </dataValidation>
    <dataValidation sqref="G2:G108" showDropDown="0" showInputMessage="1" showErrorMessage="1" allowBlank="1" operator="equal">
      <formula1>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A73"/>
  <sheetViews>
    <sheetView zoomScale="85" zoomScaleNormal="85" workbookViewId="0">
      <selection activeCell="E31" sqref="E31:F31"/>
    </sheetView>
  </sheetViews>
  <sheetFormatPr baseColWidth="8" defaultColWidth="9.140625" defaultRowHeight="14.45"/>
  <cols>
    <col width="60.7109375" customWidth="1" style="44" min="1" max="1"/>
    <col width="60.7109375" customWidth="1" style="54" min="3" max="3"/>
    <col width="14.7109375" customWidth="1" style="54" min="4" max="4"/>
    <col width="30.7109375" customWidth="1" style="54" min="5" max="5"/>
    <col width="14.7109375" customWidth="1" style="54" min="6" max="7"/>
    <col width="60.7109375" customWidth="1" style="54" min="8" max="8"/>
  </cols>
  <sheetData>
    <row r="1" customFormat="1" s="53">
      <c r="A1" s="53" t="inlineStr">
        <is>
          <t>Norm</t>
        </is>
      </c>
      <c r="B1" s="53" t="inlineStr">
        <is>
          <t>Q2.#</t>
        </is>
      </c>
      <c r="C1" s="53" t="inlineStr">
        <is>
          <t>Automated requirement name</t>
        </is>
      </c>
      <c r="D1" s="53" t="inlineStr">
        <is>
          <t>Present</t>
        </is>
      </c>
      <c r="E1" s="53" t="inlineStr">
        <is>
          <t>Support</t>
        </is>
      </c>
      <c r="F1" s="53" t="inlineStr">
        <is>
          <t>Hallucination</t>
        </is>
      </c>
      <c r="G1" s="53" t="inlineStr">
        <is>
          <t>Hall. Type</t>
        </is>
      </c>
      <c r="H1" s="53" t="inlineStr">
        <is>
          <t>Rationale</t>
        </is>
      </c>
    </row>
    <row r="2" ht="15" customHeight="1" s="54">
      <c r="A2" s="49" t="inlineStr">
        <is>
          <t>Help messages during the {log-on procedure} must not aid an unauthorized user, e.g., by indicating which {parts of the data} are correct or incorrect</t>
        </is>
      </c>
      <c r="B2" t="inlineStr">
        <is>
          <t>Q2.1.1</t>
        </is>
      </c>
      <c r="C2" t="inlineStr">
        <is>
          <t>SecureAuthenticationFeedback</t>
        </is>
      </c>
      <c r="D2" t="inlineStr">
        <is>
          <t>Yes</t>
        </is>
      </c>
      <c r="E2" t="inlineStr">
        <is>
          <t>H.1.1</t>
        </is>
      </c>
    </row>
    <row r="3" ht="15" customHeight="1" s="54">
      <c r="A3" s="49" t="inlineStr">
        <is>
          <t>A security incident must be raised if a potential attempted or successful breach of {log-on controls} is detected, and, when the risk of the incident warrants it, the account shall be temporarily restricted, plus an alert shall be sent to the {account owner}, and to the {organization's system administrators}.</t>
        </is>
      </c>
      <c r="B3" t="inlineStr">
        <is>
          <t>Q2.2.1</t>
        </is>
      </c>
      <c r="C3" t="inlineStr">
        <is>
          <t>EnhancedLogOnControlSurveillance</t>
        </is>
      </c>
      <c r="D3" t="inlineStr">
        <is>
          <t>Yes</t>
        </is>
      </c>
      <c r="E3" t="inlineStr">
        <is>
          <t>H.2.1</t>
        </is>
      </c>
    </row>
    <row r="4">
      <c r="B4" t="inlineStr">
        <is>
          <t>Q2.2.2</t>
        </is>
      </c>
      <c r="C4" t="inlineStr">
        <is>
          <t>ImmediateAlertingForUnauthorizedAccessAttempts</t>
        </is>
      </c>
      <c r="D4" t="inlineStr">
        <is>
          <t>Yes</t>
        </is>
      </c>
      <c r="E4" t="inlineStr">
        <is>
          <t>H.2.1</t>
        </is>
      </c>
    </row>
    <row r="5" ht="29.25" customHeight="1" s="54">
      <c r="A5" s="49" t="inlineStr">
        <is>
          <t>Physical or logical access controls must be implemented to isolate {sensitive applications, data, or systems}.</t>
        </is>
      </c>
      <c r="B5" t="inlineStr">
        <is>
          <t>Q2.3.1</t>
        </is>
      </c>
      <c r="C5" t="inlineStr">
        <is>
          <t>Secure Entry and Exit Control</t>
        </is>
      </c>
      <c r="D5" t="inlineStr">
        <is>
          <t>No</t>
        </is>
      </c>
      <c r="F5" t="inlineStr">
        <is>
          <t>Yes</t>
        </is>
      </c>
      <c r="G5" t="inlineStr">
        <is>
          <t>Scope misalignment</t>
        </is>
      </c>
    </row>
    <row r="6">
      <c r="B6" t="inlineStr">
        <is>
          <t>Q2.3.2</t>
        </is>
      </c>
      <c r="C6" t="inlineStr">
        <is>
          <t>Digital Access Management for Sensitive Areas</t>
        </is>
      </c>
      <c r="D6" t="inlineStr">
        <is>
          <t>Yes</t>
        </is>
      </c>
      <c r="E6" t="inlineStr">
        <is>
          <t>H.3.2</t>
        </is>
      </c>
    </row>
    <row r="7">
      <c r="B7" t="inlineStr">
        <is>
          <t>Q2.3.3</t>
        </is>
      </c>
      <c r="C7" t="inlineStr">
        <is>
          <t>Data Store Security</t>
        </is>
      </c>
      <c r="D7" t="inlineStr">
        <is>
          <t>Yes</t>
        </is>
      </c>
      <c r="E7" t="inlineStr">
        <is>
          <t>H.3.1</t>
        </is>
      </c>
    </row>
    <row r="8">
      <c r="B8" t="inlineStr">
        <is>
          <t>Q2.3.4</t>
        </is>
      </c>
      <c r="C8" t="inlineStr">
        <is>
          <t>IoT Middleware Platform Access Control</t>
        </is>
      </c>
      <c r="D8" t="inlineStr">
        <is>
          <t>No</t>
        </is>
      </c>
      <c r="F8" t="inlineStr">
        <is>
          <t>No</t>
        </is>
      </c>
    </row>
    <row r="9" ht="15" customHeight="1" s="54">
      <c r="B9" t="inlineStr">
        <is>
          <t>Q2.3.5</t>
        </is>
      </c>
      <c r="C9" t="inlineStr">
        <is>
          <t>Employee Role-Based Access</t>
        </is>
      </c>
      <c r="D9" t="inlineStr">
        <is>
          <t>No</t>
        </is>
      </c>
      <c r="F9" t="inlineStr">
        <is>
          <t>Yes</t>
        </is>
      </c>
      <c r="G9" t="inlineStr">
        <is>
          <t>Template drift</t>
        </is>
      </c>
    </row>
    <row r="10" ht="15" customHeight="1" s="54">
      <c r="A10" s="49" t="inlineStr">
        <is>
          <t>{Access to data} must be controlled based on {user identity, group membership, and assigned roles}</t>
        </is>
      </c>
      <c r="B10" t="inlineStr">
        <is>
          <t>Q2.4.1</t>
        </is>
      </c>
      <c r="C10" t="inlineStr">
        <is>
          <t>Secure Entry and Exit Control</t>
        </is>
      </c>
      <c r="D10" t="inlineStr">
        <is>
          <t>No</t>
        </is>
      </c>
      <c r="F10" t="inlineStr">
        <is>
          <t>Yes</t>
        </is>
      </c>
      <c r="G10" t="inlineStr">
        <is>
          <t>Scope misalignment</t>
        </is>
      </c>
    </row>
    <row r="11">
      <c r="B11" t="inlineStr">
        <is>
          <t>Q2.4.2</t>
        </is>
      </c>
      <c r="C11" t="inlineStr">
        <is>
          <t>Digital Access Management for Sensitive Areas</t>
        </is>
      </c>
      <c r="D11" t="inlineStr">
        <is>
          <t>No</t>
        </is>
      </c>
      <c r="F11" t="inlineStr">
        <is>
          <t>Yes</t>
        </is>
      </c>
      <c r="G11" t="inlineStr">
        <is>
          <t>Scope misalignment</t>
        </is>
      </c>
    </row>
    <row r="12">
      <c r="B12" t="inlineStr">
        <is>
          <t>Q2.4.3</t>
        </is>
      </c>
      <c r="C12" t="inlineStr">
        <is>
          <t>Data Store Security</t>
        </is>
      </c>
      <c r="D12" t="inlineStr">
        <is>
          <t>Yes</t>
        </is>
      </c>
      <c r="E12" t="inlineStr">
        <is>
          <t>H.4.1; H.4.3; H.4.5</t>
        </is>
      </c>
    </row>
    <row r="13">
      <c r="B13" t="inlineStr">
        <is>
          <t>Q2.4.4</t>
        </is>
      </c>
      <c r="C13" t="inlineStr">
        <is>
          <t>IoT Middleware Platform Access Control</t>
        </is>
      </c>
      <c r="D13" t="inlineStr">
        <is>
          <t>No</t>
        </is>
      </c>
      <c r="F13" t="inlineStr">
        <is>
          <t>No</t>
        </is>
      </c>
    </row>
    <row r="14">
      <c r="B14" t="inlineStr">
        <is>
          <t>Q2.4.5</t>
        </is>
      </c>
      <c r="C14" t="inlineStr">
        <is>
          <t>Employee Role-Based Access</t>
        </is>
      </c>
      <c r="D14" t="inlineStr">
        <is>
          <t>Yes</t>
        </is>
      </c>
      <c r="E14" t="inlineStr">
        <is>
          <t>H.4.7</t>
        </is>
      </c>
    </row>
    <row r="15">
      <c r="A15" s="49" t="inlineStr">
        <is>
          <t>The {organization} shall maintain a record of {all privileges allocated}</t>
        </is>
      </c>
      <c r="B15" t="inlineStr">
        <is>
          <t>Q2.5.1</t>
        </is>
      </c>
      <c r="C15" t="inlineStr">
        <is>
          <t>Comprehensive Privilege Recording</t>
        </is>
      </c>
      <c r="D15" t="inlineStr">
        <is>
          <t>Yes</t>
        </is>
      </c>
      <c r="E15" t="inlineStr">
        <is>
          <t>H.5.1</t>
        </is>
      </c>
    </row>
    <row r="16" ht="15" customHeight="1" s="54">
      <c r="A16" s="44" t="inlineStr">
        <is>
          <t>The {organization} shall regularly review {users} with privileged access rights to ensure that their {duties}, {roles}, {responsibilities}, and {competence} still justify such access</t>
        </is>
      </c>
      <c r="B16" t="inlineStr">
        <is>
          <t>Q2.6.1</t>
        </is>
      </c>
      <c r="C16" t="inlineStr">
        <is>
          <t>PrivilegedAccessReview</t>
        </is>
      </c>
      <c r="D16" t="inlineStr">
        <is>
          <t>Yes</t>
        </is>
      </c>
      <c r="E16" t="inlineStr">
        <is>
          <t>H.6.1</t>
        </is>
      </c>
    </row>
    <row r="17" ht="15" customHeight="1" s="54">
      <c r="A17" s="49" t="inlineStr">
        <is>
          <t>{Connection} of {systems} to the {network} must be restricted and filtered, e.g., using firewalls.</t>
        </is>
      </c>
      <c r="B17" t="inlineStr">
        <is>
          <t>Q2.7.1</t>
        </is>
      </c>
      <c r="C17" t="inlineStr">
        <is>
          <t>Secure Network Access Enforcement</t>
        </is>
      </c>
      <c r="D17" t="inlineStr">
        <is>
          <t>Yes</t>
        </is>
      </c>
      <c r="E17" t="inlineStr">
        <is>
          <t>H.7.1; H.7.2</t>
        </is>
      </c>
    </row>
    <row r="18" ht="29.1" customHeight="1" s="54">
      <c r="A18" s="44" t="inlineStr">
        <is>
          <t>{Network administration channels} must be segregated from {other network traffic}</t>
        </is>
      </c>
      <c r="B18" t="inlineStr">
        <is>
          <t>Q2.8.1</t>
        </is>
      </c>
      <c r="C18" t="inlineStr">
        <is>
          <t>Network Administration Channel Isolation</t>
        </is>
      </c>
      <c r="D18" t="inlineStr">
        <is>
          <t>Yes</t>
        </is>
      </c>
      <c r="E18" t="inlineStr">
        <is>
          <t>H.8.1</t>
        </is>
      </c>
    </row>
    <row r="19" ht="15" customHeight="1" s="54">
      <c r="A19" s="49" t="inlineStr">
        <is>
          <t>Implement cryptographic measures to safeguard {information stored} on {mobile user} {endpoint devices} or {storage media} and transmitted over {networks}</t>
        </is>
      </c>
      <c r="B19" t="inlineStr">
        <is>
          <t>Q2.9.1</t>
        </is>
      </c>
      <c r="C19" t="inlineStr">
        <is>
          <t>EndpointDeviceDataProtection</t>
        </is>
      </c>
      <c r="D19" t="inlineStr">
        <is>
          <t>No</t>
        </is>
      </c>
      <c r="F19" t="inlineStr">
        <is>
          <t>No</t>
        </is>
      </c>
    </row>
    <row r="20">
      <c r="B20" t="inlineStr">
        <is>
          <t>Q2.9.2</t>
        </is>
      </c>
      <c r="C20" t="inlineStr">
        <is>
          <t>SecureStorageMediaHandling</t>
        </is>
      </c>
      <c r="D20" t="inlineStr">
        <is>
          <t>No</t>
        </is>
      </c>
      <c r="F20" t="inlineStr">
        <is>
          <t>Yes</t>
        </is>
      </c>
      <c r="G20" t="inlineStr">
        <is>
          <t>Architectural infeasibility</t>
        </is>
      </c>
      <c r="H20" t="inlineStr">
        <is>
          <t>Out of the scope (not required technologies in use)</t>
        </is>
      </c>
    </row>
    <row r="21">
      <c r="B21" t="inlineStr">
        <is>
          <t>Q2.9.3</t>
        </is>
      </c>
      <c r="C21" t="inlineStr">
        <is>
          <t>NetworkCommunicationSecurity</t>
        </is>
      </c>
      <c r="D21" t="inlineStr">
        <is>
          <t>Yes</t>
        </is>
      </c>
      <c r="E21" t="inlineStr">
        <is>
          <t>H.9.3</t>
        </is>
      </c>
    </row>
    <row r="22">
      <c r="B22" t="inlineStr">
        <is>
          <t>Q2.9.4</t>
        </is>
      </c>
      <c r="C22" t="inlineStr">
        <is>
          <t>DataTransmissionIntegrity</t>
        </is>
      </c>
      <c r="D22" t="inlineStr">
        <is>
          <t>Yes</t>
        </is>
      </c>
      <c r="E22" t="inlineStr">
        <is>
          <t>H.9.3</t>
        </is>
      </c>
    </row>
    <row r="23">
      <c r="B23" t="inlineStr">
        <is>
          <t>Q2.9.5</t>
        </is>
      </c>
      <c r="C23" t="inlineStr">
        <is>
          <t>IoTMiddlewareSecurity</t>
        </is>
      </c>
      <c r="D23" t="inlineStr">
        <is>
          <t>Yes</t>
        </is>
      </c>
      <c r="F23" t="inlineStr">
        <is>
          <t>No</t>
        </is>
      </c>
    </row>
    <row r="24">
      <c r="B24" t="inlineStr">
        <is>
          <t>Q2.9.6</t>
        </is>
      </c>
      <c r="C24" t="inlineStr">
        <is>
          <t>AdministrativeDeviceEncryption</t>
        </is>
      </c>
      <c r="D24" t="inlineStr">
        <is>
          <t>Yes</t>
        </is>
      </c>
      <c r="F24" t="inlineStr">
        <is>
          <t>Yes</t>
        </is>
      </c>
      <c r="G24" t="inlineStr">
        <is>
          <t>Architectural infeasibility</t>
        </is>
      </c>
      <c r="H24" t="inlineStr">
        <is>
          <t>Overloaded</t>
        </is>
      </c>
    </row>
    <row r="25" ht="15" customHeight="1" s="54">
      <c r="A25" s="49" t="inlineStr">
        <is>
          <t>Establish a comprehensive key management system, including procedures for generating and protecting {cryptographic keys} and recovering {encrypted data} in case of lost, compromised, or damaged {keys}</t>
        </is>
      </c>
      <c r="B25" t="inlineStr">
        <is>
          <t>Q2.10.1</t>
        </is>
      </c>
      <c r="C25" t="inlineStr">
        <is>
          <t>Secure Key Lifecycle Management</t>
        </is>
      </c>
      <c r="D25" t="inlineStr">
        <is>
          <t>Yes</t>
        </is>
      </c>
      <c r="E25" t="inlineStr">
        <is>
          <t>H.10.3</t>
        </is>
      </c>
    </row>
    <row r="26">
      <c r="B26" t="inlineStr">
        <is>
          <t>Q2.10.2</t>
        </is>
      </c>
      <c r="C26" t="inlineStr">
        <is>
          <t>Key Access Control and User Management</t>
        </is>
      </c>
      <c r="D26" t="inlineStr">
        <is>
          <t>Yes</t>
        </is>
      </c>
      <c r="E26" t="inlineStr">
        <is>
          <t>H.10.2</t>
        </is>
      </c>
    </row>
    <row r="27">
      <c r="B27" t="inlineStr">
        <is>
          <t>Q2.10.3</t>
        </is>
      </c>
      <c r="C27" t="inlineStr">
        <is>
          <t>Key-Driven Data Recovery Protocol</t>
        </is>
      </c>
      <c r="D27" t="inlineStr">
        <is>
          <t>No</t>
        </is>
      </c>
      <c r="F27" t="inlineStr">
        <is>
          <t>No</t>
        </is>
      </c>
    </row>
    <row r="28">
      <c r="B28" t="inlineStr">
        <is>
          <t>Q2.10.4</t>
        </is>
      </c>
      <c r="C28" t="inlineStr">
        <is>
          <t>System Operation Resilience</t>
        </is>
      </c>
      <c r="D28" t="inlineStr">
        <is>
          <t>No</t>
        </is>
      </c>
      <c r="F28" t="inlineStr">
        <is>
          <t>Yes</t>
        </is>
      </c>
      <c r="G28" t="inlineStr">
        <is>
          <t>Template drift</t>
        </is>
      </c>
      <c r="H28" t="inlineStr">
        <is>
          <t>Not a FR</t>
        </is>
      </c>
    </row>
    <row r="29">
      <c r="B29" t="inlineStr">
        <is>
          <t>Q2.10.5</t>
        </is>
      </c>
      <c r="C29" t="inlineStr">
        <is>
          <t>Security Management Compliance</t>
        </is>
      </c>
      <c r="D29" t="inlineStr">
        <is>
          <t>No</t>
        </is>
      </c>
      <c r="F29" t="inlineStr">
        <is>
          <t>Yes</t>
        </is>
      </c>
      <c r="G29" t="inlineStr">
        <is>
          <t>Template drift</t>
        </is>
      </c>
      <c r="H29" t="inlineStr">
        <is>
          <t>Not a FR</t>
        </is>
      </c>
    </row>
    <row r="30" ht="14.45" customHeight="1" s="54">
      <c r="B30" s="16" t="inlineStr">
        <is>
          <t>Count</t>
        </is>
      </c>
      <c r="C30" s="16" t="inlineStr">
        <is>
          <t>No</t>
        </is>
      </c>
      <c r="D30" s="16">
        <f>COUNTIF(D2:D29,"No")</f>
        <v/>
      </c>
      <c r="E30" s="16" t="inlineStr">
        <is>
          <t>Hallucinations</t>
        </is>
      </c>
      <c r="F30" s="16">
        <f>COUNTIF(F2:F29,"Yes")</f>
        <v/>
      </c>
    </row>
    <row r="31" ht="14.45" customHeight="1" s="54">
      <c r="B31" s="47" t="n"/>
      <c r="C31" s="16" t="inlineStr">
        <is>
          <t>Yes</t>
        </is>
      </c>
      <c r="D31" s="16">
        <f>COUNTIF(D2:D29,"Yes")</f>
        <v/>
      </c>
      <c r="E31" s="16" t="inlineStr">
        <is>
          <t>Partial hallucinations</t>
        </is>
      </c>
      <c r="F31">
        <f>COUNTIFS(D:D,"Partial",F:F,"Yes")</f>
        <v/>
      </c>
    </row>
    <row r="32" ht="14.45" customHeight="1" s="54">
      <c r="B32" s="47" t="n"/>
      <c r="C32" s="16" t="inlineStr">
        <is>
          <t>Partial</t>
        </is>
      </c>
      <c r="D32" s="16">
        <f>COUNTIF(D2:D29,"Partial")</f>
        <v/>
      </c>
      <c r="E32" s="10" t="inlineStr">
        <is>
          <t>Template drift</t>
        </is>
      </c>
      <c r="F32">
        <f>COUNTIF($G$2:$G$29,E32)</f>
        <v/>
      </c>
    </row>
    <row r="33" ht="15" customHeight="1" s="54">
      <c r="E33" s="10" t="inlineStr">
        <is>
          <t>Contextual misfit</t>
        </is>
      </c>
      <c r="F33">
        <f>COUNTIF($G$2:$G$29,E33)</f>
        <v/>
      </c>
    </row>
    <row r="34" ht="15" customHeight="1" s="54">
      <c r="E34" s="10" t="inlineStr">
        <is>
          <t>Scope misalignment</t>
        </is>
      </c>
      <c r="F34">
        <f>COUNTIF($G$2:$G$29,E34)</f>
        <v/>
      </c>
    </row>
    <row r="35" ht="15" customHeight="1" s="54">
      <c r="E35" s="10" t="inlineStr">
        <is>
          <t>Responsibility leakage</t>
        </is>
      </c>
      <c r="F35">
        <f>COUNTIF($G$2:$G$29,E35)</f>
        <v/>
      </c>
    </row>
    <row r="36" ht="15" customHeight="1" s="54">
      <c r="E36" s="10" t="inlineStr">
        <is>
          <t>Architectural infeasibility</t>
        </is>
      </c>
      <c r="F36">
        <f>COUNTIF($G$2:$G$29,E36)</f>
        <v/>
      </c>
    </row>
    <row r="37" ht="15" customHeight="1" s="54"/>
    <row r="38" ht="15" customHeight="1" s="54">
      <c r="E38" s="16" t="inlineStr">
        <is>
          <t>Discoveries</t>
        </is>
      </c>
      <c r="F38" s="16">
        <f>COUNTIF(F2:F29,"No")</f>
        <v/>
      </c>
    </row>
    <row r="73">
      <c r="AA73" t="inlineStr">
        <is>
          <t>G0_ii.10.2</t>
        </is>
      </c>
    </row>
  </sheetData>
  <mergeCells count="5">
    <mergeCell ref="A5:A9"/>
    <mergeCell ref="A25:A29"/>
    <mergeCell ref="A3:A4"/>
    <mergeCell ref="A10:A14"/>
    <mergeCell ref="A19:A24"/>
  </mergeCells>
  <conditionalFormatting sqref="D2:D29">
    <cfRule type="containsText" priority="4" operator="containsText" dxfId="6" text="Partial">
      <formula>NOT(ISERROR(SEARCH("Partial",D2)))</formula>
    </cfRule>
    <cfRule type="containsText" priority="5" operator="containsText" dxfId="0" text="No">
      <formula>NOT(ISERROR(SEARCH("No",D2)))</formula>
    </cfRule>
    <cfRule type="containsText" priority="6" operator="containsText" dxfId="1" text="Yes">
      <formula>NOT(ISERROR(SEARCH("Yes",D2)))</formula>
    </cfRule>
  </conditionalFormatting>
  <conditionalFormatting sqref="F2:F29">
    <cfRule type="containsText" priority="2" operator="containsText" dxfId="1" text="No">
      <formula>NOT(ISERROR(SEARCH("No",F2)))</formula>
    </cfRule>
    <cfRule type="containsText" priority="3" operator="containsText" dxfId="0" text="Yes">
      <formula>NOT(ISERROR(SEARCH("Yes",F2)))</formula>
    </cfRule>
  </conditionalFormatting>
  <conditionalFormatting sqref="G2:G5 G9:G108">
    <cfRule type="containsText" priority="7" operator="containsText" dxfId="1" text="No">
      <formula>NOT(ISERROR(SEARCH("No",G2)))</formula>
    </cfRule>
    <cfRule type="containsText" priority="8" operator="containsText" dxfId="0" text="Yes">
      <formula>NOT(ISERROR(SEARCH("Yes",G2)))</formula>
    </cfRule>
  </conditionalFormatting>
  <dataValidations count="3">
    <dataValidation sqref="D2:D29" showDropDown="0" showInputMessage="1" showErrorMessage="1" allowBlank="1" type="list" operator="equal">
      <formula1>"Yes,No,Partial"</formula1>
      <formula2>0</formula2>
    </dataValidation>
    <dataValidation sqref="F2:F29" showDropDown="0" showInputMessage="1" showErrorMessage="1" allowBlank="1" type="list" operator="equal">
      <formula1>"Yes,No"</formula1>
      <formula2>0</formula2>
    </dataValidation>
    <dataValidation sqref="G2:G5 G9:G108" showDropDown="0" showInputMessage="1" showErrorMessage="1" allowBlank="1" operator="equal">
      <formula1>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A73"/>
  <sheetViews>
    <sheetView zoomScale="85" zoomScaleNormal="85" workbookViewId="0">
      <selection activeCell="E46" sqref="E46:F46"/>
    </sheetView>
  </sheetViews>
  <sheetFormatPr baseColWidth="8" defaultColWidth="9.140625" defaultRowHeight="14.45"/>
  <cols>
    <col width="60.7109375" customWidth="1" style="44" min="1" max="1"/>
    <col width="60.7109375" customWidth="1" style="54" min="3" max="3"/>
    <col width="14.7109375" customWidth="1" style="54" min="4" max="4"/>
    <col width="30.7109375" customWidth="1" style="54" min="5" max="5"/>
    <col width="14.7109375" customWidth="1" style="54" min="6" max="7"/>
    <col width="60.7109375" customWidth="1" style="54" min="8" max="8"/>
  </cols>
  <sheetData>
    <row r="1" customFormat="1" s="53">
      <c r="A1" s="53" t="inlineStr">
        <is>
          <t>Norm</t>
        </is>
      </c>
      <c r="B1" s="53" t="inlineStr">
        <is>
          <t>M0.#</t>
        </is>
      </c>
      <c r="C1" s="53" t="inlineStr">
        <is>
          <t>Automated requirement name</t>
        </is>
      </c>
      <c r="D1" s="53" t="inlineStr">
        <is>
          <t>Present</t>
        </is>
      </c>
      <c r="E1" s="53" t="inlineStr">
        <is>
          <t>Support</t>
        </is>
      </c>
      <c r="F1" s="53" t="inlineStr">
        <is>
          <t>Hallucination</t>
        </is>
      </c>
      <c r="G1" s="53" t="inlineStr">
        <is>
          <t>Hall. Type</t>
        </is>
      </c>
      <c r="H1" s="53" t="inlineStr">
        <is>
          <t>Rationale</t>
        </is>
      </c>
    </row>
    <row r="2" ht="15" customHeight="1" s="54">
      <c r="A2" s="49" t="inlineStr">
        <is>
          <t>Help messages during the {log-on procedure} must not aid an unauthorized user, e.g., by indicating which {parts of the data} are correct or incorrect</t>
        </is>
      </c>
      <c r="B2" t="inlineStr">
        <is>
          <t>M0.1.1</t>
        </is>
      </c>
      <c r="C2" t="inlineStr">
        <is>
          <t>Non-Disclosure of Validity during Access Control Manager Log-On</t>
        </is>
      </c>
      <c r="D2" t="inlineStr">
        <is>
          <t>Yes</t>
        </is>
      </c>
      <c r="E2" t="inlineStr">
        <is>
          <t>H.1.1</t>
        </is>
      </c>
    </row>
    <row r="3" ht="15" customHeight="1" s="54">
      <c r="B3" t="inlineStr">
        <is>
          <t>M0.1.2</t>
        </is>
      </c>
      <c r="C3" t="inlineStr">
        <is>
          <t>Non-Disclosure of Validity during Dock Manager Log-On</t>
        </is>
      </c>
      <c r="D3" t="inlineStr">
        <is>
          <t>Yes</t>
        </is>
      </c>
      <c r="E3" t="inlineStr">
        <is>
          <t>H.1.1</t>
        </is>
      </c>
    </row>
    <row r="4" ht="15" customHeight="1" s="54">
      <c r="B4" t="inlineStr">
        <is>
          <t>M0.1.3</t>
        </is>
      </c>
      <c r="C4" t="inlineStr">
        <is>
          <t>Non-Disclosure of Validity during Warehouse Manager Log-On</t>
        </is>
      </c>
      <c r="D4" t="inlineStr">
        <is>
          <t>Yes</t>
        </is>
      </c>
      <c r="E4" t="inlineStr">
        <is>
          <t>H.1.1</t>
        </is>
      </c>
    </row>
    <row r="5" ht="15" customHeight="1" s="54">
      <c r="B5" t="inlineStr">
        <is>
          <t>M0.1.4</t>
        </is>
      </c>
      <c r="C5" t="inlineStr">
        <is>
          <t>Non-Disclosure of Validity during Plant Manager Log-On</t>
        </is>
      </c>
      <c r="D5" t="inlineStr">
        <is>
          <t>Yes</t>
        </is>
      </c>
      <c r="E5" t="inlineStr">
        <is>
          <t>H.1.1</t>
        </is>
      </c>
    </row>
    <row r="6" ht="15" customHeight="1" s="54">
      <c r="B6" t="inlineStr">
        <is>
          <t>M0.1.5</t>
        </is>
      </c>
      <c r="C6" t="inlineStr">
        <is>
          <t>Non-Disclosure of Validity during Worker Log-On</t>
        </is>
      </c>
      <c r="D6" t="inlineStr">
        <is>
          <t>Yes</t>
        </is>
      </c>
      <c r="E6" t="inlineStr">
        <is>
          <t>H.1.1</t>
        </is>
      </c>
    </row>
    <row r="7" ht="15" customHeight="1" s="54">
      <c r="B7" t="inlineStr">
        <is>
          <t>M0.1.6</t>
        </is>
      </c>
      <c r="C7" t="inlineStr">
        <is>
          <t>Non-Disclosure of Validity during Yard Driver Log-On</t>
        </is>
      </c>
      <c r="D7" t="inlineStr">
        <is>
          <t>Yes</t>
        </is>
      </c>
      <c r="E7" t="inlineStr">
        <is>
          <t>H.1.1</t>
        </is>
      </c>
    </row>
    <row r="8" ht="15" customHeight="1" s="54">
      <c r="B8" t="inlineStr">
        <is>
          <t>M0.1.7</t>
        </is>
      </c>
      <c r="C8" t="inlineStr">
        <is>
          <t>Non-Disclosure of Validity during Yard Driver Log-On</t>
        </is>
      </c>
      <c r="D8" t="inlineStr">
        <is>
          <t>Yes</t>
        </is>
      </c>
      <c r="E8" t="inlineStr">
        <is>
          <t>H.1.1</t>
        </is>
      </c>
      <c r="H8" t="inlineStr">
        <is>
          <t>Duplicate of previous</t>
        </is>
      </c>
    </row>
    <row r="9" ht="15" customHeight="1" s="54">
      <c r="B9" t="inlineStr">
        <is>
          <t>M0.1.8</t>
        </is>
      </c>
      <c r="C9" t="inlineStr">
        <is>
          <t>Non-Disclosure of Validity during System Admin Log-On</t>
        </is>
      </c>
      <c r="D9" t="inlineStr">
        <is>
          <t>Yes</t>
        </is>
      </c>
      <c r="E9" t="inlineStr">
        <is>
          <t>H.1.1</t>
        </is>
      </c>
    </row>
    <row r="10" ht="15" customHeight="1" s="54">
      <c r="B10" t="inlineStr">
        <is>
          <t>M0.1.9</t>
        </is>
      </c>
      <c r="C10" t="inlineStr">
        <is>
          <t>Non-Disclosure of Validity during Operations Manager Log-On</t>
        </is>
      </c>
      <c r="D10" t="inlineStr">
        <is>
          <t>Yes</t>
        </is>
      </c>
      <c r="E10" t="inlineStr">
        <is>
          <t>H.1.1</t>
        </is>
      </c>
    </row>
    <row r="11" ht="15" customHeight="1" s="54">
      <c r="B11" t="inlineStr">
        <is>
          <t>M0.1.10</t>
        </is>
      </c>
      <c r="C11" t="inlineStr">
        <is>
          <t>Non-Disclosure of Validity during Security Manager Log-On</t>
        </is>
      </c>
      <c r="D11" t="inlineStr">
        <is>
          <t>Yes</t>
        </is>
      </c>
      <c r="E11" t="inlineStr">
        <is>
          <t>H.1.1</t>
        </is>
      </c>
    </row>
    <row r="12" ht="15" customHeight="1" s="54">
      <c r="A12" s="49" t="inlineStr">
        <is>
          <t>A security incident must be raised if a potential attempted or successful breach of {log-on controls} is detected, and, when the risk of the incident warrants it, the account shall be temporarily restricted, plus an alert shall be sent to the {account owner}, and to the {organization's system administrators}.</t>
        </is>
      </c>
      <c r="B12" t="inlineStr">
        <is>
          <t>M0.2.1</t>
        </is>
      </c>
      <c r="C12" t="inlineStr">
        <is>
          <t>Intrusion Detection for Access Control</t>
        </is>
      </c>
      <c r="D12" t="inlineStr">
        <is>
          <t>No</t>
        </is>
      </c>
      <c r="F12" t="inlineStr">
        <is>
          <t>Yes</t>
        </is>
      </c>
      <c r="G12" t="inlineStr">
        <is>
          <t>Scope misalignment</t>
        </is>
      </c>
    </row>
    <row r="13">
      <c r="B13" t="inlineStr">
        <is>
          <t>M0.2.2</t>
        </is>
      </c>
      <c r="C13" t="inlineStr">
        <is>
          <t>Unauthorized Access Detection for Warehouse Inventory System</t>
        </is>
      </c>
      <c r="D13" t="inlineStr">
        <is>
          <t>No</t>
        </is>
      </c>
      <c r="F13" t="inlineStr">
        <is>
          <t>Yes</t>
        </is>
      </c>
      <c r="G13" t="inlineStr">
        <is>
          <t>Architectural infeasibility</t>
        </is>
      </c>
    </row>
    <row r="14">
      <c r="B14" t="inlineStr">
        <is>
          <t>M0.2.3</t>
        </is>
      </c>
      <c r="C14" t="inlineStr">
        <is>
          <t>Unauthorized Access Detection for Assembly Line Management System</t>
        </is>
      </c>
      <c r="D14" t="inlineStr">
        <is>
          <t>No</t>
        </is>
      </c>
      <c r="F14" t="inlineStr">
        <is>
          <t>Yes</t>
        </is>
      </c>
      <c r="G14" t="inlineStr">
        <is>
          <t>Architectural infeasibility</t>
        </is>
      </c>
    </row>
    <row r="15">
      <c r="B15" t="inlineStr">
        <is>
          <t>M0.2.4</t>
        </is>
      </c>
      <c r="C15" t="inlineStr">
        <is>
          <t>Unauthorized Access Detection for Outbound Logistics Management System</t>
        </is>
      </c>
      <c r="D15" t="inlineStr">
        <is>
          <t>No</t>
        </is>
      </c>
      <c r="F15" t="inlineStr">
        <is>
          <t>Yes</t>
        </is>
      </c>
      <c r="G15" t="inlineStr">
        <is>
          <t>Architectural infeasibility</t>
        </is>
      </c>
    </row>
    <row r="16" ht="15" customHeight="1" s="54">
      <c r="A16" s="49" t="inlineStr">
        <is>
          <t>Physical or logical access controls must be implemented to isolate {sensitive applications, data, or systems}.</t>
        </is>
      </c>
      <c r="B16" t="inlineStr">
        <is>
          <t>M0.3.1</t>
        </is>
      </c>
      <c r="C16" t="inlineStr">
        <is>
          <t>Access Control for Inbound Logistics Datastores</t>
        </is>
      </c>
      <c r="D16" t="inlineStr">
        <is>
          <t>Yes</t>
        </is>
      </c>
      <c r="E16" t="inlineStr">
        <is>
          <t>H.3.1</t>
        </is>
      </c>
    </row>
    <row r="17" ht="15" customHeight="1" s="54">
      <c r="B17" t="inlineStr">
        <is>
          <t>M0.3.2</t>
        </is>
      </c>
      <c r="C17" t="inlineStr">
        <is>
          <t>Access Control for Car Assembly Datastores</t>
        </is>
      </c>
      <c r="D17" t="inlineStr">
        <is>
          <t>Yes</t>
        </is>
      </c>
      <c r="E17" t="inlineStr">
        <is>
          <t>H.3.1</t>
        </is>
      </c>
    </row>
    <row r="18" ht="15" customHeight="1" s="54">
      <c r="B18" t="inlineStr">
        <is>
          <t>M0.3.3</t>
        </is>
      </c>
      <c r="C18" t="inlineStr">
        <is>
          <t>Access Control for Outbound Logistics Datastores</t>
        </is>
      </c>
      <c r="D18" t="inlineStr">
        <is>
          <t>Yes</t>
        </is>
      </c>
      <c r="E18" t="inlineStr">
        <is>
          <t>H.3.1</t>
        </is>
      </c>
    </row>
    <row r="19" ht="15" customHeight="1" s="54">
      <c r="B19" t="inlineStr">
        <is>
          <t>M0.3.4</t>
        </is>
      </c>
      <c r="C19" t="inlineStr">
        <is>
          <t>Access Control for System Administration Functions</t>
        </is>
      </c>
      <c r="D19" t="inlineStr">
        <is>
          <t>No</t>
        </is>
      </c>
      <c r="F19" t="inlineStr">
        <is>
          <t>Yes</t>
        </is>
      </c>
      <c r="G19" t="inlineStr">
        <is>
          <t>Template drift</t>
        </is>
      </c>
    </row>
    <row r="20" ht="15" customHeight="1" s="54">
      <c r="A20" s="49" t="inlineStr">
        <is>
          <t>{Access to data} must be controlled based on {user identity, group membership, and assigned roles}</t>
        </is>
      </c>
      <c r="B20" t="inlineStr">
        <is>
          <t>M0.4.1</t>
        </is>
      </c>
      <c r="C20" t="inlineStr">
        <is>
          <t>Role-based Access Control for Manufacturing Data</t>
        </is>
      </c>
      <c r="D20" t="inlineStr">
        <is>
          <t>Yes</t>
        </is>
      </c>
      <c r="E20" t="inlineStr">
        <is>
          <t>H.4.7</t>
        </is>
      </c>
    </row>
    <row r="21">
      <c r="B21" t="inlineStr">
        <is>
          <t>M0.4.2</t>
        </is>
      </c>
      <c r="C21" t="inlineStr">
        <is>
          <t>Group-based Access Control for Logistics Data</t>
        </is>
      </c>
      <c r="D21" t="inlineStr">
        <is>
          <t>Yes</t>
        </is>
      </c>
      <c r="E21" t="inlineStr">
        <is>
          <t>H.4.7</t>
        </is>
      </c>
    </row>
    <row r="22">
      <c r="B22" t="inlineStr">
        <is>
          <t>M0.4.3</t>
        </is>
      </c>
      <c r="C22" t="inlineStr">
        <is>
          <t>Identity-based Access Control for System Operations Data</t>
        </is>
      </c>
      <c r="D22" t="inlineStr">
        <is>
          <t>Partial</t>
        </is>
      </c>
      <c r="E22" t="inlineStr">
        <is>
          <t>H.4.7</t>
        </is>
      </c>
      <c r="F22" t="inlineStr">
        <is>
          <t>No</t>
        </is>
      </c>
    </row>
    <row r="23" ht="16.35" customHeight="1" s="54">
      <c r="A23" s="49" t="inlineStr">
        <is>
          <t>The {organization} shall maintain a record of {all privileges allocated}</t>
        </is>
      </c>
      <c r="B23" t="inlineStr">
        <is>
          <t>M0.5.1</t>
        </is>
      </c>
      <c r="C23" t="inlineStr">
        <is>
          <t>Record of Employee Access Privileges</t>
        </is>
      </c>
      <c r="D23" t="inlineStr">
        <is>
          <t>Yes</t>
        </is>
      </c>
      <c r="E23" t="inlineStr">
        <is>
          <t>H.5.1</t>
        </is>
      </c>
    </row>
    <row r="24">
      <c r="B24" t="inlineStr">
        <is>
          <t>M0.5.2</t>
        </is>
      </c>
      <c r="C24" t="inlineStr">
        <is>
          <t>Record of AGV Access Privileges</t>
        </is>
      </c>
      <c r="D24" t="inlineStr">
        <is>
          <t>No</t>
        </is>
      </c>
      <c r="F24" t="inlineStr">
        <is>
          <t>No</t>
        </is>
      </c>
    </row>
    <row r="25">
      <c r="B25" t="inlineStr">
        <is>
          <t>M0.5.3</t>
        </is>
      </c>
      <c r="C25" t="inlineStr">
        <is>
          <t>Record of IoT Middleware Access Privileges</t>
        </is>
      </c>
      <c r="D25" t="inlineStr">
        <is>
          <t>No</t>
        </is>
      </c>
      <c r="F25" t="inlineStr">
        <is>
          <t>Yes</t>
        </is>
      </c>
      <c r="G25" t="inlineStr">
        <is>
          <t>Architectural infeasibility</t>
        </is>
      </c>
    </row>
    <row r="26" ht="15" customHeight="1" s="54">
      <c r="A26" s="44" t="inlineStr">
        <is>
          <t>The {organization} shall regularly review {users} with privileged access rights to ensure that their {duties}, {roles}, {responsibilities}, and {competence} still justify such access</t>
        </is>
      </c>
      <c r="B26" t="inlineStr">
        <is>
          <t>M0.6.1</t>
        </is>
      </c>
      <c r="C26" t="inlineStr">
        <is>
          <t>Regular Review of Privileged Access for Factory Employees</t>
        </is>
      </c>
      <c r="D26" t="inlineStr">
        <is>
          <t>Yes</t>
        </is>
      </c>
      <c r="E26" t="inlineStr">
        <is>
          <t>H.6.1</t>
        </is>
      </c>
    </row>
    <row r="27">
      <c r="B27" t="inlineStr">
        <is>
          <t>M0.6.2</t>
        </is>
      </c>
      <c r="C27" t="inlineStr">
        <is>
          <t>Regular Review of Privileged Access for Logistics Terminal Employees</t>
        </is>
      </c>
      <c r="D27" t="inlineStr">
        <is>
          <t>No</t>
        </is>
      </c>
      <c r="F27" t="inlineStr">
        <is>
          <t>No</t>
        </is>
      </c>
    </row>
    <row r="28" ht="15" customHeight="1" s="54">
      <c r="A28" s="49" t="inlineStr">
        <is>
          <t>{Connection} of {systems} to the {network} must be restricted and filtered, e.g., using firewalls.</t>
        </is>
      </c>
      <c r="B28" t="inlineStr">
        <is>
          <t>M0.7.1</t>
        </is>
      </c>
      <c r="C28" t="inlineStr">
        <is>
          <t>Restricted and Filtered IoT Device Connection</t>
        </is>
      </c>
      <c r="D28" t="inlineStr">
        <is>
          <t>No</t>
        </is>
      </c>
      <c r="F28" t="inlineStr">
        <is>
          <t>No</t>
        </is>
      </c>
    </row>
    <row r="29">
      <c r="B29" t="inlineStr">
        <is>
          <t>M0.7.2</t>
        </is>
      </c>
      <c r="C29" t="inlineStr">
        <is>
          <t>Restricted and Filtered Factory System Connection to the Internet</t>
        </is>
      </c>
      <c r="D29" t="inlineStr">
        <is>
          <t>Yes</t>
        </is>
      </c>
      <c r="E29" t="inlineStr">
        <is>
          <t>H.7.2</t>
        </is>
      </c>
    </row>
    <row r="30">
      <c r="B30" t="inlineStr">
        <is>
          <t>M0.7.3</t>
        </is>
      </c>
      <c r="C30" t="inlineStr">
        <is>
          <t>Restricted and Filtered Employee Device Connection to the Factory Network</t>
        </is>
      </c>
      <c r="D30" t="inlineStr">
        <is>
          <t>Yes</t>
        </is>
      </c>
      <c r="E30" t="inlineStr">
        <is>
          <t>H.7.1</t>
        </is>
      </c>
    </row>
    <row r="31" ht="29.1" customHeight="1" s="54">
      <c r="A31" s="44" t="inlineStr">
        <is>
          <t>{Network administration channels} must be segregated from {other network traffic}</t>
        </is>
      </c>
      <c r="B31" t="inlineStr">
        <is>
          <t>M0.8.1</t>
        </is>
      </c>
      <c r="C31" t="inlineStr">
        <is>
          <t>Segregation of Factory Network Administration Channels</t>
        </is>
      </c>
      <c r="D31" t="inlineStr">
        <is>
          <t>Yes</t>
        </is>
      </c>
      <c r="E31" t="inlineStr">
        <is>
          <t>H.8.1</t>
        </is>
      </c>
    </row>
    <row r="32" ht="15" customHeight="1" s="54">
      <c r="A32" s="49" t="inlineStr">
        <is>
          <t>Implement cryptographic measures to safeguard {information stored} on {mobile user} {endpoint devices} or {storage media} and transmitted over {networks}</t>
        </is>
      </c>
      <c r="B32" t="inlineStr">
        <is>
          <t>M0.9.1</t>
        </is>
      </c>
      <c r="C32" t="inlineStr">
        <is>
          <t>Encrypted Communication for Supply Vehicle Identification</t>
        </is>
      </c>
      <c r="D32" t="inlineStr">
        <is>
          <t>Yes</t>
        </is>
      </c>
      <c r="E32" t="inlineStr">
        <is>
          <t>H.9.1</t>
        </is>
      </c>
    </row>
    <row r="33">
      <c r="B33" t="inlineStr">
        <is>
          <t>M0.9.2</t>
        </is>
      </c>
      <c r="C33" t="inlineStr">
        <is>
          <t>Secure Storage of Component Identification Data</t>
        </is>
      </c>
      <c r="D33" t="inlineStr">
        <is>
          <t>Yes</t>
        </is>
      </c>
      <c r="E33" t="inlineStr">
        <is>
          <t>H.9.2</t>
        </is>
      </c>
    </row>
    <row r="34">
      <c r="B34" t="inlineStr">
        <is>
          <t>M0.9.3</t>
        </is>
      </c>
      <c r="C34" t="inlineStr">
        <is>
          <t>Encrypted Communication for Warehouse Inventory Management</t>
        </is>
      </c>
      <c r="D34" t="inlineStr">
        <is>
          <t>Yes</t>
        </is>
      </c>
      <c r="E34" t="inlineStr">
        <is>
          <t>H.9.3</t>
        </is>
      </c>
    </row>
    <row r="35">
      <c r="B35" t="inlineStr">
        <is>
          <t>M0.9.4</t>
        </is>
      </c>
      <c r="C35" t="inlineStr">
        <is>
          <t>Secure Storage of Car Identification Data</t>
        </is>
      </c>
      <c r="D35" t="inlineStr">
        <is>
          <t>Yes</t>
        </is>
      </c>
      <c r="E35" t="inlineStr">
        <is>
          <t>H.9.1</t>
        </is>
      </c>
    </row>
    <row r="36">
      <c r="B36" t="inlineStr">
        <is>
          <t>M0.9.5</t>
        </is>
      </c>
      <c r="C36" t="inlineStr">
        <is>
          <t>Encrypted Communication for Finished Car Registry</t>
        </is>
      </c>
      <c r="D36" t="inlineStr">
        <is>
          <t>Yes</t>
        </is>
      </c>
      <c r="E36" t="inlineStr">
        <is>
          <t>H.9.3</t>
        </is>
      </c>
    </row>
    <row r="37">
      <c r="B37" t="inlineStr">
        <is>
          <t>M0.9.6</t>
        </is>
      </c>
      <c r="C37" t="inlineStr">
        <is>
          <t>Secure Storage of Purchase Order and Transport Order Data</t>
        </is>
      </c>
      <c r="D37" t="inlineStr">
        <is>
          <t>Yes</t>
        </is>
      </c>
      <c r="E37" t="inlineStr">
        <is>
          <t>H.9.1</t>
        </is>
      </c>
    </row>
    <row r="38" ht="15" customHeight="1" s="54">
      <c r="A38" s="49" t="inlineStr">
        <is>
          <t>Establish a comprehensive key management system, including procedures for generating and protecting {cryptographic keys} and recovering {encrypted data} in case of lost, compromised, or damaged {keys}</t>
        </is>
      </c>
      <c r="B38" t="inlineStr">
        <is>
          <t>M0.10.1</t>
        </is>
      </c>
      <c r="C38" t="inlineStr">
        <is>
          <t>Factory Key Management System</t>
        </is>
      </c>
      <c r="D38" t="inlineStr">
        <is>
          <t>Yes</t>
        </is>
      </c>
      <c r="E38" t="inlineStr">
        <is>
          <t>H.10.1</t>
        </is>
      </c>
    </row>
    <row r="39">
      <c r="B39" t="inlineStr">
        <is>
          <t>M0.10.2</t>
        </is>
      </c>
      <c r="C39" t="inlineStr">
        <is>
          <t>Role-based Key Access</t>
        </is>
      </c>
      <c r="D39" t="inlineStr">
        <is>
          <t>Yes</t>
        </is>
      </c>
      <c r="E39" t="inlineStr">
        <is>
          <t>H.10.2</t>
        </is>
      </c>
    </row>
    <row r="40">
      <c r="B40" t="inlineStr">
        <is>
          <t>M0.10.3</t>
        </is>
      </c>
      <c r="C40" t="inlineStr">
        <is>
          <t>Automatic Key Rotation and Revocation</t>
        </is>
      </c>
      <c r="D40" t="inlineStr">
        <is>
          <t>No</t>
        </is>
      </c>
      <c r="F40" t="inlineStr">
        <is>
          <t>No</t>
        </is>
      </c>
    </row>
    <row r="41">
      <c r="B41" t="inlineStr">
        <is>
          <t>M0.10.4</t>
        </is>
      </c>
      <c r="C41" t="inlineStr">
        <is>
          <t>Key Backup and Recovery</t>
        </is>
      </c>
      <c r="D41" t="inlineStr">
        <is>
          <t>Yes</t>
        </is>
      </c>
      <c r="E41" t="inlineStr">
        <is>
          <t>H.10.1; H.10.2</t>
        </is>
      </c>
    </row>
    <row r="42">
      <c r="B42" t="inlineStr">
        <is>
          <t>M0.10.5</t>
        </is>
      </c>
      <c r="C42" t="inlineStr">
        <is>
          <t>Key Usage Monitoring and Reporting</t>
        </is>
      </c>
      <c r="D42" t="inlineStr">
        <is>
          <t>No</t>
        </is>
      </c>
      <c r="F42" t="inlineStr">
        <is>
          <t>No</t>
        </is>
      </c>
    </row>
    <row r="43">
      <c r="B43" t="inlineStr">
        <is>
          <t>M0.10.6</t>
        </is>
      </c>
      <c r="C43" t="inlineStr">
        <is>
          <t>Key Integrity and Authenticity</t>
        </is>
      </c>
      <c r="D43" t="inlineStr">
        <is>
          <t>Yes</t>
        </is>
      </c>
      <c r="E43" t="inlineStr">
        <is>
          <t>H.10.3</t>
        </is>
      </c>
      <c r="F43" t="inlineStr">
        <is>
          <t>No</t>
        </is>
      </c>
      <c r="H43" t="inlineStr">
        <is>
          <t>Self-evident redundant of next</t>
        </is>
      </c>
    </row>
    <row r="44">
      <c r="B44" t="inlineStr">
        <is>
          <t>M0.10.7</t>
        </is>
      </c>
      <c r="C44" t="inlineStr">
        <is>
          <t>Key Lifecycle Management</t>
        </is>
      </c>
      <c r="D44" t="inlineStr">
        <is>
          <t>Yes</t>
        </is>
      </c>
      <c r="E44" t="inlineStr">
        <is>
          <t>H.10.3</t>
        </is>
      </c>
    </row>
    <row r="45" ht="14.45" customHeight="1" s="54">
      <c r="B45" s="16" t="inlineStr">
        <is>
          <t>Count</t>
        </is>
      </c>
      <c r="C45" s="16" t="inlineStr">
        <is>
          <t>No</t>
        </is>
      </c>
      <c r="D45" s="16">
        <f>COUNTIF(D2:D44,"No")</f>
        <v/>
      </c>
      <c r="E45" s="16" t="inlineStr">
        <is>
          <t>Hallucinations</t>
        </is>
      </c>
      <c r="F45" s="16">
        <f>COUNTIF(F2:F44,"Yes")</f>
        <v/>
      </c>
    </row>
    <row r="46" ht="14.45" customHeight="1" s="54">
      <c r="B46" s="47" t="n"/>
      <c r="C46" s="16" t="inlineStr">
        <is>
          <t>Yes</t>
        </is>
      </c>
      <c r="D46" s="16">
        <f>COUNTIF(D2:D44,"Yes")</f>
        <v/>
      </c>
      <c r="E46" s="16" t="inlineStr">
        <is>
          <t>Partial hallucinations</t>
        </is>
      </c>
      <c r="F46">
        <f>COUNTIFS(D:D,"Partial",F:F,"Yes")</f>
        <v/>
      </c>
    </row>
    <row r="47" ht="14.45" customHeight="1" s="54">
      <c r="B47" s="47" t="n"/>
      <c r="C47" s="16" t="inlineStr">
        <is>
          <t>Partial</t>
        </is>
      </c>
      <c r="D47" s="16">
        <f>COUNTIF(D2:D44,"Partial")</f>
        <v/>
      </c>
      <c r="E47" s="10" t="inlineStr">
        <is>
          <t>Template drift</t>
        </is>
      </c>
      <c r="F47">
        <f>COUNTIF($G$2:$G$44,E47)</f>
        <v/>
      </c>
    </row>
    <row r="48" ht="15" customHeight="1" s="54">
      <c r="E48" s="10" t="inlineStr">
        <is>
          <t>Contextual misfit</t>
        </is>
      </c>
      <c r="F48">
        <f>COUNTIF($G$2:$G$44,E48)</f>
        <v/>
      </c>
    </row>
    <row r="49" ht="15" customHeight="1" s="54">
      <c r="E49" s="10" t="inlineStr">
        <is>
          <t>Scope misalignment</t>
        </is>
      </c>
      <c r="F49">
        <f>COUNTIF($G$2:$G$44,E49)</f>
        <v/>
      </c>
    </row>
    <row r="50" ht="15" customHeight="1" s="54">
      <c r="E50" s="10" t="inlineStr">
        <is>
          <t>Responsibility leakage</t>
        </is>
      </c>
      <c r="F50">
        <f>COUNTIF($G$2:$G$44,E50)</f>
        <v/>
      </c>
    </row>
    <row r="51" ht="15" customHeight="1" s="54">
      <c r="E51" s="10" t="inlineStr">
        <is>
          <t>Architectural infeasibility</t>
        </is>
      </c>
      <c r="F51">
        <f>COUNTIF($G$2:$G$44,E51)</f>
        <v/>
      </c>
    </row>
    <row r="52" ht="15" customHeight="1" s="54"/>
    <row r="53" ht="15" customHeight="1" s="54">
      <c r="E53" s="16" t="inlineStr">
        <is>
          <t>Discoveries</t>
        </is>
      </c>
      <c r="F53" s="16">
        <f>COUNTIF(F2:F44,"No")</f>
        <v/>
      </c>
    </row>
    <row r="73">
      <c r="AA73" t="inlineStr">
        <is>
          <t>G0_ii.10.2</t>
        </is>
      </c>
    </row>
  </sheetData>
  <mergeCells count="9">
    <mergeCell ref="A26:A27"/>
    <mergeCell ref="A28:A30"/>
    <mergeCell ref="A2:A11"/>
    <mergeCell ref="A12:A15"/>
    <mergeCell ref="A20:A22"/>
    <mergeCell ref="A38:A44"/>
    <mergeCell ref="A23:A25"/>
    <mergeCell ref="A16:A19"/>
    <mergeCell ref="A32:A37"/>
  </mergeCells>
  <conditionalFormatting sqref="D2:D44">
    <cfRule type="containsText" priority="4" operator="containsText" dxfId="6" text="Partial">
      <formula>NOT(ISERROR(SEARCH("Partial",D2)))</formula>
    </cfRule>
    <cfRule type="containsText" priority="5" operator="containsText" dxfId="0" text="No">
      <formula>NOT(ISERROR(SEARCH("No",D2)))</formula>
    </cfRule>
    <cfRule type="containsText" priority="6" operator="containsText" dxfId="1" text="Yes">
      <formula>NOT(ISERROR(SEARCH("Yes",D2)))</formula>
    </cfRule>
  </conditionalFormatting>
  <conditionalFormatting sqref="F2:F44">
    <cfRule type="containsText" priority="2" operator="containsText" dxfId="1" text="No">
      <formula>NOT(ISERROR(SEARCH("No",F2)))</formula>
    </cfRule>
    <cfRule type="containsText" priority="3" operator="containsText" dxfId="0" text="Yes">
      <formula>NOT(ISERROR(SEARCH("Yes",F2)))</formula>
    </cfRule>
  </conditionalFormatting>
  <conditionalFormatting sqref="G2:G108">
    <cfRule type="containsText" priority="7" operator="containsText" dxfId="1" text="No">
      <formula>NOT(ISERROR(SEARCH("No",G2)))</formula>
    </cfRule>
    <cfRule type="containsText" priority="8" operator="containsText" dxfId="0" text="Yes">
      <formula>NOT(ISERROR(SEARCH("Yes",G2)))</formula>
    </cfRule>
  </conditionalFormatting>
  <dataValidations count="3">
    <dataValidation sqref="D2:D44" showDropDown="0" showInputMessage="1" showErrorMessage="1" allowBlank="1" type="list" operator="equal">
      <formula1>"Yes,No,Partial"</formula1>
      <formula2>0</formula2>
    </dataValidation>
    <dataValidation sqref="F2:F44" showDropDown="0" showInputMessage="1" showErrorMessage="1" allowBlank="1" type="list" operator="equal">
      <formula1>"Yes,No"</formula1>
      <formula2>0</formula2>
    </dataValidation>
    <dataValidation sqref="G2:G108" showDropDown="0" showInputMessage="1" showErrorMessage="1" allowBlank="1" operator="equal">
      <formula1>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A73"/>
  <sheetViews>
    <sheetView zoomScale="85" zoomScaleNormal="85" workbookViewId="0">
      <selection activeCell="E43" sqref="E43:F43"/>
    </sheetView>
  </sheetViews>
  <sheetFormatPr baseColWidth="8" defaultColWidth="9.140625" defaultRowHeight="14.45"/>
  <cols>
    <col width="60.7109375" customWidth="1" style="44" min="1" max="1"/>
    <col width="60.7109375" customWidth="1" style="54" min="3" max="3"/>
    <col width="14.7109375" customWidth="1" style="54" min="4" max="4"/>
    <col width="30.7109375" customWidth="1" style="54" min="5" max="5"/>
    <col width="14.7109375" customWidth="1" style="54" min="6" max="7"/>
    <col width="60.7109375" customWidth="1" style="54" min="8" max="8"/>
  </cols>
  <sheetData>
    <row r="1" customFormat="1" s="53">
      <c r="A1" s="53" t="inlineStr">
        <is>
          <t>Norm</t>
        </is>
      </c>
      <c r="B1" s="53" t="inlineStr">
        <is>
          <t>M0_ii.#</t>
        </is>
      </c>
      <c r="C1" s="53" t="inlineStr">
        <is>
          <t>Automated requirement name</t>
        </is>
      </c>
      <c r="D1" s="53" t="inlineStr">
        <is>
          <t>Present</t>
        </is>
      </c>
      <c r="E1" s="53" t="inlineStr">
        <is>
          <t>Support</t>
        </is>
      </c>
      <c r="F1" s="53" t="inlineStr">
        <is>
          <t>Hallucination</t>
        </is>
      </c>
      <c r="G1" s="53" t="inlineStr">
        <is>
          <t>Hall. Type</t>
        </is>
      </c>
      <c r="H1" s="53" t="inlineStr">
        <is>
          <t>Rationale</t>
        </is>
      </c>
    </row>
    <row r="2" ht="15" customHeight="1" s="54">
      <c r="A2" s="49" t="inlineStr">
        <is>
          <t>Help messages during the {log-on procedure} must not aid an unauthorized user, e.g., by indicating which {parts of the data} are correct or incorrect</t>
        </is>
      </c>
      <c r="B2" t="inlineStr">
        <is>
          <t>M0_ii.1.1</t>
        </is>
      </c>
      <c r="C2" t="inlineStr">
        <is>
          <t>Restrictive Help Messages during Login Procedures</t>
        </is>
      </c>
      <c r="D2" t="inlineStr">
        <is>
          <t>Yes</t>
        </is>
      </c>
      <c r="E2" t="inlineStr">
        <is>
          <t>H.1.1</t>
        </is>
      </c>
    </row>
    <row r="3" ht="15" customHeight="1" s="54">
      <c r="A3" s="49" t="inlineStr">
        <is>
          <t>A security incident must be raised if a potential attempted or successful breach of {log-on controls} is detected, and, when the risk of the incident warrants it, the account shall be temporarily restricted, plus an alert shall be sent to the {account owner}, and to the {organization's system administrators}.</t>
        </is>
      </c>
      <c r="B3" t="inlineStr">
        <is>
          <t>M0_ii.2.1</t>
        </is>
      </c>
      <c r="C3" t="inlineStr">
        <is>
          <t>Factory Access Control Breach Notification</t>
        </is>
      </c>
      <c r="D3" t="inlineStr">
        <is>
          <t>No</t>
        </is>
      </c>
      <c r="F3" t="inlineStr">
        <is>
          <t>Yes</t>
        </is>
      </c>
      <c r="G3" t="inlineStr">
        <is>
          <t>Scope misalignment</t>
        </is>
      </c>
    </row>
    <row r="4" ht="15" customHeight="1" s="54">
      <c r="B4" t="inlineStr">
        <is>
          <t>M0_ii.2.2</t>
        </is>
      </c>
      <c r="C4" t="inlineStr">
        <is>
          <t>Inbound Logistics Breach Notification</t>
        </is>
      </c>
      <c r="D4" t="inlineStr">
        <is>
          <t>No</t>
        </is>
      </c>
      <c r="F4" t="inlineStr">
        <is>
          <t>Yes</t>
        </is>
      </c>
      <c r="G4" t="inlineStr">
        <is>
          <t>Scope misalignment</t>
        </is>
      </c>
    </row>
    <row r="5" ht="15" customHeight="1" s="54">
      <c r="B5" t="inlineStr">
        <is>
          <t>M0_ii.2.3</t>
        </is>
      </c>
      <c r="C5" t="inlineStr">
        <is>
          <t>Assembly Line Security Breach Notification</t>
        </is>
      </c>
      <c r="D5" t="inlineStr">
        <is>
          <t>No</t>
        </is>
      </c>
      <c r="F5" t="inlineStr">
        <is>
          <t>Yes</t>
        </is>
      </c>
      <c r="G5" t="inlineStr">
        <is>
          <t>Scope misalignment</t>
        </is>
      </c>
    </row>
    <row r="6" ht="15" customHeight="1" s="54">
      <c r="B6" t="inlineStr">
        <is>
          <t>M0_ii.2.4</t>
        </is>
      </c>
      <c r="C6" t="inlineStr">
        <is>
          <t>Finished Car Yard Security Breach Notification</t>
        </is>
      </c>
      <c r="D6" t="inlineStr">
        <is>
          <t>No</t>
        </is>
      </c>
      <c r="F6" t="inlineStr">
        <is>
          <t>Yes</t>
        </is>
      </c>
      <c r="G6" t="inlineStr">
        <is>
          <t>Scope misalignment</t>
        </is>
      </c>
    </row>
    <row r="7" ht="15" customHeight="1" s="54">
      <c r="B7" t="inlineStr">
        <is>
          <t>M0_ii.2.5</t>
        </is>
      </c>
      <c r="C7" t="inlineStr">
        <is>
          <t>Logistics Terminal Security Breach Notification</t>
        </is>
      </c>
      <c r="D7" t="inlineStr">
        <is>
          <t>No</t>
        </is>
      </c>
      <c r="F7" t="inlineStr">
        <is>
          <t>Yes</t>
        </is>
      </c>
      <c r="G7" t="inlineStr">
        <is>
          <t>Scope misalignment</t>
        </is>
      </c>
    </row>
    <row r="8" ht="15" customHeight="1" s="54">
      <c r="A8" s="49" t="inlineStr">
        <is>
          <t>Physical or logical access controls must be implemented to isolate {sensitive applications, data, or systems}.</t>
        </is>
      </c>
      <c r="B8" t="inlineStr">
        <is>
          <t>M0_ii.3.1</t>
        </is>
      </c>
      <c r="C8" t="inlineStr">
        <is>
          <t>Inbound Logistics Access Control</t>
        </is>
      </c>
      <c r="D8" t="inlineStr">
        <is>
          <t>No</t>
        </is>
      </c>
      <c r="F8" t="inlineStr">
        <is>
          <t>Yes</t>
        </is>
      </c>
      <c r="G8" t="inlineStr">
        <is>
          <t>Scope misalignment</t>
        </is>
      </c>
    </row>
    <row r="9" ht="15" customHeight="1" s="54">
      <c r="B9" t="inlineStr">
        <is>
          <t>M0_ii.3.2</t>
        </is>
      </c>
      <c r="C9" t="inlineStr">
        <is>
          <t>Car Assembly Access Control</t>
        </is>
      </c>
      <c r="D9" t="inlineStr">
        <is>
          <t>No</t>
        </is>
      </c>
      <c r="F9" t="inlineStr">
        <is>
          <t>Yes</t>
        </is>
      </c>
      <c r="G9" t="inlineStr">
        <is>
          <t>Scope misalignment</t>
        </is>
      </c>
    </row>
    <row r="10" ht="15" customHeight="1" s="54">
      <c r="B10" t="inlineStr">
        <is>
          <t>M0_ii.3.3</t>
        </is>
      </c>
      <c r="C10" t="inlineStr">
        <is>
          <t>Outbound Logistics Access Control</t>
        </is>
      </c>
      <c r="D10" t="inlineStr">
        <is>
          <t>No</t>
        </is>
      </c>
      <c r="F10" t="inlineStr">
        <is>
          <t>Yes</t>
        </is>
      </c>
      <c r="G10" t="inlineStr">
        <is>
          <t>Scope misalignment</t>
        </is>
      </c>
    </row>
    <row r="11" ht="15" customHeight="1" s="54">
      <c r="A11" s="49" t="inlineStr">
        <is>
          <t>{Access to data} must be controlled based on {user identity, group membership, and assigned roles}</t>
        </is>
      </c>
      <c r="B11" t="inlineStr">
        <is>
          <t>M0_ii.4.1</t>
        </is>
      </c>
      <c r="C11" t="inlineStr">
        <is>
          <t>Role-based Access Control for Factory Operations</t>
        </is>
      </c>
      <c r="D11" t="inlineStr">
        <is>
          <t>Partial</t>
        </is>
      </c>
      <c r="E11" t="inlineStr">
        <is>
          <t>H.4.7</t>
        </is>
      </c>
    </row>
    <row r="12">
      <c r="B12" t="inlineStr">
        <is>
          <t>M0_ii.4.2</t>
        </is>
      </c>
      <c r="C12" t="inlineStr">
        <is>
          <t>Role-based Access to Warehouse Inventory Data</t>
        </is>
      </c>
      <c r="D12" t="inlineStr">
        <is>
          <t>Yes</t>
        </is>
      </c>
      <c r="E12" t="inlineStr">
        <is>
          <t>H.4.7</t>
        </is>
      </c>
    </row>
    <row r="13">
      <c r="B13" t="inlineStr">
        <is>
          <t>M0_ii.4.3</t>
        </is>
      </c>
      <c r="C13" t="inlineStr">
        <is>
          <t>Role-based Access to Assembly Line Data</t>
        </is>
      </c>
      <c r="D13" t="inlineStr">
        <is>
          <t>Yes</t>
        </is>
      </c>
      <c r="E13" t="inlineStr">
        <is>
          <t>H.4.7</t>
        </is>
      </c>
    </row>
    <row r="14">
      <c r="B14" t="inlineStr">
        <is>
          <t>M0_ii.4.4</t>
        </is>
      </c>
      <c r="C14" t="inlineStr">
        <is>
          <t>Role-based Access to Finished Car Yard Data</t>
        </is>
      </c>
      <c r="D14" t="inlineStr">
        <is>
          <t>Yes</t>
        </is>
      </c>
      <c r="E14" t="inlineStr">
        <is>
          <t>H.4.7</t>
        </is>
      </c>
    </row>
    <row r="15">
      <c r="B15" t="inlineStr">
        <is>
          <t>M0_ii.4.5</t>
        </is>
      </c>
      <c r="C15" t="inlineStr">
        <is>
          <t>Role-based Access to Outbound Logistics Data</t>
        </is>
      </c>
      <c r="D15" t="inlineStr">
        <is>
          <t>Yes</t>
        </is>
      </c>
      <c r="E15" t="inlineStr">
        <is>
          <t>H.4.7</t>
        </is>
      </c>
    </row>
    <row r="16" ht="15" customHeight="1" s="54">
      <c r="A16" s="49" t="inlineStr">
        <is>
          <t>The {organization} shall maintain a record of {all privileges allocated}</t>
        </is>
      </c>
      <c r="B16" t="inlineStr">
        <is>
          <t>M0_ii.5.1</t>
        </is>
      </c>
      <c r="C16" t="inlineStr">
        <is>
          <t>Employee Privilege Record Keeping</t>
        </is>
      </c>
      <c r="D16" t="inlineStr">
        <is>
          <t>Yes</t>
        </is>
      </c>
      <c r="E16" t="inlineStr">
        <is>
          <t>H.5.1</t>
        </is>
      </c>
    </row>
    <row r="17">
      <c r="B17" t="inlineStr">
        <is>
          <t>M0_ii.5.2</t>
        </is>
      </c>
      <c r="C17" t="inlineStr">
        <is>
          <t>System Access Privilege Record Keeping</t>
        </is>
      </c>
      <c r="D17" t="inlineStr">
        <is>
          <t>Yes</t>
        </is>
      </c>
      <c r="E17" t="inlineStr">
        <is>
          <t>H.5.1</t>
        </is>
      </c>
    </row>
    <row r="18" ht="15" customHeight="1" s="54">
      <c r="A18" s="44" t="inlineStr">
        <is>
          <t>The {organization} shall regularly review {users} with privileged access rights to ensure that their {duties}, {roles}, {responsibilities}, and {competence} still justify such access</t>
        </is>
      </c>
      <c r="B18" t="inlineStr">
        <is>
          <t>M0_ii.6.1</t>
        </is>
      </c>
      <c r="C18" t="inlineStr">
        <is>
          <t>Regular Review of Privileged Access Rights for Factory Employees</t>
        </is>
      </c>
      <c r="D18" t="inlineStr">
        <is>
          <t>Yes</t>
        </is>
      </c>
      <c r="E18" t="inlineStr">
        <is>
          <t>H.6.1</t>
        </is>
      </c>
    </row>
    <row r="19" ht="15" customHeight="1" s="54">
      <c r="B19" t="inlineStr">
        <is>
          <t>M0_ii.6.2</t>
        </is>
      </c>
      <c r="C19" t="inlineStr">
        <is>
          <t>Regular Review of Privileged Access Rights for Inbound Logistics Factory Employees</t>
        </is>
      </c>
      <c r="D19" t="inlineStr">
        <is>
          <t>Yes</t>
        </is>
      </c>
      <c r="E19" t="inlineStr">
        <is>
          <t>H.6.1</t>
        </is>
      </c>
    </row>
    <row r="20" ht="15" customHeight="1" s="54">
      <c r="B20" t="inlineStr">
        <is>
          <t>M0_ii.6.3</t>
        </is>
      </c>
      <c r="C20" t="inlineStr">
        <is>
          <t>Regular Review of Privileged Access Rights for Car Assembly Factory Employees</t>
        </is>
      </c>
      <c r="D20" t="inlineStr">
        <is>
          <t>Yes</t>
        </is>
      </c>
      <c r="E20" t="inlineStr">
        <is>
          <t>H.6.1</t>
        </is>
      </c>
    </row>
    <row r="21" ht="15" customHeight="1" s="54">
      <c r="B21" t="inlineStr">
        <is>
          <t>M0_ii.6.4</t>
        </is>
      </c>
      <c r="C21" t="inlineStr">
        <is>
          <t>Regular Review of Privileged Access Rights for Outbound Logistics Factory Employees</t>
        </is>
      </c>
      <c r="D21" t="inlineStr">
        <is>
          <t>Yes</t>
        </is>
      </c>
      <c r="E21" t="inlineStr">
        <is>
          <t>H.6.1</t>
        </is>
      </c>
    </row>
    <row r="22" ht="15" customHeight="1" s="54">
      <c r="A22" s="49" t="inlineStr">
        <is>
          <t>{Connection} of {systems} to the {network} must be restricted and filtered, e.g., using firewalls.</t>
        </is>
      </c>
      <c r="B22" t="inlineStr">
        <is>
          <t>M0_ii.7.1</t>
        </is>
      </c>
      <c r="C22" t="inlineStr">
        <is>
          <t>Restricted and Filtered Network Access</t>
        </is>
      </c>
      <c r="D22" t="inlineStr">
        <is>
          <t>No</t>
        </is>
      </c>
      <c r="F22" t="inlineStr">
        <is>
          <t>Yes</t>
        </is>
      </c>
      <c r="G22" t="inlineStr">
        <is>
          <t>Architectural infeasibility</t>
        </is>
      </c>
    </row>
    <row r="23" ht="14.25" customHeight="1" s="54">
      <c r="B23" t="inlineStr">
        <is>
          <t>M0_ii.7.2</t>
        </is>
      </c>
      <c r="C23" t="inlineStr">
        <is>
          <t>Controlled Access to IoT Middleware Platform</t>
        </is>
      </c>
      <c r="D23" t="inlineStr">
        <is>
          <t>No</t>
        </is>
      </c>
      <c r="F23" t="inlineStr">
        <is>
          <t>No</t>
        </is>
      </c>
    </row>
    <row r="24">
      <c r="B24" t="inlineStr">
        <is>
          <t>M0_ii.7.3</t>
        </is>
      </c>
      <c r="C24" t="inlineStr">
        <is>
          <t>Segmented Network for Factory Processes</t>
        </is>
      </c>
      <c r="D24" t="inlineStr">
        <is>
          <t>Yes</t>
        </is>
      </c>
      <c r="E24" t="inlineStr">
        <is>
          <t>H.7.1</t>
        </is>
      </c>
    </row>
    <row r="25">
      <c r="B25" t="inlineStr">
        <is>
          <t>M0_ii.7.4</t>
        </is>
      </c>
      <c r="C25" t="inlineStr">
        <is>
          <t>Firewall Configuration for Remote Access</t>
        </is>
      </c>
      <c r="D25" t="inlineStr">
        <is>
          <t>No</t>
        </is>
      </c>
      <c r="F25" t="inlineStr">
        <is>
          <t>Yes</t>
        </is>
      </c>
      <c r="G25" t="inlineStr">
        <is>
          <t>Contextual misfit</t>
        </is>
      </c>
    </row>
    <row r="26">
      <c r="B26" t="inlineStr">
        <is>
          <t>M0_ii.7.5</t>
        </is>
      </c>
      <c r="C26" t="inlineStr">
        <is>
          <t>Regular Firewall Audits and Updates</t>
        </is>
      </c>
      <c r="D26" t="inlineStr">
        <is>
          <t>No</t>
        </is>
      </c>
      <c r="F26" t="inlineStr">
        <is>
          <t>Yes</t>
        </is>
      </c>
      <c r="G26" t="inlineStr">
        <is>
          <t>Contextual misfit</t>
        </is>
      </c>
    </row>
    <row r="27" ht="29.25" customHeight="1" s="54">
      <c r="A27" s="44" t="inlineStr">
        <is>
          <t>{Network administration channels} must be segregated from {other network traffic}</t>
        </is>
      </c>
      <c r="B27" t="inlineStr">
        <is>
          <t>M0_ii.8.1</t>
        </is>
      </c>
      <c r="C27" t="inlineStr">
        <is>
          <t>Segregation of Factory Control Network Traffic</t>
        </is>
      </c>
      <c r="D27" t="inlineStr">
        <is>
          <t>Yes</t>
        </is>
      </c>
      <c r="E27" t="inlineStr">
        <is>
          <t>H.8.1</t>
        </is>
      </c>
    </row>
    <row r="28" ht="14.25" customHeight="1" s="54">
      <c r="B28" t="inlineStr">
        <is>
          <t>M0_ii.8.2</t>
        </is>
      </c>
      <c r="C28" t="inlineStr">
        <is>
          <t>Isolation of Access Control Network</t>
        </is>
      </c>
      <c r="D28" t="inlineStr">
        <is>
          <t>No</t>
        </is>
      </c>
      <c r="F28" t="inlineStr">
        <is>
          <t>Yes</t>
        </is>
      </c>
      <c r="G28" t="inlineStr">
        <is>
          <t>Architectural infeasibility</t>
        </is>
      </c>
    </row>
    <row r="29">
      <c r="B29" t="inlineStr">
        <is>
          <t>M0_ii.8.3</t>
        </is>
      </c>
      <c r="C29" t="inlineStr">
        <is>
          <t>Segregation of Warehouse Management Network</t>
        </is>
      </c>
      <c r="D29" t="inlineStr">
        <is>
          <t>No</t>
        </is>
      </c>
      <c r="F29" t="inlineStr">
        <is>
          <t>Yes</t>
        </is>
      </c>
      <c r="G29" t="inlineStr">
        <is>
          <t>Architectural infeasibility</t>
        </is>
      </c>
    </row>
    <row r="30">
      <c r="B30" t="inlineStr">
        <is>
          <t>M0_ii.8.4</t>
        </is>
      </c>
      <c r="C30" t="inlineStr">
        <is>
          <t>Isolation of Assembly Line Network</t>
        </is>
      </c>
      <c r="D30" t="inlineStr">
        <is>
          <t>No</t>
        </is>
      </c>
      <c r="F30" t="inlineStr">
        <is>
          <t>Yes</t>
        </is>
      </c>
      <c r="G30" t="inlineStr">
        <is>
          <t>Architectural infeasibility</t>
        </is>
      </c>
    </row>
    <row r="31">
      <c r="B31" t="inlineStr">
        <is>
          <t>M0_ii.8.5</t>
        </is>
      </c>
      <c r="C31" t="inlineStr">
        <is>
          <t>Segregation of Outbound Logistics Network</t>
        </is>
      </c>
      <c r="D31" t="inlineStr">
        <is>
          <t>No</t>
        </is>
      </c>
      <c r="F31" t="inlineStr">
        <is>
          <t>Yes</t>
        </is>
      </c>
      <c r="G31" t="inlineStr">
        <is>
          <t>Architectural infeasibility</t>
        </is>
      </c>
    </row>
    <row r="32" ht="15" customHeight="1" s="54">
      <c r="A32" s="49" t="inlineStr">
        <is>
          <t>Implement cryptographic measures to safeguard {information stored} on {mobile user} {endpoint devices} or {storage media} and transmitted over {networks}</t>
        </is>
      </c>
      <c r="B32" t="inlineStr">
        <is>
          <t>M0_ii.9.1</t>
        </is>
      </c>
      <c r="C32" t="inlineStr">
        <is>
          <t>Cryptographic Protection for Stored Data</t>
        </is>
      </c>
      <c r="D32" t="inlineStr">
        <is>
          <t>Yes</t>
        </is>
      </c>
      <c r="E32" t="inlineStr">
        <is>
          <t>H.9.1</t>
        </is>
      </c>
    </row>
    <row r="33">
      <c r="B33" t="inlineStr">
        <is>
          <t>M0_ii.9.2</t>
        </is>
      </c>
      <c r="C33" t="inlineStr">
        <is>
          <t>Secure Transmission of Data in Factory Networks</t>
        </is>
      </c>
      <c r="D33" t="inlineStr">
        <is>
          <t>Yes</t>
        </is>
      </c>
      <c r="E33" t="inlineStr">
        <is>
          <t>H.9.3</t>
        </is>
      </c>
    </row>
    <row r="34">
      <c r="B34" t="inlineStr">
        <is>
          <t>M0_ii.9.3</t>
        </is>
      </c>
      <c r="C34" t="inlineStr">
        <is>
          <t>Secure Data Transmission between Factory and External Entities</t>
        </is>
      </c>
      <c r="D34" t="inlineStr">
        <is>
          <t>Yes</t>
        </is>
      </c>
      <c r="E34" t="inlineStr">
        <is>
          <t>H.9.3</t>
        </is>
      </c>
    </row>
    <row r="35" ht="15" customHeight="1" s="54">
      <c r="A35" s="49" t="inlineStr">
        <is>
          <t>Establish a comprehensive key management system, including procedures for generating and protecting {cryptographic keys} and recovering {encrypted data} in case of lost, compromised, or damaged {keys}</t>
        </is>
      </c>
      <c r="B35" t="inlineStr">
        <is>
          <t>M0_ii.10.1</t>
        </is>
      </c>
      <c r="C35" t="inlineStr">
        <is>
          <t>Comprehensive Key Management System</t>
        </is>
      </c>
      <c r="D35" t="inlineStr">
        <is>
          <t>Yes</t>
        </is>
      </c>
      <c r="E35" t="inlineStr">
        <is>
          <t>H.10.1; H.10.3</t>
        </is>
      </c>
    </row>
    <row r="36" ht="14.25" customHeight="1" s="54">
      <c r="B36" t="inlineStr">
        <is>
          <t>M0_ii.10.2</t>
        </is>
      </c>
      <c r="C36" t="inlineStr">
        <is>
          <t>Access Control Manager Key Management</t>
        </is>
      </c>
      <c r="D36" t="inlineStr">
        <is>
          <t>Yes</t>
        </is>
      </c>
      <c r="E36" t="inlineStr">
        <is>
          <t>H.10.2</t>
        </is>
      </c>
    </row>
    <row r="37" ht="14.25" customHeight="1" s="54">
      <c r="B37" t="inlineStr">
        <is>
          <t>M0_ii.10.3</t>
        </is>
      </c>
      <c r="C37" t="inlineStr">
        <is>
          <t>Dock Manager Key Management</t>
        </is>
      </c>
      <c r="D37" t="inlineStr">
        <is>
          <t>Yes</t>
        </is>
      </c>
      <c r="E37" t="inlineStr">
        <is>
          <t>H.10.2</t>
        </is>
      </c>
    </row>
    <row r="38" ht="14.25" customHeight="1" s="54">
      <c r="B38" t="inlineStr">
        <is>
          <t>M0_ii.10.4</t>
        </is>
      </c>
      <c r="C38" t="inlineStr">
        <is>
          <t>Warehouse Inventory Key Management</t>
        </is>
      </c>
      <c r="D38" t="inlineStr">
        <is>
          <t>Yes</t>
        </is>
      </c>
      <c r="E38" t="inlineStr">
        <is>
          <t>H.10.2</t>
        </is>
      </c>
    </row>
    <row r="39">
      <c r="B39" t="inlineStr">
        <is>
          <t>M0_ii.10.5</t>
        </is>
      </c>
      <c r="C39" t="inlineStr">
        <is>
          <t>System Admin Key Management</t>
        </is>
      </c>
      <c r="D39" t="inlineStr">
        <is>
          <t>Yes</t>
        </is>
      </c>
      <c r="E39" t="inlineStr">
        <is>
          <t>H.10.2</t>
        </is>
      </c>
    </row>
    <row r="40">
      <c r="B40" t="inlineStr">
        <is>
          <t>M0_ii.10.6</t>
        </is>
      </c>
      <c r="C40" t="inlineStr">
        <is>
          <t>Operations Manager Key Management</t>
        </is>
      </c>
      <c r="D40" t="inlineStr">
        <is>
          <t>Yes</t>
        </is>
      </c>
      <c r="E40" t="inlineStr">
        <is>
          <t>H.10.2</t>
        </is>
      </c>
    </row>
    <row r="41">
      <c r="B41" t="inlineStr">
        <is>
          <t>M0_ii.10.7</t>
        </is>
      </c>
      <c r="C41" t="inlineStr">
        <is>
          <t>Security Manager Key Management</t>
        </is>
      </c>
      <c r="D41" t="inlineStr">
        <is>
          <t>Yes</t>
        </is>
      </c>
      <c r="E41" t="inlineStr">
        <is>
          <t>H.10.2</t>
        </is>
      </c>
    </row>
    <row r="42" ht="14.45" customHeight="1" s="54">
      <c r="B42" s="16" t="inlineStr">
        <is>
          <t>Count</t>
        </is>
      </c>
      <c r="C42" s="16" t="inlineStr">
        <is>
          <t>No</t>
        </is>
      </c>
      <c r="D42" s="16">
        <f>COUNTIF(D2:D41,"No")</f>
        <v/>
      </c>
      <c r="E42" s="16" t="inlineStr">
        <is>
          <t>Hallucinations</t>
        </is>
      </c>
      <c r="F42" s="16">
        <f>COUNTIF(F2:F41,"Yes")</f>
        <v/>
      </c>
    </row>
    <row r="43" ht="14.45" customHeight="1" s="54">
      <c r="B43" s="47" t="n"/>
      <c r="C43" s="16" t="inlineStr">
        <is>
          <t>Yes</t>
        </is>
      </c>
      <c r="D43" s="16">
        <f>COUNTIF(D2:D41,"Yes")</f>
        <v/>
      </c>
      <c r="E43" s="16" t="inlineStr">
        <is>
          <t>Partial hallucinations</t>
        </is>
      </c>
      <c r="F43">
        <f>COUNTIFS(D:D,"Partial",F:F,"Yes")</f>
        <v/>
      </c>
    </row>
    <row r="44" ht="14.45" customHeight="1" s="54">
      <c r="B44" s="47" t="n"/>
      <c r="C44" s="16" t="inlineStr">
        <is>
          <t>Partial</t>
        </is>
      </c>
      <c r="D44" s="16">
        <f>COUNTIF(D2:D41,"Partial")</f>
        <v/>
      </c>
      <c r="E44" s="10" t="inlineStr">
        <is>
          <t>Template drift</t>
        </is>
      </c>
      <c r="F44">
        <f>COUNTIF($G$2:$G$41,E44)</f>
        <v/>
      </c>
    </row>
    <row r="45" ht="15" customHeight="1" s="54">
      <c r="E45" s="10" t="inlineStr">
        <is>
          <t>Contextual misfit</t>
        </is>
      </c>
      <c r="F45">
        <f>COUNTIF($G$2:$G$41,E45)</f>
        <v/>
      </c>
    </row>
    <row r="46" ht="15" customHeight="1" s="54">
      <c r="E46" s="10" t="inlineStr">
        <is>
          <t>Scope misalignment</t>
        </is>
      </c>
      <c r="F46">
        <f>COUNTIF($G$2:$G$41,E46)</f>
        <v/>
      </c>
    </row>
    <row r="47" ht="15" customHeight="1" s="54">
      <c r="E47" s="10" t="inlineStr">
        <is>
          <t>Responsibility leakage</t>
        </is>
      </c>
      <c r="F47">
        <f>COUNTIF($G$2:$G$41,E47)</f>
        <v/>
      </c>
    </row>
    <row r="48" ht="15" customHeight="1" s="54">
      <c r="E48" s="10" t="inlineStr">
        <is>
          <t>Architectural infeasibility</t>
        </is>
      </c>
      <c r="F48">
        <f>COUNTIF($G$2:$G$41,E48)</f>
        <v/>
      </c>
    </row>
    <row r="49" ht="15" customHeight="1" s="54"/>
    <row r="50" ht="15" customHeight="1" s="54">
      <c r="E50" s="16" t="inlineStr">
        <is>
          <t>Discoveries</t>
        </is>
      </c>
      <c r="F50" s="16">
        <f>COUNTIF(F2:F41,"No")</f>
        <v/>
      </c>
    </row>
    <row r="73">
      <c r="AA73" t="inlineStr">
        <is>
          <t>G0_ii.10.2</t>
        </is>
      </c>
    </row>
  </sheetData>
  <mergeCells count="9">
    <mergeCell ref="A22:A26"/>
    <mergeCell ref="A35:A41"/>
    <mergeCell ref="A18:A21"/>
    <mergeCell ref="A8:A10"/>
    <mergeCell ref="A27:A31"/>
    <mergeCell ref="A3:A7"/>
    <mergeCell ref="A16:A17"/>
    <mergeCell ref="A32:A34"/>
    <mergeCell ref="A11:A15"/>
  </mergeCells>
  <conditionalFormatting sqref="D2:D41">
    <cfRule type="containsText" priority="4" operator="containsText" dxfId="6" text="Partial">
      <formula>NOT(ISERROR(SEARCH("Partial",D2)))</formula>
    </cfRule>
    <cfRule type="containsText" priority="5" operator="containsText" dxfId="0" text="No">
      <formula>NOT(ISERROR(SEARCH("No",D2)))</formula>
    </cfRule>
    <cfRule type="containsText" priority="6" operator="containsText" dxfId="1" text="Yes">
      <formula>NOT(ISERROR(SEARCH("Yes",D2)))</formula>
    </cfRule>
  </conditionalFormatting>
  <conditionalFormatting sqref="F2:F41">
    <cfRule type="containsText" priority="2" operator="containsText" dxfId="1" text="No">
      <formula>NOT(ISERROR(SEARCH("No",F2)))</formula>
    </cfRule>
    <cfRule type="containsText" priority="3" operator="containsText" dxfId="0" text="Yes">
      <formula>NOT(ISERROR(SEARCH("Yes",F2)))</formula>
    </cfRule>
  </conditionalFormatting>
  <conditionalFormatting sqref="G2:G108">
    <cfRule type="containsText" priority="7" operator="containsText" dxfId="1" text="No">
      <formula>NOT(ISERROR(SEARCH("No",G2)))</formula>
    </cfRule>
    <cfRule type="containsText" priority="8" operator="containsText" dxfId="0" text="Yes">
      <formula>NOT(ISERROR(SEARCH("Yes",G2)))</formula>
    </cfRule>
  </conditionalFormatting>
  <dataValidations count="4">
    <dataValidation sqref="D18:D21" showDropDown="0" showInputMessage="1" showErrorMessage="1" allowBlank="1" type="list" operator="equal">
      <formula1>"Yes;No;Partial"</formula1>
      <formula2>0</formula2>
    </dataValidation>
    <dataValidation sqref="D2:D17 D22:D41" showDropDown="0" showInputMessage="1" showErrorMessage="1" allowBlank="1" type="list" operator="equal">
      <formula1>"Yes,No,Partial"</formula1>
      <formula2>0</formula2>
    </dataValidation>
    <dataValidation sqref="F2:F41" showDropDown="0" showInputMessage="1" showErrorMessage="1" allowBlank="1" type="list" operator="equal">
      <formula1>"Yes,No"</formula1>
      <formula2>0</formula2>
    </dataValidation>
    <dataValidation sqref="G2:G108" showDropDown="0" showInputMessage="1" showErrorMessage="1" allowBlank="1" operator="equal">
      <formula1>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A73"/>
  <sheetViews>
    <sheetView zoomScale="85" zoomScaleNormal="85" workbookViewId="0">
      <selection activeCell="E36" sqref="E36:F36"/>
    </sheetView>
  </sheetViews>
  <sheetFormatPr baseColWidth="8" defaultColWidth="9.140625" defaultRowHeight="14.45"/>
  <cols>
    <col width="60.7109375" customWidth="1" style="44" min="1" max="1"/>
    <col width="60.7109375" customWidth="1" style="54" min="3" max="3"/>
    <col width="14.7109375" customWidth="1" style="54" min="4" max="4"/>
    <col width="30.7109375" customWidth="1" style="54" min="5" max="5"/>
    <col width="14.7109375" customWidth="1" style="54" min="6" max="7"/>
    <col width="60.7109375" customWidth="1" style="54" min="8" max="8"/>
  </cols>
  <sheetData>
    <row r="1" customFormat="1" s="53">
      <c r="A1" s="53" t="inlineStr">
        <is>
          <t>Norm</t>
        </is>
      </c>
      <c r="B1" s="53" t="inlineStr">
        <is>
          <t>M0_iii.#</t>
        </is>
      </c>
      <c r="C1" s="53" t="inlineStr">
        <is>
          <t>Automated requirement name</t>
        </is>
      </c>
      <c r="D1" s="53" t="inlineStr">
        <is>
          <t>Present</t>
        </is>
      </c>
      <c r="E1" s="53" t="inlineStr">
        <is>
          <t>Support</t>
        </is>
      </c>
      <c r="F1" s="53" t="inlineStr">
        <is>
          <t>Hallucination</t>
        </is>
      </c>
      <c r="G1" s="53" t="inlineStr">
        <is>
          <t>Hall. Type</t>
        </is>
      </c>
      <c r="H1" s="53" t="inlineStr">
        <is>
          <t>Rationale</t>
        </is>
      </c>
    </row>
    <row r="2" ht="15" customHeight="1" s="54">
      <c r="A2" s="49" t="inlineStr">
        <is>
          <t>Help messages during the {log-on procedure} must not aid an unauthorized user, e.g., by indicating which {parts of the data} are correct or incorrect</t>
        </is>
      </c>
      <c r="B2" t="inlineStr">
        <is>
          <t>M0_iii.1.1</t>
        </is>
      </c>
      <c r="C2" t="inlineStr">
        <is>
          <t>Secure Log-On Procedure for Factory Employees</t>
        </is>
      </c>
      <c r="D2" t="inlineStr">
        <is>
          <t>Yes</t>
        </is>
      </c>
      <c r="E2" t="inlineStr">
        <is>
          <t>H.1.1</t>
        </is>
      </c>
    </row>
    <row r="3" ht="15" customHeight="1" s="54">
      <c r="B3" t="inlineStr">
        <is>
          <t>M0_iii.1.2</t>
        </is>
      </c>
      <c r="C3" t="inlineStr">
        <is>
          <t>Secure Log-On Procedure for Car Manufacturer Employees</t>
        </is>
      </c>
      <c r="D3" t="inlineStr">
        <is>
          <t>Yes</t>
        </is>
      </c>
      <c r="E3" t="inlineStr">
        <is>
          <t>H.1.1</t>
        </is>
      </c>
    </row>
    <row r="4" ht="15" customHeight="1" s="54">
      <c r="A4" s="49" t="inlineStr">
        <is>
          <t>A security incident must be raised if a potential attempted or successful breach of {log-on controls} is detected, and, when the risk of the incident warrants it, the account shall be temporarily restricted, plus an alert shall be sent to the {account owner}, and to the {organization's system administrators}.</t>
        </is>
      </c>
      <c r="B4" t="inlineStr">
        <is>
          <t>M0_iii.2.1</t>
        </is>
      </c>
      <c r="C4" t="inlineStr">
        <is>
          <t>Security Event for Access Control Breach</t>
        </is>
      </c>
      <c r="D4" t="inlineStr">
        <is>
          <t>No</t>
        </is>
      </c>
      <c r="F4" t="inlineStr">
        <is>
          <t>Yes</t>
        </is>
      </c>
      <c r="G4" t="inlineStr">
        <is>
          <t>Scope misalignment</t>
        </is>
      </c>
    </row>
    <row r="5" ht="15" customHeight="1" s="54">
      <c r="B5" t="inlineStr">
        <is>
          <t>M0_iii.2.2</t>
        </is>
      </c>
      <c r="C5" t="inlineStr">
        <is>
          <t>Security Event for Automated Vehicle Breach</t>
        </is>
      </c>
      <c r="D5" t="inlineStr">
        <is>
          <t>No</t>
        </is>
      </c>
      <c r="F5" t="inlineStr">
        <is>
          <t>Yes</t>
        </is>
      </c>
      <c r="G5" t="inlineStr">
        <is>
          <t>Scope misalignment</t>
        </is>
      </c>
    </row>
    <row r="6" ht="15" customHeight="1" s="54">
      <c r="B6" t="inlineStr">
        <is>
          <t>M0_iii.2.3</t>
        </is>
      </c>
      <c r="C6" t="inlineStr">
        <is>
          <t>Security Event for Supply Vehicle Access Breach</t>
        </is>
      </c>
      <c r="D6" t="inlineStr">
        <is>
          <t>No</t>
        </is>
      </c>
      <c r="F6" t="inlineStr">
        <is>
          <t>Yes</t>
        </is>
      </c>
      <c r="G6" t="inlineStr">
        <is>
          <t>Scope misalignment</t>
        </is>
      </c>
    </row>
    <row r="7" ht="15" customHeight="1" s="54">
      <c r="B7" t="inlineStr">
        <is>
          <t>M0_iii.2.4</t>
        </is>
      </c>
      <c r="C7" t="inlineStr">
        <is>
          <t>Security Event for Component Movement Breach</t>
        </is>
      </c>
      <c r="D7" t="inlineStr">
        <is>
          <t>No</t>
        </is>
      </c>
      <c r="F7" t="inlineStr">
        <is>
          <t>Yes</t>
        </is>
      </c>
      <c r="G7" t="inlineStr">
        <is>
          <t>Scope misalignment</t>
        </is>
      </c>
    </row>
    <row r="8" ht="15" customHeight="1" s="54">
      <c r="B8" t="inlineStr">
        <is>
          <t>M0_iii.2.5</t>
        </is>
      </c>
      <c r="C8" t="inlineStr">
        <is>
          <t>Security Event for Finished Car Movement Breach</t>
        </is>
      </c>
      <c r="D8" t="inlineStr">
        <is>
          <t>No</t>
        </is>
      </c>
      <c r="F8" t="inlineStr">
        <is>
          <t>Yes</t>
        </is>
      </c>
      <c r="G8" t="inlineStr">
        <is>
          <t>Scope misalignment</t>
        </is>
      </c>
    </row>
    <row r="9" ht="15" customHeight="1" s="54">
      <c r="A9" s="49" t="inlineStr">
        <is>
          <t>Physical or logical access controls must be implemented to isolate {sensitive applications, data, or systems}.</t>
        </is>
      </c>
      <c r="B9" t="inlineStr">
        <is>
          <t>M0_iii.3.1</t>
        </is>
      </c>
      <c r="C9" t="inlineStr">
        <is>
          <t>Physical Access Control for Factory Premises</t>
        </is>
      </c>
      <c r="D9" t="inlineStr">
        <is>
          <t>No</t>
        </is>
      </c>
      <c r="F9" t="inlineStr">
        <is>
          <t>Yes</t>
        </is>
      </c>
      <c r="G9" t="inlineStr">
        <is>
          <t>Scope misalignment</t>
        </is>
      </c>
    </row>
    <row r="10" ht="15" customHeight="1" s="54">
      <c r="B10" t="inlineStr">
        <is>
          <t>M0_iii.3.2</t>
        </is>
      </c>
      <c r="C10" t="inlineStr">
        <is>
          <t>Logical Access Control for Warehouse Inventory</t>
        </is>
      </c>
      <c r="D10" t="inlineStr">
        <is>
          <t>Yes</t>
        </is>
      </c>
      <c r="E10" t="inlineStr">
        <is>
          <t>H.3.1</t>
        </is>
      </c>
    </row>
    <row r="11" ht="15" customHeight="1" s="54">
      <c r="B11" t="inlineStr">
        <is>
          <t>M0_iii.3.3</t>
        </is>
      </c>
      <c r="C11" t="inlineStr">
        <is>
          <t>Logical Access Control for Finished Car Registry</t>
        </is>
      </c>
      <c r="D11" t="inlineStr">
        <is>
          <t>Yes</t>
        </is>
      </c>
      <c r="E11" t="inlineStr">
        <is>
          <t>H.3.1</t>
        </is>
      </c>
    </row>
    <row r="12" ht="15" customHeight="1" s="54">
      <c r="B12" t="inlineStr">
        <is>
          <t>M0_iii.3.4</t>
        </is>
      </c>
      <c r="C12" t="inlineStr">
        <is>
          <t>Logical Access Control for Logistics Terminal Car Registry</t>
        </is>
      </c>
      <c r="D12" t="inlineStr">
        <is>
          <t>Yes</t>
        </is>
      </c>
      <c r="E12" t="inlineStr">
        <is>
          <t>H.3.1</t>
        </is>
      </c>
    </row>
    <row r="13" ht="15" customHeight="1" s="54">
      <c r="B13" t="inlineStr">
        <is>
          <t>M0_iii.3.5</t>
        </is>
      </c>
      <c r="C13" t="inlineStr">
        <is>
          <t>Logical Access Control for Production Plan Data Store</t>
        </is>
      </c>
      <c r="D13" t="inlineStr">
        <is>
          <t>Yes</t>
        </is>
      </c>
      <c r="E13" t="inlineStr">
        <is>
          <t>H.3.1</t>
        </is>
      </c>
    </row>
    <row r="14" ht="15" customHeight="1" s="54">
      <c r="B14" t="inlineStr">
        <is>
          <t>M0_iii.3.6</t>
        </is>
      </c>
      <c r="C14" t="inlineStr">
        <is>
          <t>Logical Access Control for Purchase Order and Transport Order Data Stores</t>
        </is>
      </c>
      <c r="D14" t="inlineStr">
        <is>
          <t>Yes</t>
        </is>
      </c>
      <c r="E14" t="inlineStr">
        <is>
          <t>H.3.1</t>
        </is>
      </c>
    </row>
    <row r="15" ht="15" customHeight="1" s="54">
      <c r="A15" s="49" t="inlineStr">
        <is>
          <t>{Access to data} must be controlled based on {user identity, group membership, and assigned roles}</t>
        </is>
      </c>
      <c r="B15" t="inlineStr">
        <is>
          <t>M0_iii.4.1</t>
        </is>
      </c>
      <c r="C15" t="inlineStr">
        <is>
          <t>Role-Based Access Control for Factory Data</t>
        </is>
      </c>
      <c r="D15" t="inlineStr">
        <is>
          <t>Yes</t>
        </is>
      </c>
      <c r="E15" t="inlineStr">
        <is>
          <t>H.4.7</t>
        </is>
      </c>
    </row>
    <row r="16">
      <c r="B16" t="inlineStr">
        <is>
          <t>M0_iii.4.2</t>
        </is>
      </c>
      <c r="C16" t="inlineStr">
        <is>
          <t>Access Control for Car Manufacturing Process Data</t>
        </is>
      </c>
      <c r="D16" t="inlineStr">
        <is>
          <t>No</t>
        </is>
      </c>
      <c r="F16" t="inlineStr">
        <is>
          <t>Yes</t>
        </is>
      </c>
      <c r="G16" t="inlineStr">
        <is>
          <t>Template drift</t>
        </is>
      </c>
    </row>
    <row r="17">
      <c r="B17" t="inlineStr">
        <is>
          <t>M0_iii.4.3</t>
        </is>
      </c>
      <c r="C17" t="inlineStr">
        <is>
          <t>Access Control for User Management and System Operation Data</t>
        </is>
      </c>
      <c r="D17" t="inlineStr">
        <is>
          <t>No</t>
        </is>
      </c>
      <c r="E17" s="44" t="n"/>
      <c r="F17" t="inlineStr">
        <is>
          <t>No</t>
        </is>
      </c>
    </row>
    <row r="18">
      <c r="B18" t="inlineStr">
        <is>
          <t>M0_iii.4.4</t>
        </is>
      </c>
      <c r="C18" t="inlineStr">
        <is>
          <t>Access Control for IoT Middleware Platforms and Connected Devices</t>
        </is>
      </c>
      <c r="D18" t="inlineStr">
        <is>
          <t>No</t>
        </is>
      </c>
      <c r="F18" t="inlineStr">
        <is>
          <t>No</t>
        </is>
      </c>
    </row>
    <row r="19" ht="15" customHeight="1" s="54">
      <c r="A19" s="49" t="inlineStr">
        <is>
          <t>The {organization} shall maintain a record of {all privileges allocated}</t>
        </is>
      </c>
      <c r="B19" t="inlineStr">
        <is>
          <t>M0_iii.5.1</t>
        </is>
      </c>
      <c r="C19" t="inlineStr">
        <is>
          <t>Employee Privilege Record Maintenance</t>
        </is>
      </c>
      <c r="D19" t="inlineStr">
        <is>
          <t>Yes</t>
        </is>
      </c>
      <c r="E19" t="inlineStr">
        <is>
          <t>H.5.1</t>
        </is>
      </c>
    </row>
    <row r="20">
      <c r="B20" t="inlineStr">
        <is>
          <t>M0_iii.5.2</t>
        </is>
      </c>
      <c r="C20" t="inlineStr">
        <is>
          <t>System Privilege Record Maintenance</t>
        </is>
      </c>
      <c r="D20" t="inlineStr">
        <is>
          <t>Yes</t>
        </is>
      </c>
      <c r="E20" t="inlineStr">
        <is>
          <t>H.5.1</t>
        </is>
      </c>
    </row>
    <row r="21">
      <c r="B21" t="inlineStr">
        <is>
          <t>M0_iii.5.3</t>
        </is>
      </c>
      <c r="C21" t="inlineStr">
        <is>
          <t>IoT Middleware Platform Privilege Record Maintenance</t>
        </is>
      </c>
      <c r="D21" t="inlineStr">
        <is>
          <t>No</t>
        </is>
      </c>
      <c r="F21" t="inlineStr">
        <is>
          <t>Yes</t>
        </is>
      </c>
      <c r="G21" t="inlineStr">
        <is>
          <t>Architectural infeasibility</t>
        </is>
      </c>
    </row>
    <row r="22">
      <c r="B22" t="inlineStr">
        <is>
          <t>M0_iii.5.4</t>
        </is>
      </c>
      <c r="C22" t="inlineStr">
        <is>
          <t>User Management Privilege Record Maintenance</t>
        </is>
      </c>
      <c r="D22" t="inlineStr">
        <is>
          <t>Yes</t>
        </is>
      </c>
      <c r="E22" t="inlineStr">
        <is>
          <t>H.5.1</t>
        </is>
      </c>
    </row>
    <row r="23" ht="15" customHeight="1" s="54">
      <c r="A23" s="44" t="inlineStr">
        <is>
          <t>The {organization} shall regularly review {users} with privileged access rights to ensure that their {duties}, {roles}, {responsibilities}, and {competence} still justify such access</t>
        </is>
      </c>
      <c r="B23" t="inlineStr">
        <is>
          <t>M0_iii.6.1</t>
        </is>
      </c>
      <c r="C23" t="inlineStr">
        <is>
          <t>Regular Review of Privileged Access for System Admin Role</t>
        </is>
      </c>
      <c r="D23" t="inlineStr">
        <is>
          <t>Yes</t>
        </is>
      </c>
      <c r="E23" t="inlineStr">
        <is>
          <t>H.6.1</t>
        </is>
      </c>
    </row>
    <row r="24" ht="15" customHeight="1" s="54">
      <c r="B24" t="inlineStr">
        <is>
          <t>M0_iii.6.2</t>
        </is>
      </c>
      <c r="C24" t="inlineStr">
        <is>
          <t>Regular Review of Privileged Access for Operations Manager Role</t>
        </is>
      </c>
      <c r="D24" t="inlineStr">
        <is>
          <t>Yes</t>
        </is>
      </c>
      <c r="E24" t="inlineStr">
        <is>
          <t>H.6.1</t>
        </is>
      </c>
    </row>
    <row r="25" ht="15" customHeight="1" s="54">
      <c r="B25" t="inlineStr">
        <is>
          <t>M0_iii.6.3</t>
        </is>
      </c>
      <c r="C25" t="inlineStr">
        <is>
          <t>Regular Review of Privileged Access for Security Manager Role</t>
        </is>
      </c>
      <c r="D25" t="inlineStr">
        <is>
          <t>Yes</t>
        </is>
      </c>
      <c r="E25" t="inlineStr">
        <is>
          <t>H.6.1</t>
        </is>
      </c>
    </row>
    <row r="26" ht="15" customHeight="1" s="54">
      <c r="A26" s="49" t="inlineStr">
        <is>
          <t>{Connection} of {systems} to the {network} must be restricted and filtered, e.g., using firewalls.</t>
        </is>
      </c>
      <c r="B26" t="inlineStr">
        <is>
          <t>M0_iii.7.1</t>
        </is>
      </c>
      <c r="C26" t="inlineStr">
        <is>
          <t>Restricted and Filtered Network Connection for Factory Systems</t>
        </is>
      </c>
      <c r="D26" t="inlineStr">
        <is>
          <t>Yes</t>
        </is>
      </c>
      <c r="E26" t="inlineStr">
        <is>
          <t>H.7.1</t>
        </is>
      </c>
    </row>
    <row r="27" ht="29.25" customHeight="1" s="54">
      <c r="A27" s="44" t="inlineStr">
        <is>
          <t>{Network administration channels} must be segregated from {other network traffic}</t>
        </is>
      </c>
      <c r="B27" t="inlineStr">
        <is>
          <t>M0_iii.8.1</t>
        </is>
      </c>
      <c r="C27" t="inlineStr">
        <is>
          <t>Segregation of Access Control Network Traffic</t>
        </is>
      </c>
      <c r="D27" t="inlineStr">
        <is>
          <t>No</t>
        </is>
      </c>
      <c r="F27" t="inlineStr">
        <is>
          <t>Yes</t>
        </is>
      </c>
      <c r="G27" t="inlineStr">
        <is>
          <t>Architectural infeasibility</t>
        </is>
      </c>
    </row>
    <row r="28">
      <c r="B28" t="inlineStr">
        <is>
          <t>M0_iii.8.2</t>
        </is>
      </c>
      <c r="C28" t="inlineStr">
        <is>
          <t>Segregation of Factory Operations Network Traffic</t>
        </is>
      </c>
      <c r="D28" t="inlineStr">
        <is>
          <t>Yes</t>
        </is>
      </c>
      <c r="E28" t="inlineStr">
        <is>
          <t>H.8.1</t>
        </is>
      </c>
    </row>
    <row r="29">
      <c r="B29" t="inlineStr">
        <is>
          <t>M0_iii.8.3</t>
        </is>
      </c>
      <c r="C29" t="inlineStr">
        <is>
          <t>Cybersecurity Threat Protection</t>
        </is>
      </c>
      <c r="D29" t="inlineStr">
        <is>
          <t>No</t>
        </is>
      </c>
      <c r="F29" t="inlineStr">
        <is>
          <t>Yes</t>
        </is>
      </c>
      <c r="G29" t="inlineStr">
        <is>
          <t>Template drift</t>
        </is>
      </c>
    </row>
    <row r="30" ht="15" customHeight="1" s="54">
      <c r="A30" s="49" t="inlineStr">
        <is>
          <t>Implement cryptographic measures to safeguard {information stored} on {mobile user} {endpoint devices} or {storage media} and transmitted over {networks}</t>
        </is>
      </c>
      <c r="B30" t="inlineStr">
        <is>
          <t>M0_iii.9.1</t>
        </is>
      </c>
      <c r="C30" t="inlineStr">
        <is>
          <t>Cryptographic Protection for Stored Data in IoT Devices</t>
        </is>
      </c>
      <c r="D30" t="inlineStr">
        <is>
          <t>Yes</t>
        </is>
      </c>
      <c r="E30" t="inlineStr">
        <is>
          <t>H.9.1</t>
        </is>
      </c>
    </row>
    <row r="31">
      <c r="B31" t="inlineStr">
        <is>
          <t>M0_iii.9.2</t>
        </is>
      </c>
      <c r="C31" t="inlineStr">
        <is>
          <t>Cryptographic Protection for Data in Transit over Networks</t>
        </is>
      </c>
      <c r="D31" t="inlineStr">
        <is>
          <t>Yes</t>
        </is>
      </c>
      <c r="E31" t="inlineStr">
        <is>
          <t>H.9.3</t>
        </is>
      </c>
    </row>
    <row r="32" ht="15" customHeight="1" s="54">
      <c r="A32" s="49" t="inlineStr">
        <is>
          <t>Establish a comprehensive key management system, including procedures for generating and protecting {cryptographic keys} and recovering {encrypted data} in case of lost, compromised, or damaged {keys}</t>
        </is>
      </c>
      <c r="B32" t="inlineStr">
        <is>
          <t>M0_iii.10.1</t>
        </is>
      </c>
      <c r="C32" t="inlineStr">
        <is>
          <t>Comprehensive Key Management System for Factory Operations</t>
        </is>
      </c>
      <c r="D32" t="inlineStr">
        <is>
          <t>Yes</t>
        </is>
      </c>
      <c r="E32" t="inlineStr">
        <is>
          <t>H.10.1</t>
        </is>
      </c>
    </row>
    <row r="33">
      <c r="B33" t="inlineStr">
        <is>
          <t>M0_iii.10.2</t>
        </is>
      </c>
      <c r="C33" t="inlineStr">
        <is>
          <t>Secure Key Management for Employee Access and System Operations</t>
        </is>
      </c>
      <c r="D33" t="inlineStr">
        <is>
          <t>Yes</t>
        </is>
      </c>
      <c r="E33" t="inlineStr">
        <is>
          <t>H.10.2</t>
        </is>
      </c>
    </row>
    <row r="34">
      <c r="B34" t="inlineStr">
        <is>
          <t>M0_iii.10.3</t>
        </is>
      </c>
      <c r="C34" t="inlineStr">
        <is>
          <t>Secure Key Management for Logistic Operations</t>
        </is>
      </c>
      <c r="D34" t="inlineStr">
        <is>
          <t>Yes</t>
        </is>
      </c>
      <c r="E34" t="inlineStr">
        <is>
          <t>H.10.1</t>
        </is>
      </c>
    </row>
    <row r="35" ht="14.45" customHeight="1" s="54">
      <c r="B35" s="16" t="inlineStr">
        <is>
          <t>Count</t>
        </is>
      </c>
      <c r="C35" s="16" t="inlineStr">
        <is>
          <t>No</t>
        </is>
      </c>
      <c r="D35" s="16">
        <f>COUNTIF(D2:D34,"No")</f>
        <v/>
      </c>
      <c r="E35" s="16" t="inlineStr">
        <is>
          <t>Hallucinations</t>
        </is>
      </c>
      <c r="F35" s="16">
        <f>COUNTIF(F2:F34,"Yes")</f>
        <v/>
      </c>
    </row>
    <row r="36" ht="14.45" customHeight="1" s="54">
      <c r="B36" s="47" t="n"/>
      <c r="C36" s="16" t="inlineStr">
        <is>
          <t>Yes</t>
        </is>
      </c>
      <c r="D36" s="16">
        <f>COUNTIF(D2:D34,"Yes")</f>
        <v/>
      </c>
      <c r="E36" s="16" t="inlineStr">
        <is>
          <t>Partial hallucinations</t>
        </is>
      </c>
      <c r="F36">
        <f>COUNTIFS(D:D,"Partial",F:F,"Yes")</f>
        <v/>
      </c>
    </row>
    <row r="37" ht="14.45" customHeight="1" s="54">
      <c r="B37" s="47" t="n"/>
      <c r="C37" s="16" t="inlineStr">
        <is>
          <t>Partial</t>
        </is>
      </c>
      <c r="D37" s="16">
        <f>COUNTIF(D2:D34,"Partial")</f>
        <v/>
      </c>
      <c r="E37" s="10" t="inlineStr">
        <is>
          <t>Template drift</t>
        </is>
      </c>
      <c r="F37">
        <f>COUNTIF($G$2:$G$34,E37)</f>
        <v/>
      </c>
    </row>
    <row r="38" ht="15" customHeight="1" s="54">
      <c r="E38" s="10" t="inlineStr">
        <is>
          <t>Contextual misfit</t>
        </is>
      </c>
      <c r="F38">
        <f>COUNTIF($G$2:$G$34,E38)</f>
        <v/>
      </c>
    </row>
    <row r="39" ht="15" customHeight="1" s="54">
      <c r="E39" s="10" t="inlineStr">
        <is>
          <t>Scope misalignment</t>
        </is>
      </c>
      <c r="F39">
        <f>COUNTIF($G$2:$G$34,E39)</f>
        <v/>
      </c>
    </row>
    <row r="40" ht="15" customHeight="1" s="54">
      <c r="E40" s="10" t="inlineStr">
        <is>
          <t>Responsibility leakage</t>
        </is>
      </c>
      <c r="F40">
        <f>COUNTIF($G$2:$G$34,E40)</f>
        <v/>
      </c>
    </row>
    <row r="41" ht="15" customHeight="1" s="54">
      <c r="E41" s="10" t="inlineStr">
        <is>
          <t>Architectural infeasibility</t>
        </is>
      </c>
      <c r="F41">
        <f>COUNTIF($G$2:$G$34,E41)</f>
        <v/>
      </c>
    </row>
    <row r="42" ht="15" customHeight="1" s="54"/>
    <row r="43" ht="15" customHeight="1" s="54">
      <c r="E43" s="16" t="inlineStr">
        <is>
          <t>Discoveries</t>
        </is>
      </c>
      <c r="F43" s="16">
        <f>COUNTIF(F2:F34,"No")</f>
        <v/>
      </c>
    </row>
    <row r="73">
      <c r="AA73" t="inlineStr">
        <is>
          <t>G0_ii.10.2</t>
        </is>
      </c>
    </row>
  </sheetData>
  <mergeCells count="9">
    <mergeCell ref="A9:A14"/>
    <mergeCell ref="A4:A8"/>
    <mergeCell ref="A2:A3"/>
    <mergeCell ref="A23:A25"/>
    <mergeCell ref="A32:A34"/>
    <mergeCell ref="A15:A18"/>
    <mergeCell ref="A30:A31"/>
    <mergeCell ref="A19:A22"/>
    <mergeCell ref="A27:A29"/>
  </mergeCells>
  <conditionalFormatting sqref="D2:D8">
    <cfRule type="containsText" priority="7" operator="containsText" dxfId="6" text="Partial">
      <formula>NOT(ISERROR(SEARCH("Partial",D2)))</formula>
    </cfRule>
    <cfRule type="containsText" priority="8" operator="containsText" dxfId="0" text="No">
      <formula>NOT(ISERROR(SEARCH("No",D2)))</formula>
    </cfRule>
    <cfRule type="containsText" priority="9" operator="containsText" dxfId="1" text="Yes">
      <formula>NOT(ISERROR(SEARCH("Yes",D2)))</formula>
    </cfRule>
  </conditionalFormatting>
  <conditionalFormatting sqref="D3 D9:D34">
    <cfRule type="containsText" priority="4" operator="containsText" dxfId="6" text="Partial">
      <formula>NOT(ISERROR(SEARCH("Partial",D3)))</formula>
    </cfRule>
    <cfRule type="containsText" priority="5" operator="containsText" dxfId="0" text="No">
      <formula>NOT(ISERROR(SEARCH("No",D3)))</formula>
    </cfRule>
    <cfRule type="containsText" priority="6" operator="containsText" dxfId="1" text="Yes">
      <formula>NOT(ISERROR(SEARCH("Yes",D3)))</formula>
    </cfRule>
  </conditionalFormatting>
  <conditionalFormatting sqref="F2:F34">
    <cfRule type="containsText" priority="2" operator="containsText" dxfId="1" text="No">
      <formula>NOT(ISERROR(SEARCH("No",F2)))</formula>
    </cfRule>
    <cfRule type="containsText" priority="3" operator="containsText" dxfId="0" text="Yes">
      <formula>NOT(ISERROR(SEARCH("Yes",F2)))</formula>
    </cfRule>
  </conditionalFormatting>
  <conditionalFormatting sqref="G2:G108">
    <cfRule type="containsText" priority="12" operator="containsText" dxfId="1" text="No">
      <formula>NOT(ISERROR(SEARCH("No",G2)))</formula>
    </cfRule>
    <cfRule type="containsText" priority="13" operator="containsText" dxfId="0" text="Yes">
      <formula>NOT(ISERROR(SEARCH("Yes",G2)))</formula>
    </cfRule>
  </conditionalFormatting>
  <dataValidations count="4">
    <dataValidation sqref="D23:D25" showDropDown="0" showInputMessage="1" showErrorMessage="1" allowBlank="1" type="list" operator="equal">
      <formula1>"Yes;No;Partial"</formula1>
      <formula2>0</formula2>
    </dataValidation>
    <dataValidation sqref="D2:D22 D26:D34" showDropDown="0" showInputMessage="1" showErrorMessage="1" allowBlank="1" type="list" operator="equal">
      <formula1>"Yes,No,Partial"</formula1>
      <formula2>0</formula2>
    </dataValidation>
    <dataValidation sqref="F2:F34" showDropDown="0" showInputMessage="1" showErrorMessage="1" allowBlank="1" type="list" operator="equal">
      <formula1>"Yes,No"</formula1>
      <formula2>0</formula2>
    </dataValidation>
    <dataValidation sqref="G2:G108" showDropDown="0" showInputMessage="1" showErrorMessage="1" allowBlank="1" operator="equal">
      <formula1>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A73"/>
  <sheetViews>
    <sheetView zoomScale="85" zoomScaleNormal="85" workbookViewId="0">
      <selection activeCell="E42" sqref="E42:F42"/>
    </sheetView>
  </sheetViews>
  <sheetFormatPr baseColWidth="8" defaultColWidth="9.140625" defaultRowHeight="14.45"/>
  <cols>
    <col width="60.7109375" customWidth="1" style="44" min="1" max="1"/>
    <col width="60.7109375" customWidth="1" style="54" min="3" max="3"/>
    <col width="14.7109375" customWidth="1" style="54" min="4" max="4"/>
    <col width="30.7109375" customWidth="1" style="54" min="5" max="5"/>
    <col width="14.7109375" customWidth="1" style="54" min="6" max="7"/>
    <col width="60.7109375" customWidth="1" style="54" min="8" max="8"/>
  </cols>
  <sheetData>
    <row r="1" customFormat="1" s="53">
      <c r="A1" s="53" t="inlineStr">
        <is>
          <t>Norm</t>
        </is>
      </c>
      <c r="B1" s="53" t="inlineStr">
        <is>
          <t>M0_iv.#</t>
        </is>
      </c>
      <c r="C1" s="53" t="inlineStr">
        <is>
          <t>Automated requirement name</t>
        </is>
      </c>
      <c r="D1" s="53" t="inlineStr">
        <is>
          <t>Present</t>
        </is>
      </c>
      <c r="E1" s="53" t="inlineStr">
        <is>
          <t>Support</t>
        </is>
      </c>
      <c r="F1" s="53" t="inlineStr">
        <is>
          <t>Hallucination</t>
        </is>
      </c>
      <c r="G1" s="53" t="inlineStr">
        <is>
          <t>Hall. Type</t>
        </is>
      </c>
      <c r="H1" s="53" t="inlineStr">
        <is>
          <t>Rationale</t>
        </is>
      </c>
    </row>
    <row r="2" ht="15" customHeight="1" s="54">
      <c r="A2" s="49" t="inlineStr">
        <is>
          <t>Help messages during the {log-on procedure} must not aid an unauthorized user, e.g., by indicating which {parts of the data} are correct or incorrect</t>
        </is>
      </c>
      <c r="B2" t="inlineStr">
        <is>
          <t>M0_iv.1.1</t>
        </is>
      </c>
      <c r="C2" t="inlineStr">
        <is>
          <t>Secure Log-On Procedure</t>
        </is>
      </c>
      <c r="D2" t="inlineStr">
        <is>
          <t>Yes</t>
        </is>
      </c>
      <c r="E2" t="inlineStr">
        <is>
          <t>H.1.1</t>
        </is>
      </c>
    </row>
    <row r="3" ht="15" customHeight="1" s="54">
      <c r="A3" s="49" t="inlineStr">
        <is>
          <t>A security incident must be raised if a potential attempted or successful breach of {log-on controls} is detected, and, when the risk of the incident warrants it, the account shall be temporarily restricted, plus an alert shall be sent to the {account owner}, and to the {organization's system administrators}.</t>
        </is>
      </c>
      <c r="B3" t="inlineStr">
        <is>
          <t>M0_iv.2.1</t>
        </is>
      </c>
      <c r="C3" t="inlineStr">
        <is>
          <t>Security Event for Access Control Breach</t>
        </is>
      </c>
      <c r="D3" t="inlineStr">
        <is>
          <t>Yes</t>
        </is>
      </c>
      <c r="E3" t="inlineStr">
        <is>
          <t>H.2.1</t>
        </is>
      </c>
    </row>
    <row r="4" ht="15" customHeight="1" s="54">
      <c r="B4" t="inlineStr">
        <is>
          <t>M0_iv.2.2</t>
        </is>
      </c>
      <c r="C4" t="inlineStr">
        <is>
          <t>Alert for Multiple Unsuccessful Login Attempts</t>
        </is>
      </c>
      <c r="D4" t="inlineStr">
        <is>
          <t>Yes</t>
        </is>
      </c>
      <c r="E4" t="inlineStr">
        <is>
          <t>H.2.1</t>
        </is>
      </c>
    </row>
    <row r="5" ht="15" customHeight="1" s="54">
      <c r="B5" t="inlineStr">
        <is>
          <t>M0_iv.2.3</t>
        </is>
      </c>
      <c r="C5" t="inlineStr">
        <is>
          <t>Access Attempt Logging</t>
        </is>
      </c>
      <c r="D5" t="inlineStr">
        <is>
          <t>No</t>
        </is>
      </c>
      <c r="F5" t="inlineStr">
        <is>
          <t>No</t>
        </is>
      </c>
    </row>
    <row r="6" ht="15" customHeight="1" s="54">
      <c r="A6" s="49" t="inlineStr">
        <is>
          <t>Physical or logical access controls must be implemented to isolate {sensitive applications, data, or systems}.</t>
        </is>
      </c>
      <c r="B6" t="inlineStr">
        <is>
          <t>M0_iv.3.1</t>
        </is>
      </c>
      <c r="C6" t="inlineStr">
        <is>
          <t>InboundLogisticsAccessControl</t>
        </is>
      </c>
      <c r="D6" t="inlineStr">
        <is>
          <t>Yes</t>
        </is>
      </c>
      <c r="E6" t="inlineStr">
        <is>
          <t>H.3.1</t>
        </is>
      </c>
    </row>
    <row r="7" ht="15" customHeight="1" s="54">
      <c r="B7" t="inlineStr">
        <is>
          <t>M0_iv.3.2</t>
        </is>
      </c>
      <c r="C7" t="inlineStr">
        <is>
          <t>CarAssemblyAccessControl</t>
        </is>
      </c>
      <c r="D7" t="inlineStr">
        <is>
          <t>No</t>
        </is>
      </c>
      <c r="F7" t="inlineStr">
        <is>
          <t>Yes</t>
        </is>
      </c>
      <c r="G7" t="inlineStr">
        <is>
          <t>Scope misalignment</t>
        </is>
      </c>
    </row>
    <row r="8" ht="15" customHeight="1" s="54">
      <c r="B8" t="inlineStr">
        <is>
          <t>M0_iv.3.3</t>
        </is>
      </c>
      <c r="C8" t="inlineStr">
        <is>
          <t>OutboundLogisticsAccessControl</t>
        </is>
      </c>
      <c r="D8" t="inlineStr">
        <is>
          <t>No</t>
        </is>
      </c>
      <c r="F8" t="inlineStr">
        <is>
          <t>Yes</t>
        </is>
      </c>
      <c r="G8" t="inlineStr">
        <is>
          <t>Scope misalignment</t>
        </is>
      </c>
    </row>
    <row r="9" ht="15" customHeight="1" s="54">
      <c r="A9" s="49" t="inlineStr">
        <is>
          <t>{Access to data} must be controlled based on {user identity, group membership, and assigned roles}</t>
        </is>
      </c>
      <c r="B9" t="inlineStr">
        <is>
          <t>M0_iv.4.1</t>
        </is>
      </c>
      <c r="C9" t="inlineStr">
        <is>
          <t>User Access Control</t>
        </is>
      </c>
      <c r="D9" t="inlineStr">
        <is>
          <t>Yes</t>
        </is>
      </c>
      <c r="E9" t="inlineStr">
        <is>
          <t>H.4.7</t>
        </is>
      </c>
    </row>
    <row r="10">
      <c r="B10" t="inlineStr">
        <is>
          <t>M0_iv.4.2</t>
        </is>
      </c>
      <c r="C10" t="inlineStr">
        <is>
          <t>Role-Based Access Control for Factory Employees</t>
        </is>
      </c>
      <c r="D10" t="inlineStr">
        <is>
          <t>Yes</t>
        </is>
      </c>
      <c r="E10" t="inlineStr">
        <is>
          <t>H.4.7</t>
        </is>
      </c>
    </row>
    <row r="11">
      <c r="B11" t="inlineStr">
        <is>
          <t>M0_iv.4.3</t>
        </is>
      </c>
      <c r="C11" t="inlineStr">
        <is>
          <t>Role-Based Access Control for Outbound Logistic Employees</t>
        </is>
      </c>
      <c r="D11" t="inlineStr">
        <is>
          <t>Yes</t>
        </is>
      </c>
      <c r="E11" t="inlineStr">
        <is>
          <t>H.4.7</t>
        </is>
      </c>
    </row>
    <row r="12">
      <c r="B12" t="inlineStr">
        <is>
          <t>M0_iv.4.4</t>
        </is>
      </c>
      <c r="C12" t="inlineStr">
        <is>
          <t>Access Control for System Administrators</t>
        </is>
      </c>
      <c r="D12" t="inlineStr">
        <is>
          <t>No</t>
        </is>
      </c>
      <c r="F12" t="inlineStr">
        <is>
          <t>No</t>
        </is>
      </c>
    </row>
    <row r="13">
      <c r="B13" t="inlineStr">
        <is>
          <t>M0_iv.4.5</t>
        </is>
      </c>
      <c r="C13" t="inlineStr">
        <is>
          <t>Access Control for Operations Managers</t>
        </is>
      </c>
      <c r="D13" t="inlineStr">
        <is>
          <t>No</t>
        </is>
      </c>
      <c r="F13" t="inlineStr">
        <is>
          <t>No</t>
        </is>
      </c>
    </row>
    <row r="14">
      <c r="B14" t="inlineStr">
        <is>
          <t>M0_iv.4.6</t>
        </is>
      </c>
      <c r="C14" t="inlineStr">
        <is>
          <t>Access Control for Security Managers</t>
        </is>
      </c>
      <c r="D14" t="inlineStr">
        <is>
          <t>No</t>
        </is>
      </c>
      <c r="F14" t="inlineStr">
        <is>
          <t>No</t>
        </is>
      </c>
    </row>
    <row r="15" ht="14.25" customHeight="1" s="54">
      <c r="A15" s="49" t="inlineStr">
        <is>
          <t>The {organization} shall maintain a record of {all privileges allocated}</t>
        </is>
      </c>
      <c r="B15" t="inlineStr">
        <is>
          <t>M0_iv.5.1</t>
        </is>
      </c>
      <c r="C15" t="inlineStr">
        <is>
          <t>Record of Access Privileges</t>
        </is>
      </c>
      <c r="D15" t="inlineStr">
        <is>
          <t>Yes</t>
        </is>
      </c>
      <c r="E15" t="inlineStr">
        <is>
          <t>H.5.1</t>
        </is>
      </c>
    </row>
    <row r="16" ht="14.25" customHeight="1" s="54">
      <c r="B16" t="inlineStr">
        <is>
          <t>M0_iv.5.2</t>
        </is>
      </c>
      <c r="C16" t="inlineStr">
        <is>
          <t>Record of AGV Control Privileges</t>
        </is>
      </c>
      <c r="D16" t="inlineStr">
        <is>
          <t>No</t>
        </is>
      </c>
      <c r="F16" t="inlineStr">
        <is>
          <t>No</t>
        </is>
      </c>
    </row>
    <row r="17" ht="14.25" customHeight="1" s="54">
      <c r="B17" t="inlineStr">
        <is>
          <t>M0_iv.5.3</t>
        </is>
      </c>
      <c r="C17" t="inlineStr">
        <is>
          <t>Record of Warehouse Inventory Access Privileges</t>
        </is>
      </c>
      <c r="D17" t="inlineStr">
        <is>
          <t>Yes</t>
        </is>
      </c>
      <c r="E17" t="inlineStr">
        <is>
          <t>H.5.1</t>
        </is>
      </c>
    </row>
    <row r="18" ht="15" customHeight="1" s="54">
      <c r="A18" s="44" t="inlineStr">
        <is>
          <t>The {organization} shall regularly review {users} with privileged access rights to ensure that their {duties}, {roles}, {responsibilities}, and {competence} still justify such access</t>
        </is>
      </c>
      <c r="B18" t="inlineStr">
        <is>
          <t>M0_iv.6.1</t>
        </is>
      </c>
      <c r="C18" t="inlineStr">
        <is>
          <t>Regular Review of Privileged Access Rights</t>
        </is>
      </c>
      <c r="D18" t="inlineStr">
        <is>
          <t>Yes</t>
        </is>
      </c>
      <c r="E18" t="inlineStr">
        <is>
          <t>H.6.1</t>
        </is>
      </c>
    </row>
    <row r="19" ht="15" customHeight="1" s="54">
      <c r="B19" t="inlineStr">
        <is>
          <t>M0_iv.6.2</t>
        </is>
      </c>
      <c r="C19" t="inlineStr">
        <is>
          <t>Regular Review of Access Control Manager's Privileged Access Rights</t>
        </is>
      </c>
      <c r="D19" t="inlineStr">
        <is>
          <t>Yes</t>
        </is>
      </c>
      <c r="E19" t="inlineStr">
        <is>
          <t>H.6.1</t>
        </is>
      </c>
    </row>
    <row r="20" ht="15" customHeight="1" s="54">
      <c r="B20" t="inlineStr">
        <is>
          <t>M0_iv.6.3</t>
        </is>
      </c>
      <c r="C20" t="inlineStr">
        <is>
          <t>Regular Review of Dock Manager's Privileged Access Rights</t>
        </is>
      </c>
      <c r="D20" t="inlineStr">
        <is>
          <t>Yes</t>
        </is>
      </c>
      <c r="E20" t="inlineStr">
        <is>
          <t>H.6.1</t>
        </is>
      </c>
    </row>
    <row r="21" ht="15" customHeight="1" s="54">
      <c r="B21" t="inlineStr">
        <is>
          <t>M0_iv.6.4</t>
        </is>
      </c>
      <c r="C21" t="inlineStr">
        <is>
          <t>Regular Review of Warehouse Manager's Privileged Access Rights</t>
        </is>
      </c>
      <c r="D21" t="inlineStr">
        <is>
          <t>Yes</t>
        </is>
      </c>
      <c r="E21" t="inlineStr">
        <is>
          <t>H.6.1</t>
        </is>
      </c>
    </row>
    <row r="22" ht="15" customHeight="1" s="54">
      <c r="B22" t="inlineStr">
        <is>
          <t>M0_iv.6.5</t>
        </is>
      </c>
      <c r="C22" t="inlineStr">
        <is>
          <t>Regular Review of Plant Manager's Privileged Access Rights</t>
        </is>
      </c>
      <c r="D22" t="inlineStr">
        <is>
          <t>Yes</t>
        </is>
      </c>
      <c r="E22" t="inlineStr">
        <is>
          <t>H.6.1</t>
        </is>
      </c>
    </row>
    <row r="23" ht="15" customHeight="1" s="54">
      <c r="A23" s="49" t="inlineStr">
        <is>
          <t>{Connection} of {systems} to the {network} must be restricted and filtered, e.g., using firewalls.</t>
        </is>
      </c>
      <c r="B23" t="inlineStr">
        <is>
          <t>M0_iv.7.1</t>
        </is>
      </c>
      <c r="C23" t="inlineStr">
        <is>
          <t>Restricted and Filtered Connection for Factory Systems</t>
        </is>
      </c>
      <c r="D23" t="inlineStr">
        <is>
          <t>Yes</t>
        </is>
      </c>
      <c r="E23" t="inlineStr">
        <is>
          <t>H.7.1</t>
        </is>
      </c>
    </row>
    <row r="24" ht="14.25" customHeight="1" s="54">
      <c r="B24" t="inlineStr">
        <is>
          <t>M0_iv.7.2</t>
        </is>
      </c>
      <c r="C24" t="inlineStr">
        <is>
          <t>Filtered Access for Inbound and Outbound Logistics Systems</t>
        </is>
      </c>
      <c r="D24" t="inlineStr">
        <is>
          <t>Yes</t>
        </is>
      </c>
      <c r="E24" t="inlineStr">
        <is>
          <t>H.7.2</t>
        </is>
      </c>
    </row>
    <row r="25">
      <c r="B25" t="inlineStr">
        <is>
          <t>M0_iv.7.3</t>
        </is>
      </c>
      <c r="C25" t="inlineStr">
        <is>
          <t>Firewall Protection for Assembly Line Systems</t>
        </is>
      </c>
      <c r="D25" t="inlineStr">
        <is>
          <t>No</t>
        </is>
      </c>
      <c r="F25" t="inlineStr">
        <is>
          <t>Yes</t>
        </is>
      </c>
      <c r="G25" t="inlineStr">
        <is>
          <t>Contextual misfit</t>
        </is>
      </c>
    </row>
    <row r="26">
      <c r="B26" t="inlineStr">
        <is>
          <t>M0_iv.7.4</t>
        </is>
      </c>
      <c r="C26" t="inlineStr">
        <is>
          <t>Secure Communication for User Interfaces and Factory System Interfaces</t>
        </is>
      </c>
      <c r="D26" t="inlineStr">
        <is>
          <t>Yes</t>
        </is>
      </c>
      <c r="E26" t="inlineStr">
        <is>
          <t>H.7.2</t>
        </is>
      </c>
    </row>
    <row r="27">
      <c r="B27" t="inlineStr">
        <is>
          <t>M0_iv.7.5</t>
        </is>
      </c>
      <c r="C27" t="inlineStr">
        <is>
          <t>Firewall Protection for Data Stores</t>
        </is>
      </c>
      <c r="D27" t="inlineStr">
        <is>
          <t>No</t>
        </is>
      </c>
      <c r="F27" t="inlineStr">
        <is>
          <t>Yes</t>
        </is>
      </c>
      <c r="G27" t="inlineStr">
        <is>
          <t>Contextual misfit</t>
        </is>
      </c>
    </row>
    <row r="28" ht="15" customHeight="1" s="54">
      <c r="A28" s="44" t="inlineStr">
        <is>
          <t>{Network administration channels} must be segregated from {other network traffic}</t>
        </is>
      </c>
      <c r="B28" s="44" t="inlineStr">
        <is>
          <t>M0_iv.8.1</t>
        </is>
      </c>
      <c r="C28" s="44" t="inlineStr">
        <is>
          <t>Segregated Access Channels for System Admin</t>
        </is>
      </c>
      <c r="D28" t="inlineStr">
        <is>
          <t>No</t>
        </is>
      </c>
      <c r="F28" t="inlineStr">
        <is>
          <t>Yes</t>
        </is>
      </c>
      <c r="G28" t="inlineStr">
        <is>
          <t>Architectural infeasibility</t>
        </is>
      </c>
    </row>
    <row r="29" ht="15" customHeight="1" s="54">
      <c r="B29" s="44" t="inlineStr">
        <is>
          <t>M0_iv.8.2</t>
        </is>
      </c>
      <c r="C29" s="44" t="inlineStr">
        <is>
          <t>Isolated Communication for Operations Manager</t>
        </is>
      </c>
      <c r="D29" t="inlineStr">
        <is>
          <t>No</t>
        </is>
      </c>
      <c r="F29" t="inlineStr">
        <is>
          <t>Yes</t>
        </is>
      </c>
      <c r="G29" t="inlineStr">
        <is>
          <t>Architectural infeasibility</t>
        </is>
      </c>
    </row>
    <row r="30" ht="15" customHeight="1" s="54">
      <c r="B30" s="44" t="inlineStr">
        <is>
          <t>M0_iv.8.3</t>
        </is>
      </c>
      <c r="C30" s="44" t="inlineStr">
        <is>
          <t>Segregated Security Management Channels</t>
        </is>
      </c>
      <c r="D30" t="inlineStr">
        <is>
          <t>Yes</t>
        </is>
      </c>
      <c r="E30" t="inlineStr">
        <is>
          <t>H.8.1</t>
        </is>
      </c>
    </row>
    <row r="31" ht="15" customHeight="1" s="54">
      <c r="A31" s="49" t="inlineStr">
        <is>
          <t>Implement cryptographic measures to safeguard {information stored} on {mobile user} {endpoint devices} or {storage media} and transmitted over {networks}</t>
        </is>
      </c>
      <c r="B31" t="inlineStr">
        <is>
          <t>M0_iv.9.1</t>
        </is>
      </c>
      <c r="C31" t="inlineStr">
        <is>
          <t>Cryptographic Protection for Inbound Logistics Data</t>
        </is>
      </c>
      <c r="D31" t="inlineStr">
        <is>
          <t>Yes</t>
        </is>
      </c>
      <c r="E31" t="inlineStr">
        <is>
          <t>H.9.1; H.9.3</t>
        </is>
      </c>
    </row>
    <row r="32">
      <c r="B32" t="inlineStr">
        <is>
          <t>M0_iv.9.2</t>
        </is>
      </c>
      <c r="C32" t="inlineStr">
        <is>
          <t>Cryptographic Protection for Assembly Line Data</t>
        </is>
      </c>
      <c r="D32" t="inlineStr">
        <is>
          <t>Yes</t>
        </is>
      </c>
      <c r="E32" t="inlineStr">
        <is>
          <t>H.9.1; H.9.3</t>
        </is>
      </c>
    </row>
    <row r="33">
      <c r="B33" t="inlineStr">
        <is>
          <t>M0_iv.9.3</t>
        </is>
      </c>
      <c r="C33" t="inlineStr">
        <is>
          <t>Cryptographic Protection for Outbound Logistics Data</t>
        </is>
      </c>
      <c r="D33" t="inlineStr">
        <is>
          <t>Yes</t>
        </is>
      </c>
      <c r="E33" t="inlineStr">
        <is>
          <t>H.9.1; H.9.3</t>
        </is>
      </c>
    </row>
    <row r="34">
      <c r="B34" t="inlineStr">
        <is>
          <t>M0_iv.9.4</t>
        </is>
      </c>
      <c r="C34" t="inlineStr">
        <is>
          <t>Cryptographic Protection for IoT Middleware Platform Data</t>
        </is>
      </c>
      <c r="D34" t="inlineStr">
        <is>
          <t>Yes</t>
        </is>
      </c>
      <c r="E34" t="inlineStr">
        <is>
          <t>H.9.1; H.9.3</t>
        </is>
      </c>
    </row>
    <row r="35" ht="15" customHeight="1" s="54">
      <c r="A35" s="49" t="inlineStr">
        <is>
          <t>Establish a comprehensive key management system, including procedures for generating and protecting {cryptographic keys} and recovering {encrypted data} in case of lost, compromised, or damaged {keys}</t>
        </is>
      </c>
      <c r="B35" t="inlineStr">
        <is>
          <t>M0_iv.10.1</t>
        </is>
      </c>
      <c r="C35" t="inlineStr">
        <is>
          <t>Automated Identification Key Management System</t>
        </is>
      </c>
      <c r="D35" t="inlineStr">
        <is>
          <t>Yes</t>
        </is>
      </c>
      <c r="E35" t="inlineStr">
        <is>
          <t>H.10.1</t>
        </is>
      </c>
    </row>
    <row r="36">
      <c r="B36" t="inlineStr">
        <is>
          <t>M0_iv.10.2</t>
        </is>
      </c>
      <c r="C36" t="inlineStr">
        <is>
          <t>Secure Warehouse Inventory Key Management</t>
        </is>
      </c>
      <c r="D36" t="inlineStr">
        <is>
          <t>Yes</t>
        </is>
      </c>
      <c r="E36" t="inlineStr">
        <is>
          <t>H.10.1</t>
        </is>
      </c>
    </row>
    <row r="37">
      <c r="B37" t="inlineStr">
        <is>
          <t>M0_iv.10.3</t>
        </is>
      </c>
      <c r="C37" t="inlineStr">
        <is>
          <t>Car Assembly Line Identifier Key Management</t>
        </is>
      </c>
      <c r="D37" t="inlineStr">
        <is>
          <t>Yes</t>
        </is>
      </c>
      <c r="E37" t="inlineStr">
        <is>
          <t>H.10.1</t>
        </is>
      </c>
    </row>
    <row r="38">
      <c r="B38" t="inlineStr">
        <is>
          <t>M0_iv.10.4</t>
        </is>
      </c>
      <c r="C38" t="inlineStr">
        <is>
          <t>Finished Car Yard Identifier Key Management</t>
        </is>
      </c>
      <c r="D38" t="inlineStr">
        <is>
          <t>Yes</t>
        </is>
      </c>
      <c r="E38" t="inlineStr">
        <is>
          <t>H.10.1</t>
        </is>
      </c>
    </row>
    <row r="39">
      <c r="B39" t="inlineStr">
        <is>
          <t>M0_iv.10.5</t>
        </is>
      </c>
      <c r="C39" t="inlineStr">
        <is>
          <t>Outbound Logistics Identifier Key Management</t>
        </is>
      </c>
      <c r="D39" t="inlineStr">
        <is>
          <t>Yes</t>
        </is>
      </c>
      <c r="E39" t="inlineStr">
        <is>
          <t>H.10.1</t>
        </is>
      </c>
    </row>
    <row r="40">
      <c r="B40" t="inlineStr">
        <is>
          <t>M0_iv.10.6</t>
        </is>
      </c>
      <c r="C40" t="inlineStr">
        <is>
          <t>IoT Middleware Platform Key Management</t>
        </is>
      </c>
      <c r="D40" t="inlineStr">
        <is>
          <t>Yes</t>
        </is>
      </c>
      <c r="E40" t="inlineStr">
        <is>
          <t>H.10.1</t>
        </is>
      </c>
    </row>
    <row r="41" ht="14.45" customHeight="1" s="54">
      <c r="B41" s="16" t="inlineStr">
        <is>
          <t>Count</t>
        </is>
      </c>
      <c r="C41" s="16" t="inlineStr">
        <is>
          <t>No</t>
        </is>
      </c>
      <c r="D41" s="16">
        <f>COUNTIF(D2:D40,"No")</f>
        <v/>
      </c>
      <c r="E41" s="16" t="inlineStr">
        <is>
          <t>Hallucinations</t>
        </is>
      </c>
      <c r="F41" s="16">
        <f>COUNTIF(F2:F40,"Yes")</f>
        <v/>
      </c>
    </row>
    <row r="42" ht="14.45" customHeight="1" s="54">
      <c r="B42" s="47" t="n"/>
      <c r="C42" s="16" t="inlineStr">
        <is>
          <t>Yes</t>
        </is>
      </c>
      <c r="D42" s="16">
        <f>COUNTIF(D2:D40,"Yes")</f>
        <v/>
      </c>
      <c r="E42" s="16" t="inlineStr">
        <is>
          <t>Partial hallucinations</t>
        </is>
      </c>
      <c r="F42">
        <f>COUNTIFS(D:D,"Partial",F:F,"Yes")</f>
        <v/>
      </c>
    </row>
    <row r="43" ht="14.45" customHeight="1" s="54">
      <c r="B43" s="47" t="n"/>
      <c r="C43" s="16" t="inlineStr">
        <is>
          <t>Partial</t>
        </is>
      </c>
      <c r="D43" s="16">
        <f>COUNTIF(D2:D40,"Partial")</f>
        <v/>
      </c>
      <c r="E43" s="10" t="inlineStr">
        <is>
          <t>Template drift</t>
        </is>
      </c>
      <c r="F43">
        <f>COUNTIF($G$2:$G$40,E43)</f>
        <v/>
      </c>
    </row>
    <row r="44" ht="15" customHeight="1" s="54">
      <c r="E44" s="10" t="inlineStr">
        <is>
          <t>Contextual misfit</t>
        </is>
      </c>
      <c r="F44">
        <f>COUNTIF($G$2:$G$40,E44)</f>
        <v/>
      </c>
    </row>
    <row r="45" ht="15" customHeight="1" s="54">
      <c r="E45" s="10" t="inlineStr">
        <is>
          <t>Scope misalignment</t>
        </is>
      </c>
      <c r="F45">
        <f>COUNTIF($G$2:$G$40,E45)</f>
        <v/>
      </c>
    </row>
    <row r="46" ht="15" customHeight="1" s="54">
      <c r="E46" s="10" t="inlineStr">
        <is>
          <t>Responsibility leakage</t>
        </is>
      </c>
      <c r="F46">
        <f>COUNTIF($G$2:$G$40,E46)</f>
        <v/>
      </c>
    </row>
    <row r="47" ht="15" customHeight="1" s="54">
      <c r="E47" s="10" t="inlineStr">
        <is>
          <t>Architectural infeasibility</t>
        </is>
      </c>
      <c r="F47">
        <f>COUNTIF($G$2:$G$40,E47)</f>
        <v/>
      </c>
    </row>
    <row r="48" ht="15" customHeight="1" s="54"/>
    <row r="49" ht="15" customHeight="1" s="54">
      <c r="E49" s="16" t="inlineStr">
        <is>
          <t>Discoveries</t>
        </is>
      </c>
      <c r="F49" s="16">
        <f>COUNTIF(F2:F40,"No")</f>
        <v/>
      </c>
    </row>
    <row r="73">
      <c r="AA73" t="inlineStr">
        <is>
          <t>G0_ii.10.2</t>
        </is>
      </c>
    </row>
  </sheetData>
  <mergeCells count="9">
    <mergeCell ref="A18:A22"/>
    <mergeCell ref="A35:A40"/>
    <mergeCell ref="A9:A14"/>
    <mergeCell ref="A31:A34"/>
    <mergeCell ref="A28:A30"/>
    <mergeCell ref="A3:A5"/>
    <mergeCell ref="A15:A17"/>
    <mergeCell ref="A6:A8"/>
    <mergeCell ref="A23:A27"/>
  </mergeCells>
  <conditionalFormatting sqref="D2:D16 D19:D24 D26 D30:D40">
    <cfRule type="containsText" priority="4" operator="containsText" dxfId="6" text="Partial">
      <formula>NOT(ISERROR(SEARCH("Partial",D2)))</formula>
    </cfRule>
    <cfRule type="containsText" priority="5" operator="containsText" dxfId="0" text="No">
      <formula>NOT(ISERROR(SEARCH("No",D2)))</formula>
    </cfRule>
    <cfRule type="containsText" priority="6" operator="containsText" dxfId="1" text="Yes">
      <formula>NOT(ISERROR(SEARCH("Yes",D2)))</formula>
    </cfRule>
  </conditionalFormatting>
  <conditionalFormatting sqref="D17:D30">
    <cfRule type="containsText" priority="7" operator="containsText" dxfId="6" text="Partial">
      <formula>NOT(ISERROR(SEARCH("Partial",D17)))</formula>
    </cfRule>
    <cfRule type="containsText" priority="8" operator="containsText" dxfId="0" text="No">
      <formula>NOT(ISERROR(SEARCH("No",D17)))</formula>
    </cfRule>
    <cfRule type="containsText" priority="9" operator="containsText" dxfId="1" text="Yes">
      <formula>NOT(ISERROR(SEARCH("Yes",D17)))</formula>
    </cfRule>
  </conditionalFormatting>
  <conditionalFormatting sqref="F2:F26 F30:F40">
    <cfRule type="containsText" priority="2" operator="containsText" dxfId="1" text="No">
      <formula>NOT(ISERROR(SEARCH("No",F2)))</formula>
    </cfRule>
    <cfRule type="containsText" priority="3" operator="containsText" dxfId="0" text="Yes">
      <formula>NOT(ISERROR(SEARCH("Yes",F2)))</formula>
    </cfRule>
  </conditionalFormatting>
  <conditionalFormatting sqref="F27:F30">
    <cfRule type="containsText" priority="20" operator="containsText" dxfId="1" text="No">
      <formula>NOT(ISERROR(SEARCH("No",F27)))</formula>
    </cfRule>
    <cfRule type="containsText" priority="21" operator="containsText" dxfId="0" text="Yes">
      <formula>NOT(ISERROR(SEARCH("Yes",F27)))</formula>
    </cfRule>
  </conditionalFormatting>
  <conditionalFormatting sqref="G2:G108">
    <cfRule type="containsText" priority="12" operator="containsText" dxfId="1" text="No">
      <formula>NOT(ISERROR(SEARCH("No",G2)))</formula>
    </cfRule>
    <cfRule type="containsText" priority="13" operator="containsText" dxfId="0" text="Yes">
      <formula>NOT(ISERROR(SEARCH("Yes",G2)))</formula>
    </cfRule>
  </conditionalFormatting>
  <dataValidations count="4">
    <dataValidation sqref="D18:D24 D26" showDropDown="0" showInputMessage="1" showErrorMessage="1" allowBlank="1" type="list" operator="equal">
      <formula1>"Yes;No;Partial"</formula1>
      <formula2>0</formula2>
    </dataValidation>
    <dataValidation sqref="D2:D17 D25 D27:D40" showDropDown="0" showInputMessage="1" showErrorMessage="1" allowBlank="1" type="list" operator="equal">
      <formula1>"Yes,No,Partial"</formula1>
      <formula2>0</formula2>
    </dataValidation>
    <dataValidation sqref="F2:F40" showDropDown="0" showInputMessage="1" showErrorMessage="1" allowBlank="1" type="list" operator="equal">
      <formula1>"Yes,No"</formula1>
      <formula2>0</formula2>
    </dataValidation>
    <dataValidation sqref="G2:G108" showDropDown="0" showInputMessage="1" showErrorMessage="1" allowBlank="1" operator="equal">
      <formula1>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A73"/>
  <sheetViews>
    <sheetView zoomScale="85" zoomScaleNormal="85" workbookViewId="0">
      <selection activeCell="E36" sqref="E36:F36"/>
    </sheetView>
  </sheetViews>
  <sheetFormatPr baseColWidth="8" defaultColWidth="9.140625" defaultRowHeight="14.45"/>
  <cols>
    <col width="60.7109375" customWidth="1" style="44" min="1" max="1"/>
    <col width="60.7109375" customWidth="1" style="54" min="3" max="3"/>
    <col width="14.7109375" customWidth="1" style="54" min="4" max="4"/>
    <col width="30.7109375" customWidth="1" style="54" min="5" max="5"/>
    <col width="14.7109375" customWidth="1" style="54" min="6" max="7"/>
    <col width="60.7109375" customWidth="1" style="54" min="8" max="8"/>
  </cols>
  <sheetData>
    <row r="1" customFormat="1" s="53">
      <c r="A1" s="53" t="inlineStr">
        <is>
          <t>Norm</t>
        </is>
      </c>
      <c r="B1" s="53" t="inlineStr">
        <is>
          <t>M1.#</t>
        </is>
      </c>
      <c r="C1" s="53" t="inlineStr">
        <is>
          <t>Automated requirement name</t>
        </is>
      </c>
      <c r="D1" s="53" t="inlineStr">
        <is>
          <t>Present</t>
        </is>
      </c>
      <c r="E1" s="53" t="inlineStr">
        <is>
          <t>Support</t>
        </is>
      </c>
      <c r="F1" s="53" t="inlineStr">
        <is>
          <t>Hallucination</t>
        </is>
      </c>
      <c r="G1" s="53" t="inlineStr">
        <is>
          <t>Hall. Type</t>
        </is>
      </c>
      <c r="H1" s="53" t="inlineStr">
        <is>
          <t>Rationale</t>
        </is>
      </c>
    </row>
    <row r="2" ht="15" customHeight="1" s="54">
      <c r="A2" s="49" t="inlineStr">
        <is>
          <t>Help messages during the {log-on procedure} must not aid an unauthorized user, e.g., by indicating which {parts of the data} are correct or incorrect</t>
        </is>
      </c>
      <c r="B2" t="inlineStr">
        <is>
          <t>M1.1.1</t>
        </is>
      </c>
      <c r="C2" t="inlineStr">
        <is>
          <t>Unauthorized Access Prevention</t>
        </is>
      </c>
      <c r="D2" t="inlineStr">
        <is>
          <t>Yes</t>
        </is>
      </c>
      <c r="E2" t="inlineStr">
        <is>
          <t>H.1.1</t>
        </is>
      </c>
    </row>
    <row r="3" ht="15" customHeight="1" s="54">
      <c r="A3" s="49" t="inlineStr">
        <is>
          <t>A security incident must be raised if a potential attempted or successful breach of {log-on controls} is detected, and, when the risk of the incident warrants it, the account shall be temporarily restricted, plus an alert shall be sent to the {account owner}, and to the {organization's system administrators}.</t>
        </is>
      </c>
      <c r="B3" t="inlineStr">
        <is>
          <t>M1.2.1</t>
        </is>
      </c>
      <c r="C3" t="inlineStr">
        <is>
          <t>Security Event for Access Control Breach</t>
        </is>
      </c>
      <c r="D3" t="inlineStr">
        <is>
          <t>Yes</t>
        </is>
      </c>
      <c r="E3" t="inlineStr">
        <is>
          <t>H.2.1</t>
        </is>
      </c>
    </row>
    <row r="4">
      <c r="B4" t="inlineStr">
        <is>
          <t>M1.2.2</t>
        </is>
      </c>
      <c r="C4" t="inlineStr">
        <is>
          <t>User Alert for Failed Login Attempts</t>
        </is>
      </c>
      <c r="D4" t="inlineStr">
        <is>
          <t>Yes</t>
        </is>
      </c>
      <c r="E4" t="inlineStr">
        <is>
          <t>H.2.1</t>
        </is>
      </c>
    </row>
    <row r="5">
      <c r="B5" t="inlineStr">
        <is>
          <t>M1.2.3</t>
        </is>
      </c>
      <c r="C5" t="inlineStr">
        <is>
          <t>System Administrator Alert for Failed Login Attempts</t>
        </is>
      </c>
      <c r="D5" t="inlineStr">
        <is>
          <t>Yes</t>
        </is>
      </c>
      <c r="E5" t="inlineStr">
        <is>
          <t>H.2.1</t>
        </is>
      </c>
    </row>
    <row r="6">
      <c r="B6" t="inlineStr">
        <is>
          <t>M1.2.4</t>
        </is>
      </c>
      <c r="C6" t="inlineStr">
        <is>
          <t>Logging of Failed Login Attempts</t>
        </is>
      </c>
      <c r="D6" t="inlineStr">
        <is>
          <t>Yes</t>
        </is>
      </c>
      <c r="E6" t="inlineStr">
        <is>
          <t>H.2.1</t>
        </is>
      </c>
    </row>
    <row r="7" ht="15" customHeight="1" s="54">
      <c r="A7" s="49" t="inlineStr">
        <is>
          <t>Physical or logical access controls must be implemented to isolate {sensitive applications, data, or systems}.</t>
        </is>
      </c>
      <c r="B7" t="inlineStr">
        <is>
          <t>M1.3.1</t>
        </is>
      </c>
      <c r="C7" t="inlineStr">
        <is>
          <t>Access Control for Inbound Logistics Data</t>
        </is>
      </c>
      <c r="D7" t="inlineStr">
        <is>
          <t>Yes</t>
        </is>
      </c>
      <c r="E7" t="inlineStr">
        <is>
          <t>H.3.1</t>
        </is>
      </c>
    </row>
    <row r="8" ht="15" customHeight="1" s="54">
      <c r="B8" t="inlineStr">
        <is>
          <t>M1.3.2</t>
        </is>
      </c>
      <c r="C8" t="inlineStr">
        <is>
          <t>Access Control for Car Assembly Data</t>
        </is>
      </c>
      <c r="D8" t="inlineStr">
        <is>
          <t>Yes</t>
        </is>
      </c>
      <c r="E8" t="inlineStr">
        <is>
          <t>H.3.1</t>
        </is>
      </c>
    </row>
    <row r="9" ht="15" customHeight="1" s="54">
      <c r="B9" t="inlineStr">
        <is>
          <t>M1.3.3</t>
        </is>
      </c>
      <c r="C9" t="inlineStr">
        <is>
          <t>Access Control for Outbound Logistics Data</t>
        </is>
      </c>
      <c r="D9" t="inlineStr">
        <is>
          <t>Yes</t>
        </is>
      </c>
      <c r="E9" t="inlineStr">
        <is>
          <t>H.3.1</t>
        </is>
      </c>
    </row>
    <row r="10" ht="15" customHeight="1" s="54">
      <c r="B10" t="inlineStr">
        <is>
          <t>M1.3.4</t>
        </is>
      </c>
      <c r="C10" t="inlineStr">
        <is>
          <t>Access Control for System Administration</t>
        </is>
      </c>
      <c r="D10" t="inlineStr">
        <is>
          <t>No</t>
        </is>
      </c>
      <c r="F10" t="inlineStr">
        <is>
          <t>No</t>
        </is>
      </c>
    </row>
    <row r="11" ht="15" customHeight="1" s="54">
      <c r="B11" t="inlineStr">
        <is>
          <t>M1.3.5</t>
        </is>
      </c>
      <c r="C11" t="inlineStr">
        <is>
          <t>Access Control for IoT Middleware Platform</t>
        </is>
      </c>
      <c r="D11" t="inlineStr">
        <is>
          <t>No</t>
        </is>
      </c>
      <c r="F11" t="inlineStr">
        <is>
          <t>No</t>
        </is>
      </c>
    </row>
    <row r="12" ht="15" customHeight="1" s="54">
      <c r="A12" s="49" t="inlineStr">
        <is>
          <t>{Access to data} must be controlled based on {user identity, group membership, and assigned roles}</t>
        </is>
      </c>
      <c r="B12" t="inlineStr">
        <is>
          <t>M1.4.1</t>
        </is>
      </c>
      <c r="C12" t="inlineStr">
        <is>
          <t>Role-Based Access Control for Factory Data</t>
        </is>
      </c>
      <c r="D12" t="inlineStr">
        <is>
          <t>Yes</t>
        </is>
      </c>
      <c r="E12" t="inlineStr">
        <is>
          <t>H.4.1; H.4.2; H.4.3; H.4.4; H.4.5; H.4.7</t>
        </is>
      </c>
    </row>
    <row r="13">
      <c r="B13" t="inlineStr">
        <is>
          <t>M1.4.2</t>
        </is>
      </c>
      <c r="C13" t="inlineStr">
        <is>
          <t>Role-Based Access Control for Inbound Logistics Data</t>
        </is>
      </c>
      <c r="D13" t="inlineStr">
        <is>
          <t>Yes</t>
        </is>
      </c>
      <c r="E13" t="inlineStr">
        <is>
          <t>H.4.1; H.4.2; H.4.3; H.4.4; H.4.5; H.4.7</t>
        </is>
      </c>
    </row>
    <row r="14">
      <c r="B14" t="inlineStr">
        <is>
          <t>M1.4.3</t>
        </is>
      </c>
      <c r="C14" t="inlineStr">
        <is>
          <t>Role-Based Access Control for Car Assembly Data</t>
        </is>
      </c>
      <c r="D14" t="inlineStr">
        <is>
          <t>Yes</t>
        </is>
      </c>
      <c r="E14" t="inlineStr">
        <is>
          <t>H.4.1; H.4.2; H.4.3; H.4.4; H.4.5; H.4.7</t>
        </is>
      </c>
    </row>
    <row r="15">
      <c r="B15" t="inlineStr">
        <is>
          <t>M1.4.4</t>
        </is>
      </c>
      <c r="C15" t="inlineStr">
        <is>
          <t>Role-Based Access Control for Outbound Logistics Data</t>
        </is>
      </c>
      <c r="D15" t="inlineStr">
        <is>
          <t>Yes</t>
        </is>
      </c>
      <c r="E15" t="inlineStr">
        <is>
          <t>H.4.1; H.4.2; H.4.3; H.4.4; H.4.5; H.4.7</t>
        </is>
      </c>
    </row>
    <row r="16" ht="16.35" customHeight="1" s="54">
      <c r="A16" s="49" t="inlineStr">
        <is>
          <t>The {organization} shall maintain a record of {all privileges allocated}</t>
        </is>
      </c>
      <c r="B16" t="inlineStr">
        <is>
          <t>M1.5.1</t>
        </is>
      </c>
      <c r="C16" t="inlineStr">
        <is>
          <t>Employee Access Privilege Record</t>
        </is>
      </c>
      <c r="D16" t="inlineStr">
        <is>
          <t>Yes</t>
        </is>
      </c>
      <c r="E16" t="inlineStr">
        <is>
          <t>H.5.1</t>
        </is>
      </c>
    </row>
    <row r="17">
      <c r="B17" t="inlineStr">
        <is>
          <t>M1.5.2</t>
        </is>
      </c>
      <c r="C17" t="inlineStr">
        <is>
          <t>Role-Based System Access Privilege Record</t>
        </is>
      </c>
      <c r="D17" t="inlineStr">
        <is>
          <t>Yes</t>
        </is>
      </c>
      <c r="E17" t="inlineStr">
        <is>
          <t>H.5.1</t>
        </is>
      </c>
    </row>
    <row r="18" ht="15" customHeight="1" s="54">
      <c r="A18" s="44" t="inlineStr">
        <is>
          <t>The {organization} shall regularly review {users} with privileged access rights to ensure that their {duties}, {roles}, {responsibilities}, and {competence} still justify such access</t>
        </is>
      </c>
      <c r="B18" t="inlineStr">
        <is>
          <t>M1.6.1</t>
        </is>
      </c>
      <c r="C18" t="inlineStr">
        <is>
          <t>Regular Review of Privileged Access</t>
        </is>
      </c>
      <c r="D18" t="inlineStr">
        <is>
          <t>Yes</t>
        </is>
      </c>
      <c r="E18" t="inlineStr">
        <is>
          <t>H.6.1</t>
        </is>
      </c>
    </row>
    <row r="19" ht="15" customHeight="1" s="54">
      <c r="A19" s="49" t="inlineStr">
        <is>
          <t>{Connection} of {systems} to the {network} must be restricted and filtered, e.g., using firewalls.</t>
        </is>
      </c>
      <c r="B19" t="inlineStr">
        <is>
          <t>M1.7.1</t>
        </is>
      </c>
      <c r="C19" t="inlineStr">
        <is>
          <t>Restricted and Filtered Network Connection for IoT Middleware Platform</t>
        </is>
      </c>
      <c r="D19" t="inlineStr">
        <is>
          <t>No</t>
        </is>
      </c>
      <c r="F19" t="inlineStr">
        <is>
          <t>No</t>
        </is>
      </c>
    </row>
    <row r="20">
      <c r="B20" t="inlineStr">
        <is>
          <t>M1.7.2</t>
        </is>
      </c>
      <c r="C20" t="inlineStr">
        <is>
          <t>Restricted and Filtered Network Connection for Factory Systems</t>
        </is>
      </c>
      <c r="D20" t="inlineStr">
        <is>
          <t>Yes</t>
        </is>
      </c>
      <c r="E20" t="inlineStr">
        <is>
          <t>H.7.1; H.7.2</t>
        </is>
      </c>
    </row>
    <row r="21">
      <c r="B21" t="inlineStr">
        <is>
          <t>M1.7.3</t>
        </is>
      </c>
      <c r="C21" t="inlineStr">
        <is>
          <t>Restricted and Filtered Network Connection for Employee Devices</t>
        </is>
      </c>
      <c r="D21" t="inlineStr">
        <is>
          <t>Yes</t>
        </is>
      </c>
      <c r="E21" t="inlineStr">
        <is>
          <t>H.7.1; H.7.2</t>
        </is>
      </c>
    </row>
    <row r="22">
      <c r="B22" t="inlineStr">
        <is>
          <t>M1.7.4</t>
        </is>
      </c>
      <c r="C22" t="inlineStr">
        <is>
          <t>Restricted and Filtered Network Connection for External Systems</t>
        </is>
      </c>
      <c r="D22" t="inlineStr">
        <is>
          <t>Yes</t>
        </is>
      </c>
      <c r="E22" t="inlineStr">
        <is>
          <t>H.7.3</t>
        </is>
      </c>
    </row>
    <row r="23" ht="29.25" customHeight="1" s="54">
      <c r="A23" s="44" t="inlineStr">
        <is>
          <t>{Network administration channels} must be segregated from {other network traffic}</t>
        </is>
      </c>
      <c r="B23" t="inlineStr">
        <is>
          <t>M1.8.1</t>
        </is>
      </c>
      <c r="C23" t="inlineStr">
        <is>
          <t>Segregated Access Control Network</t>
        </is>
      </c>
      <c r="D23" t="inlineStr">
        <is>
          <t>Yes</t>
        </is>
      </c>
      <c r="E23" t="inlineStr">
        <is>
          <t>H.8.1</t>
        </is>
      </c>
    </row>
    <row r="24">
      <c r="B24" t="inlineStr">
        <is>
          <t>M1.8.2</t>
        </is>
      </c>
      <c r="C24" t="inlineStr">
        <is>
          <t>Isolated Inventory Management Network</t>
        </is>
      </c>
      <c r="D24" t="inlineStr">
        <is>
          <t>No</t>
        </is>
      </c>
      <c r="F24" t="inlineStr">
        <is>
          <t>Yes</t>
        </is>
      </c>
      <c r="G24" t="inlineStr">
        <is>
          <t>Architectural infeasibility</t>
        </is>
      </c>
      <c r="H24" t="inlineStr">
        <is>
          <t>Extreme measures</t>
        </is>
      </c>
    </row>
    <row r="25">
      <c r="B25" t="inlineStr">
        <is>
          <t>M1.8.3</t>
        </is>
      </c>
      <c r="C25" t="inlineStr">
        <is>
          <t>Separated Assembly Line Network</t>
        </is>
      </c>
      <c r="D25" t="inlineStr">
        <is>
          <t>No</t>
        </is>
      </c>
      <c r="F25" t="inlineStr">
        <is>
          <t>Yes</t>
        </is>
      </c>
      <c r="G25" t="inlineStr">
        <is>
          <t>Architectural infeasibility</t>
        </is>
      </c>
      <c r="H25" t="inlineStr">
        <is>
          <t>Extreme measures</t>
        </is>
      </c>
    </row>
    <row r="26">
      <c r="B26" t="inlineStr">
        <is>
          <t>M1.8.4</t>
        </is>
      </c>
      <c r="C26" t="inlineStr">
        <is>
          <t>Segregated Outbound Logistics Network</t>
        </is>
      </c>
      <c r="D26" t="inlineStr">
        <is>
          <t>No</t>
        </is>
      </c>
      <c r="F26" t="inlineStr">
        <is>
          <t>Yes</t>
        </is>
      </c>
      <c r="G26" t="inlineStr">
        <is>
          <t>Architectural infeasibility</t>
        </is>
      </c>
      <c r="H26" t="inlineStr">
        <is>
          <t>Extreme measures</t>
        </is>
      </c>
    </row>
    <row r="27" ht="15" customHeight="1" s="54">
      <c r="A27" s="49" t="inlineStr">
        <is>
          <t>Implement cryptographic measures to safeguard {information stored} on {mobile user} {endpoint devices} or {storage media} and transmitted over {networks}</t>
        </is>
      </c>
      <c r="B27" t="inlineStr">
        <is>
          <t>M1.9.1</t>
        </is>
      </c>
      <c r="C27" t="inlineStr">
        <is>
          <t>Cryptographic Protection for Inbound Logistics Data</t>
        </is>
      </c>
      <c r="D27" t="inlineStr">
        <is>
          <t>Yes</t>
        </is>
      </c>
      <c r="E27" t="inlineStr">
        <is>
          <t>H.9.1; H.9.3</t>
        </is>
      </c>
    </row>
    <row r="28">
      <c r="B28" t="inlineStr">
        <is>
          <t>M1.9.2</t>
        </is>
      </c>
      <c r="C28" t="inlineStr">
        <is>
          <t>Cryptographic Protection for Assembly Line Data</t>
        </is>
      </c>
      <c r="D28" t="inlineStr">
        <is>
          <t>Yes</t>
        </is>
      </c>
      <c r="E28" t="inlineStr">
        <is>
          <t>H.9.1; H.9.3</t>
        </is>
      </c>
    </row>
    <row r="29">
      <c r="B29" t="inlineStr">
        <is>
          <t>M1.9.3</t>
        </is>
      </c>
      <c r="C29" t="inlineStr">
        <is>
          <t>Cryptographic Protection for Outbound Logistics Data</t>
        </is>
      </c>
      <c r="D29" t="inlineStr">
        <is>
          <t>Yes</t>
        </is>
      </c>
      <c r="E29" t="inlineStr">
        <is>
          <t>H.9.1; H.9.3</t>
        </is>
      </c>
    </row>
    <row r="30" ht="15" customHeight="1" s="54">
      <c r="A30" s="49" t="inlineStr">
        <is>
          <t>Establish a comprehensive key management system, including procedures for generating and protecting {cryptographic keys} and recovering {encrypted data} in case of lost, compromised, or damaged {keys}</t>
        </is>
      </c>
      <c r="B30" t="inlineStr">
        <is>
          <t>M1.10.1</t>
        </is>
      </c>
      <c r="C30" t="inlineStr">
        <is>
          <t>Comprehensive IoT Device Key Management</t>
        </is>
      </c>
      <c r="D30" t="inlineStr">
        <is>
          <t>Yes</t>
        </is>
      </c>
      <c r="E30" t="inlineStr">
        <is>
          <t>H.10.1</t>
        </is>
      </c>
    </row>
    <row r="31">
      <c r="B31" t="inlineStr">
        <is>
          <t>M1.10.2</t>
        </is>
      </c>
      <c r="C31" t="inlineStr">
        <is>
          <t>Secure Access Control System Key Management</t>
        </is>
      </c>
      <c r="D31" t="inlineStr">
        <is>
          <t>No</t>
        </is>
      </c>
      <c r="F31" t="inlineStr">
        <is>
          <t>Yes</t>
        </is>
      </c>
      <c r="G31" t="inlineStr">
        <is>
          <t>Architectural infeasibility</t>
        </is>
      </c>
      <c r="H31" t="inlineStr">
        <is>
          <t>Absurd</t>
        </is>
      </c>
    </row>
    <row r="32">
      <c r="B32" t="inlineStr">
        <is>
          <t>M1.10.3</t>
        </is>
      </c>
      <c r="C32" t="inlineStr">
        <is>
          <t>Warehouse Inventory System Key Management</t>
        </is>
      </c>
      <c r="D32" t="inlineStr">
        <is>
          <t>No</t>
        </is>
      </c>
      <c r="F32" t="inlineStr">
        <is>
          <t>Yes</t>
        </is>
      </c>
      <c r="G32" t="inlineStr">
        <is>
          <t>Architectural infeasibility</t>
        </is>
      </c>
      <c r="H32" t="inlineStr">
        <is>
          <t>Absurd</t>
        </is>
      </c>
    </row>
    <row r="33">
      <c r="B33" t="inlineStr">
        <is>
          <t>M1.10.4</t>
        </is>
      </c>
      <c r="C33" t="inlineStr">
        <is>
          <t>Finished Car Registry Key Management</t>
        </is>
      </c>
      <c r="D33" t="inlineStr">
        <is>
          <t>No</t>
        </is>
      </c>
      <c r="F33" t="inlineStr">
        <is>
          <t>Yes</t>
        </is>
      </c>
      <c r="G33" t="inlineStr">
        <is>
          <t>Architectural infeasibility</t>
        </is>
      </c>
      <c r="H33" t="inlineStr">
        <is>
          <t>Absurd</t>
        </is>
      </c>
    </row>
    <row r="34">
      <c r="B34" t="inlineStr">
        <is>
          <t>M1.10.5</t>
        </is>
      </c>
      <c r="C34" t="inlineStr">
        <is>
          <t>Purchase Order and Transport Order Data Stores Key Management</t>
        </is>
      </c>
      <c r="D34" t="inlineStr">
        <is>
          <t>No</t>
        </is>
      </c>
      <c r="F34" t="inlineStr">
        <is>
          <t>Yes</t>
        </is>
      </c>
      <c r="G34" t="inlineStr">
        <is>
          <t>Architectural infeasibility</t>
        </is>
      </c>
      <c r="H34" t="inlineStr">
        <is>
          <t>Absurd</t>
        </is>
      </c>
    </row>
    <row r="35" ht="14.45" customHeight="1" s="54">
      <c r="B35" s="16" t="inlineStr">
        <is>
          <t>Count</t>
        </is>
      </c>
      <c r="C35" s="16" t="inlineStr">
        <is>
          <t>No</t>
        </is>
      </c>
      <c r="D35" s="16">
        <f>COUNTIF(D2:D34,"No")</f>
        <v/>
      </c>
      <c r="E35" s="16" t="inlineStr">
        <is>
          <t>Hallucinations</t>
        </is>
      </c>
      <c r="F35" s="16">
        <f>COUNTIF(F2:F34,"Yes")</f>
        <v/>
      </c>
    </row>
    <row r="36" ht="14.45" customHeight="1" s="54">
      <c r="B36" s="47" t="n"/>
      <c r="C36" s="16" t="inlineStr">
        <is>
          <t>Yes</t>
        </is>
      </c>
      <c r="D36" s="16">
        <f>COUNTIF(D2:D34,"Yes")</f>
        <v/>
      </c>
      <c r="E36" s="16" t="inlineStr">
        <is>
          <t>Partial hallucinations</t>
        </is>
      </c>
      <c r="F36">
        <f>COUNTIFS(D:D,"Partial",F:F,"Yes")</f>
        <v/>
      </c>
    </row>
    <row r="37" ht="14.45" customHeight="1" s="54">
      <c r="B37" s="47" t="n"/>
      <c r="C37" s="16" t="inlineStr">
        <is>
          <t>Partial</t>
        </is>
      </c>
      <c r="D37" s="16">
        <f>COUNTIF(D2:D34,"Partial")</f>
        <v/>
      </c>
      <c r="E37" s="10" t="inlineStr">
        <is>
          <t>Template drift</t>
        </is>
      </c>
      <c r="F37">
        <f>COUNTIF($G$2:$G$34,E37)</f>
        <v/>
      </c>
    </row>
    <row r="38" ht="15" customHeight="1" s="54">
      <c r="E38" s="10" t="inlineStr">
        <is>
          <t>Contextual misfit</t>
        </is>
      </c>
      <c r="F38">
        <f>COUNTIF($G$2:$G$34,E38)</f>
        <v/>
      </c>
    </row>
    <row r="39" ht="15" customHeight="1" s="54">
      <c r="E39" s="10" t="inlineStr">
        <is>
          <t>Scope misalignment</t>
        </is>
      </c>
      <c r="F39">
        <f>COUNTIF($G$2:$G$34,E39)</f>
        <v/>
      </c>
    </row>
    <row r="40" ht="15" customHeight="1" s="54">
      <c r="E40" s="10" t="inlineStr">
        <is>
          <t>Responsibility leakage</t>
        </is>
      </c>
      <c r="F40">
        <f>COUNTIF($G$2:$G$34,E40)</f>
        <v/>
      </c>
    </row>
    <row r="41" ht="15" customHeight="1" s="54">
      <c r="E41" s="10" t="inlineStr">
        <is>
          <t>Architectural infeasibility</t>
        </is>
      </c>
      <c r="F41">
        <f>COUNTIF($G$2:$G$34,E41)</f>
        <v/>
      </c>
    </row>
    <row r="42" ht="15" customHeight="1" s="54"/>
    <row r="43" ht="15" customHeight="1" s="54">
      <c r="E43" s="16" t="inlineStr">
        <is>
          <t>Discoveries</t>
        </is>
      </c>
      <c r="F43" s="16">
        <f>COUNTIF(F2:F34,"No")</f>
        <v/>
      </c>
    </row>
    <row r="73">
      <c r="AA73" t="inlineStr">
        <is>
          <t>G0_ii.10.2</t>
        </is>
      </c>
    </row>
  </sheetData>
  <mergeCells count="8">
    <mergeCell ref="A23:A26"/>
    <mergeCell ref="A30:A34"/>
    <mergeCell ref="A12:A15"/>
    <mergeCell ref="A3:A6"/>
    <mergeCell ref="A16:A17"/>
    <mergeCell ref="A7:A11"/>
    <mergeCell ref="A19:A22"/>
    <mergeCell ref="A27:A29"/>
  </mergeCells>
  <conditionalFormatting sqref="D2:D34">
    <cfRule type="containsText" priority="4" operator="containsText" dxfId="6" text="Partial">
      <formula>NOT(ISERROR(SEARCH("Partial",D2)))</formula>
    </cfRule>
    <cfRule type="containsText" priority="5" operator="containsText" dxfId="0" text="No">
      <formula>NOT(ISERROR(SEARCH("No",D2)))</formula>
    </cfRule>
    <cfRule type="containsText" priority="6" operator="containsText" dxfId="1" text="Yes">
      <formula>NOT(ISERROR(SEARCH("Yes",D2)))</formula>
    </cfRule>
  </conditionalFormatting>
  <conditionalFormatting sqref="F2:F34">
    <cfRule type="containsText" priority="2" operator="containsText" dxfId="1" text="No">
      <formula>NOT(ISERROR(SEARCH("No",F2)))</formula>
    </cfRule>
    <cfRule type="containsText" priority="3" operator="containsText" dxfId="0" text="Yes">
      <formula>NOT(ISERROR(SEARCH("Yes",F2)))</formula>
    </cfRule>
  </conditionalFormatting>
  <conditionalFormatting sqref="G2:G108">
    <cfRule type="containsText" priority="7" operator="containsText" dxfId="1" text="No">
      <formula>NOT(ISERROR(SEARCH("No",G2)))</formula>
    </cfRule>
    <cfRule type="containsText" priority="8" operator="containsText" dxfId="0" text="Yes">
      <formula>NOT(ISERROR(SEARCH("Yes",G2)))</formula>
    </cfRule>
  </conditionalFormatting>
  <dataValidations count="3">
    <dataValidation sqref="D2:D34" showDropDown="0" showInputMessage="1" showErrorMessage="1" allowBlank="1" type="list" operator="equal">
      <formula1>"Yes,No,Partial"</formula1>
      <formula2>0</formula2>
    </dataValidation>
    <dataValidation sqref="F2:F34" showDropDown="0" showInputMessage="1" showErrorMessage="1" allowBlank="1" type="list" operator="equal">
      <formula1>"Yes,No"</formula1>
      <formula2>0</formula2>
    </dataValidation>
    <dataValidation sqref="G2:G108" showDropDown="0" showInputMessage="1" showErrorMessage="1" allowBlank="1" operator="equal">
      <formula1>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A73"/>
  <sheetViews>
    <sheetView zoomScale="85" zoomScaleNormal="85" workbookViewId="0">
      <selection activeCell="E41" sqref="E41:F41"/>
    </sheetView>
  </sheetViews>
  <sheetFormatPr baseColWidth="8" defaultColWidth="9.140625" defaultRowHeight="14.45"/>
  <cols>
    <col width="60.7109375" customWidth="1" style="44" min="1" max="1"/>
    <col width="60.7109375" customWidth="1" style="54" min="3" max="3"/>
    <col width="14.7109375" customWidth="1" style="54" min="4" max="4"/>
    <col width="30.7109375" customWidth="1" style="54" min="5" max="5"/>
    <col width="14.7109375" customWidth="1" style="54" min="6" max="7"/>
    <col width="60.7109375" customWidth="1" style="54" min="8" max="8"/>
  </cols>
  <sheetData>
    <row r="1" customFormat="1" s="53">
      <c r="A1" s="53" t="inlineStr">
        <is>
          <t>Norm</t>
        </is>
      </c>
      <c r="B1" s="53" t="inlineStr">
        <is>
          <t>M2.#</t>
        </is>
      </c>
      <c r="C1" s="53" t="inlineStr">
        <is>
          <t>Automated requirement name</t>
        </is>
      </c>
      <c r="D1" s="53" t="inlineStr">
        <is>
          <t>Present</t>
        </is>
      </c>
      <c r="E1" s="53" t="inlineStr">
        <is>
          <t>Support</t>
        </is>
      </c>
      <c r="F1" s="53" t="inlineStr">
        <is>
          <t>Hallucination</t>
        </is>
      </c>
      <c r="G1" s="53" t="inlineStr">
        <is>
          <t>Hall. Type</t>
        </is>
      </c>
      <c r="H1" s="53" t="inlineStr">
        <is>
          <t>Rationale</t>
        </is>
      </c>
    </row>
    <row r="2" ht="15" customHeight="1" s="54">
      <c r="A2" s="49" t="inlineStr">
        <is>
          <t>Help messages during the {log-on procedure} must not aid an unauthorized user, e.g., by indicating which {parts of the data} are correct or incorrect</t>
        </is>
      </c>
      <c r="B2" t="inlineStr">
        <is>
          <t>M2.1.1</t>
        </is>
      </c>
      <c r="C2" t="inlineStr">
        <is>
          <t>Secure Employee Log-on Procedure</t>
        </is>
      </c>
      <c r="D2" t="inlineStr">
        <is>
          <t>Yes</t>
        </is>
      </c>
      <c r="E2" t="inlineStr">
        <is>
          <t>H.1.1</t>
        </is>
      </c>
    </row>
    <row r="3" ht="15" customHeight="1" s="54">
      <c r="B3" t="inlineStr">
        <is>
          <t>M2.1.2</t>
        </is>
      </c>
      <c r="C3" t="inlineStr">
        <is>
          <t>Secure System Admin and Operations Manager Log-on Procedure</t>
        </is>
      </c>
      <c r="D3" t="inlineStr">
        <is>
          <t>Yes</t>
        </is>
      </c>
      <c r="E3" t="inlineStr">
        <is>
          <t>H.1.1</t>
        </is>
      </c>
    </row>
    <row r="4" ht="15" customHeight="1" s="54">
      <c r="B4" t="inlineStr">
        <is>
          <t>M2.1.3</t>
        </is>
      </c>
      <c r="C4" t="inlineStr">
        <is>
          <t>Secure Security Manager Log-on Procedure</t>
        </is>
      </c>
      <c r="D4" t="inlineStr">
        <is>
          <t>Yes</t>
        </is>
      </c>
      <c r="E4" t="inlineStr">
        <is>
          <t>H.1.1</t>
        </is>
      </c>
    </row>
    <row r="5" ht="15" customHeight="1" s="54">
      <c r="A5" s="49" t="inlineStr">
        <is>
          <t>A security incident must be raised if a potential attempted or successful breach of {log-on controls} is detected, and, when the risk of the incident warrants it, the account shall be temporarily restricted, plus an alert shall be sent to the {account owner}, and to the {organization's system administrators}.</t>
        </is>
      </c>
      <c r="B5" t="inlineStr">
        <is>
          <t>M2.2.1</t>
        </is>
      </c>
      <c r="C5" t="inlineStr">
        <is>
          <t>Factory Access Control Breach Notification</t>
        </is>
      </c>
      <c r="D5" t="inlineStr">
        <is>
          <t>No</t>
        </is>
      </c>
      <c r="F5" t="inlineStr">
        <is>
          <t>Yes</t>
        </is>
      </c>
      <c r="G5" t="inlineStr">
        <is>
          <t>Architectural infeasibility</t>
        </is>
      </c>
      <c r="H5" t="inlineStr">
        <is>
          <t>Absurd; unachievable</t>
        </is>
      </c>
    </row>
    <row r="6">
      <c r="B6" t="inlineStr">
        <is>
          <t>M2.2.2</t>
        </is>
      </c>
      <c r="C6" t="inlineStr">
        <is>
          <t>Factory System Unauthorized Access Notification</t>
        </is>
      </c>
      <c r="D6" t="inlineStr">
        <is>
          <t>No</t>
        </is>
      </c>
      <c r="F6" t="inlineStr">
        <is>
          <t>Yes</t>
        </is>
      </c>
      <c r="G6" t="inlineStr">
        <is>
          <t>Architectural infeasibility</t>
        </is>
      </c>
      <c r="H6" t="inlineStr">
        <is>
          <t>Absurd; unachievable</t>
        </is>
      </c>
    </row>
    <row r="7">
      <c r="B7" t="inlineStr">
        <is>
          <t>M2.2.3</t>
        </is>
      </c>
      <c r="C7" t="inlineStr">
        <is>
          <t>Warehouse Inventory Access Breach Notification</t>
        </is>
      </c>
      <c r="D7" t="inlineStr">
        <is>
          <t>No</t>
        </is>
      </c>
      <c r="F7" t="inlineStr">
        <is>
          <t>Yes</t>
        </is>
      </c>
      <c r="G7" t="inlineStr">
        <is>
          <t>Architectural infeasibility</t>
        </is>
      </c>
      <c r="H7" t="inlineStr">
        <is>
          <t>Absurd; unachievable</t>
        </is>
      </c>
    </row>
    <row r="8">
      <c r="B8" t="inlineStr">
        <is>
          <t>M2.2.4</t>
        </is>
      </c>
      <c r="C8" t="inlineStr">
        <is>
          <t>Finished Car Registry Access Breach Notification</t>
        </is>
      </c>
      <c r="D8" t="inlineStr">
        <is>
          <t>No</t>
        </is>
      </c>
      <c r="F8" t="inlineStr">
        <is>
          <t>Yes</t>
        </is>
      </c>
      <c r="G8" t="inlineStr">
        <is>
          <t>Architectural infeasibility</t>
        </is>
      </c>
      <c r="H8" t="inlineStr">
        <is>
          <t>Absurd; unachievable</t>
        </is>
      </c>
    </row>
    <row r="9">
      <c r="B9" t="inlineStr">
        <is>
          <t>M2.2.5</t>
        </is>
      </c>
      <c r="C9" t="inlineStr">
        <is>
          <t>Transport Order Data Store Access Breach Notification</t>
        </is>
      </c>
      <c r="D9" t="inlineStr">
        <is>
          <t>No</t>
        </is>
      </c>
      <c r="F9" t="inlineStr">
        <is>
          <t>Yes</t>
        </is>
      </c>
      <c r="G9" t="inlineStr">
        <is>
          <t>Architectural infeasibility</t>
        </is>
      </c>
      <c r="H9" t="inlineStr">
        <is>
          <t>Absurd; unachievable</t>
        </is>
      </c>
    </row>
    <row r="10" ht="15" customHeight="1" s="54">
      <c r="A10" s="49" t="inlineStr">
        <is>
          <t>Physical or logical access controls must be implemented to isolate {sensitive applications, data, or systems}.</t>
        </is>
      </c>
      <c r="B10" t="inlineStr">
        <is>
          <t>M2.3.1</t>
        </is>
      </c>
      <c r="C10" t="inlineStr">
        <is>
          <t>Inbound Logistics Access Control</t>
        </is>
      </c>
      <c r="D10" t="inlineStr">
        <is>
          <t>Yes</t>
        </is>
      </c>
      <c r="E10" t="inlineStr">
        <is>
          <t>H.3.1</t>
        </is>
      </c>
    </row>
    <row r="11" ht="15" customHeight="1" s="54">
      <c r="B11" t="inlineStr">
        <is>
          <t>M2.3.2</t>
        </is>
      </c>
      <c r="C11" t="inlineStr">
        <is>
          <t>Car Assembly Access Control</t>
        </is>
      </c>
      <c r="D11" t="inlineStr">
        <is>
          <t>Yes</t>
        </is>
      </c>
      <c r="E11" t="inlineStr">
        <is>
          <t>H.3.1</t>
        </is>
      </c>
    </row>
    <row r="12" ht="15" customHeight="1" s="54">
      <c r="B12" t="inlineStr">
        <is>
          <t>M2.3.3</t>
        </is>
      </c>
      <c r="C12" t="inlineStr">
        <is>
          <t>Outbound Logistics Access Control</t>
        </is>
      </c>
      <c r="D12" t="inlineStr">
        <is>
          <t>Yes</t>
        </is>
      </c>
      <c r="E12" t="inlineStr">
        <is>
          <t>H.3.1</t>
        </is>
      </c>
    </row>
    <row r="13" ht="15" customHeight="1" s="54">
      <c r="A13" s="49" t="inlineStr">
        <is>
          <t>{Access to data} must be controlled based on {user identity, group membership, and assigned roles}</t>
        </is>
      </c>
      <c r="B13" t="inlineStr">
        <is>
          <t>M2.4.1</t>
        </is>
      </c>
      <c r="C13" t="inlineStr">
        <is>
          <t>User-Based Access Control for Factory Data</t>
        </is>
      </c>
      <c r="D13" t="inlineStr">
        <is>
          <t>Yes</t>
        </is>
      </c>
      <c r="E13" t="inlineStr">
        <is>
          <t>H.4.1; H.4.2; H.4.3; H.4.4; H.4.5; H.4.7</t>
        </is>
      </c>
    </row>
    <row r="14">
      <c r="B14" t="inlineStr">
        <is>
          <t>M2.4.2</t>
        </is>
      </c>
      <c r="C14" t="inlineStr">
        <is>
          <t>Role-Based Access Control for System Administration</t>
        </is>
      </c>
      <c r="D14" t="inlineStr">
        <is>
          <t>Yes</t>
        </is>
      </c>
      <c r="E14" t="inlineStr">
        <is>
          <t>H.4.8</t>
        </is>
      </c>
    </row>
    <row r="15">
      <c r="B15" t="inlineStr">
        <is>
          <t>M2.4.3</t>
        </is>
      </c>
      <c r="C15" t="inlineStr">
        <is>
          <t>Access Control for Logistic Subprocesses</t>
        </is>
      </c>
      <c r="D15" t="inlineStr">
        <is>
          <t>Yes</t>
        </is>
      </c>
      <c r="E15" t="inlineStr">
        <is>
          <t>H.4.1; H.4.2; H.4.3; H.4.4; H.4.5</t>
        </is>
      </c>
    </row>
    <row r="16" ht="16.35" customHeight="1" s="54">
      <c r="A16" s="49" t="inlineStr">
        <is>
          <t>The {organization} shall maintain a record of {all privileges allocated}</t>
        </is>
      </c>
      <c r="B16" t="inlineStr">
        <is>
          <t>M2.5.1</t>
        </is>
      </c>
      <c r="C16" t="inlineStr">
        <is>
          <t>Access Privilege Record Keeping</t>
        </is>
      </c>
      <c r="D16" t="inlineStr">
        <is>
          <t>Yes</t>
        </is>
      </c>
      <c r="E16" t="inlineStr">
        <is>
          <t>H.5.1</t>
        </is>
      </c>
    </row>
    <row r="17">
      <c r="B17" t="inlineStr">
        <is>
          <t>M2.5.2</t>
        </is>
      </c>
      <c r="C17" t="inlineStr">
        <is>
          <t>System Administration Privilege Record Keeping</t>
        </is>
      </c>
      <c r="D17" t="inlineStr">
        <is>
          <t>Yes</t>
        </is>
      </c>
      <c r="E17" t="inlineStr">
        <is>
          <t>H.5.1</t>
        </is>
      </c>
    </row>
    <row r="18">
      <c r="B18" t="inlineStr">
        <is>
          <t>M2.5.3</t>
        </is>
      </c>
      <c r="C18" t="inlineStr">
        <is>
          <t>Operations Management Privilege Record Keeping</t>
        </is>
      </c>
      <c r="D18" t="inlineStr">
        <is>
          <t>Yes</t>
        </is>
      </c>
      <c r="E18" t="inlineStr">
        <is>
          <t>H.5.1</t>
        </is>
      </c>
    </row>
    <row r="19">
      <c r="B19" t="inlineStr">
        <is>
          <t>M2.5.4</t>
        </is>
      </c>
      <c r="C19" t="inlineStr">
        <is>
          <t>Security Management Privilege Record Keeping</t>
        </is>
      </c>
      <c r="D19" t="inlineStr">
        <is>
          <t>Yes</t>
        </is>
      </c>
      <c r="E19" t="inlineStr">
        <is>
          <t>H.5.1</t>
        </is>
      </c>
    </row>
    <row r="20" ht="15" customHeight="1" s="54">
      <c r="A20" s="44" t="inlineStr">
        <is>
          <t>The {organization} shall regularly review {users} with privileged access rights to ensure that their {duties}, {roles}, {responsibilities}, and {competence} still justify such access</t>
        </is>
      </c>
      <c r="B20" t="inlineStr">
        <is>
          <t>M2.6.1</t>
        </is>
      </c>
      <c r="C20" t="inlineStr">
        <is>
          <t>Regular Review of Privileged Access Rights for Factory Employees</t>
        </is>
      </c>
      <c r="D20" t="inlineStr">
        <is>
          <t>Yes</t>
        </is>
      </c>
      <c r="E20" t="inlineStr">
        <is>
          <t>H.6.1</t>
        </is>
      </c>
    </row>
    <row r="21">
      <c r="B21" t="inlineStr">
        <is>
          <t>M2.6.2</t>
        </is>
      </c>
      <c r="C21" t="inlineStr">
        <is>
          <t>Regular Review of Privileged Access Rights for System Users</t>
        </is>
      </c>
      <c r="D21" t="inlineStr">
        <is>
          <t>Yes</t>
        </is>
      </c>
      <c r="E21" t="inlineStr">
        <is>
          <t>H.6.1</t>
        </is>
      </c>
    </row>
    <row r="22" ht="15" customHeight="1" s="54">
      <c r="A22" s="49" t="inlineStr">
        <is>
          <t>{Connection} of {systems} to the {network} must be restricted and filtered, e.g., using firewalls.</t>
        </is>
      </c>
      <c r="B22" t="inlineStr">
        <is>
          <t>M2.7.1</t>
        </is>
      </c>
      <c r="C22" t="inlineStr">
        <is>
          <t>Restricted_and_Filtered_Connection_of_Factory_Systems_to_the_Network</t>
        </is>
      </c>
      <c r="D22" t="inlineStr">
        <is>
          <t>Yes</t>
        </is>
      </c>
      <c r="E22" t="inlineStr">
        <is>
          <t>H.7.1; H.7.2</t>
        </is>
      </c>
    </row>
    <row r="23">
      <c r="B23" t="inlineStr">
        <is>
          <t>M2.7.2</t>
        </is>
      </c>
      <c r="C23" t="inlineStr">
        <is>
          <t>Restricted_and_Filtered_Connection_of_IoT_Middleware_Platform_to_the_Network</t>
        </is>
      </c>
      <c r="D23" t="inlineStr">
        <is>
          <t>No</t>
        </is>
      </c>
      <c r="F23" t="inlineStr">
        <is>
          <t>No</t>
        </is>
      </c>
    </row>
    <row r="24">
      <c r="B24" t="inlineStr">
        <is>
          <t>M2.7.3</t>
        </is>
      </c>
      <c r="C24" t="inlineStr">
        <is>
          <t>Restricted_and_Filtered_Connection_of_Factorys_Logistics_Terminal_to_the_Network</t>
        </is>
      </c>
      <c r="D24" t="inlineStr">
        <is>
          <t>Yes</t>
        </is>
      </c>
      <c r="E24" t="inlineStr">
        <is>
          <t>H.7.1; H.7.2</t>
        </is>
      </c>
    </row>
    <row r="25">
      <c r="B25" t="inlineStr">
        <is>
          <t>M2.7.4</t>
        </is>
      </c>
      <c r="C25" t="inlineStr">
        <is>
          <t>Restricted_and_Filtered_Connection_of_Factorys_Employee_Systems_to_the_Network</t>
        </is>
      </c>
      <c r="D25" t="inlineStr">
        <is>
          <t>Yes</t>
        </is>
      </c>
      <c r="E25" t="inlineStr">
        <is>
          <t>H.7.1; H.7.2</t>
        </is>
      </c>
    </row>
    <row r="26" ht="29.25" customHeight="1" s="54">
      <c r="A26" s="44" t="inlineStr">
        <is>
          <t>{Network administration channels} must be segregated from {other network traffic}</t>
        </is>
      </c>
      <c r="B26" t="inlineStr">
        <is>
          <t>M2.8.1</t>
        </is>
      </c>
      <c r="C26" t="inlineStr">
        <is>
          <t>Factory Control Network Segregation</t>
        </is>
      </c>
      <c r="D26" t="inlineStr">
        <is>
          <t>Yes</t>
        </is>
      </c>
      <c r="E26" t="inlineStr">
        <is>
          <t>H.8.1</t>
        </is>
      </c>
    </row>
    <row r="27">
      <c r="B27" t="inlineStr">
        <is>
          <t>M2.8.2</t>
        </is>
      </c>
      <c r="C27" t="inlineStr">
        <is>
          <t>Supply Chain Management Network Isolation</t>
        </is>
      </c>
      <c r="D27" t="inlineStr">
        <is>
          <t>No</t>
        </is>
      </c>
      <c r="F27" t="inlineStr">
        <is>
          <t>Yes</t>
        </is>
      </c>
      <c r="G27" t="inlineStr">
        <is>
          <t>Architectural infeasibility</t>
        </is>
      </c>
      <c r="H27" t="inlineStr">
        <is>
          <t>Extreme measures</t>
        </is>
      </c>
    </row>
    <row r="28">
      <c r="B28" t="inlineStr">
        <is>
          <t>M2.8.3</t>
        </is>
      </c>
      <c r="C28" t="inlineStr">
        <is>
          <t>Warehouse Management Network Separation</t>
        </is>
      </c>
      <c r="D28" t="inlineStr">
        <is>
          <t>No</t>
        </is>
      </c>
      <c r="F28" t="inlineStr">
        <is>
          <t>Yes</t>
        </is>
      </c>
      <c r="G28" t="inlineStr">
        <is>
          <t>Architectural infeasibility</t>
        </is>
      </c>
      <c r="H28" t="inlineStr">
        <is>
          <t>Extreme measures</t>
        </is>
      </c>
    </row>
    <row r="29">
      <c r="B29" t="inlineStr">
        <is>
          <t>M2.8.4</t>
        </is>
      </c>
      <c r="C29" t="inlineStr">
        <is>
          <t>Assembly Line Management Network Segregation</t>
        </is>
      </c>
      <c r="D29" t="inlineStr">
        <is>
          <t>No</t>
        </is>
      </c>
      <c r="F29" t="inlineStr">
        <is>
          <t>Yes</t>
        </is>
      </c>
      <c r="G29" t="inlineStr">
        <is>
          <t>Architectural infeasibility</t>
        </is>
      </c>
      <c r="H29" t="inlineStr">
        <is>
          <t>Extreme measures</t>
        </is>
      </c>
    </row>
    <row r="30">
      <c r="B30" t="inlineStr">
        <is>
          <t>M2.8.5</t>
        </is>
      </c>
      <c r="C30" t="inlineStr">
        <is>
          <t>Quality Control Network Isolation</t>
        </is>
      </c>
      <c r="D30" t="inlineStr">
        <is>
          <t>No</t>
        </is>
      </c>
      <c r="F30" t="inlineStr">
        <is>
          <t>Yes</t>
        </is>
      </c>
      <c r="G30" t="inlineStr">
        <is>
          <t>Architectural infeasibility</t>
        </is>
      </c>
      <c r="H30" t="inlineStr">
        <is>
          <t>Extreme measures</t>
        </is>
      </c>
    </row>
    <row r="31" ht="15" customHeight="1" s="54">
      <c r="A31" s="49" t="inlineStr">
        <is>
          <t>Implement cryptographic measures to safeguard {information stored} on {mobile user} {endpoint devices} or {storage media} and transmitted over {networks}</t>
        </is>
      </c>
      <c r="B31" t="inlineStr">
        <is>
          <t>M2.9.1</t>
        </is>
      </c>
      <c r="C31" t="inlineStr">
        <is>
          <t>Cryptographic Protection for In-Transit Data</t>
        </is>
      </c>
      <c r="D31" t="inlineStr">
        <is>
          <t>Yes</t>
        </is>
      </c>
      <c r="E31" t="inlineStr">
        <is>
          <t>H.9.3</t>
        </is>
      </c>
    </row>
    <row r="32">
      <c r="B32" t="inlineStr">
        <is>
          <t>M2.9.2</t>
        </is>
      </c>
      <c r="C32" t="inlineStr">
        <is>
          <t>Cryptographic Protection for Stored Data on Endpoint Devices</t>
        </is>
      </c>
      <c r="D32" t="inlineStr">
        <is>
          <t>No</t>
        </is>
      </c>
      <c r="F32" t="inlineStr">
        <is>
          <t>No</t>
        </is>
      </c>
    </row>
    <row r="33">
      <c r="B33" t="inlineStr">
        <is>
          <t>M2.9.3</t>
        </is>
      </c>
      <c r="C33" t="inlineStr">
        <is>
          <t>Cryptographic Protection for Data Stored in the System's Datastores</t>
        </is>
      </c>
      <c r="D33" t="inlineStr">
        <is>
          <t>Yes</t>
        </is>
      </c>
      <c r="E33" t="inlineStr">
        <is>
          <t>H.9.1</t>
        </is>
      </c>
    </row>
    <row r="34" ht="15" customHeight="1" s="54">
      <c r="A34" s="49" t="inlineStr">
        <is>
          <t>Establish a comprehensive key management system, including procedures for generating and protecting {cryptographic keys} and recovering {encrypted data} in case of lost, compromised, or damaged {keys}</t>
        </is>
      </c>
      <c r="B34" t="inlineStr">
        <is>
          <t>M2.10.1</t>
        </is>
      </c>
      <c r="C34" t="inlineStr">
        <is>
          <t>Secure Key Management for AIDC Technologies</t>
        </is>
      </c>
      <c r="D34" t="inlineStr">
        <is>
          <t>Yes</t>
        </is>
      </c>
      <c r="E34" t="inlineStr">
        <is>
          <t>H.10.1</t>
        </is>
      </c>
    </row>
    <row r="35">
      <c r="B35" t="inlineStr">
        <is>
          <t>M2.10.2</t>
        </is>
      </c>
      <c r="C35" t="inlineStr">
        <is>
          <t>Secure Key Management for Warehouse Inventory System</t>
        </is>
      </c>
      <c r="D35" t="inlineStr">
        <is>
          <t>No</t>
        </is>
      </c>
      <c r="F35" t="inlineStr">
        <is>
          <t>Yes</t>
        </is>
      </c>
      <c r="G35" t="inlineStr">
        <is>
          <t>Architectural infeasibility</t>
        </is>
      </c>
      <c r="H35" t="inlineStr">
        <is>
          <t>Absurd</t>
        </is>
      </c>
    </row>
    <row r="36">
      <c r="B36" t="inlineStr">
        <is>
          <t>M2.10.3</t>
        </is>
      </c>
      <c r="C36" t="inlineStr">
        <is>
          <t>Secure Key Management for Finished Car Registry</t>
        </is>
      </c>
      <c r="D36" t="inlineStr">
        <is>
          <t>No</t>
        </is>
      </c>
      <c r="F36" t="inlineStr">
        <is>
          <t>Yes</t>
        </is>
      </c>
      <c r="G36" t="inlineStr">
        <is>
          <t>Architectural infeasibility</t>
        </is>
      </c>
      <c r="H36" t="inlineStr">
        <is>
          <t>Absurd</t>
        </is>
      </c>
    </row>
    <row r="37">
      <c r="B37" t="inlineStr">
        <is>
          <t>M2.10.4</t>
        </is>
      </c>
      <c r="C37" t="inlineStr">
        <is>
          <t>Secure Key Management for Transport Order Data Store</t>
        </is>
      </c>
      <c r="D37" t="inlineStr">
        <is>
          <t>No</t>
        </is>
      </c>
      <c r="F37" t="inlineStr">
        <is>
          <t>Yes</t>
        </is>
      </c>
      <c r="G37" t="inlineStr">
        <is>
          <t>Architectural infeasibility</t>
        </is>
      </c>
      <c r="H37" t="inlineStr">
        <is>
          <t>Absurd</t>
        </is>
      </c>
    </row>
    <row r="38">
      <c r="B38" t="inlineStr">
        <is>
          <t>M2.10.5</t>
        </is>
      </c>
      <c r="C38" t="inlineStr">
        <is>
          <t>Secure Key Management for IoT Middleware Platforms</t>
        </is>
      </c>
      <c r="D38" t="inlineStr">
        <is>
          <t>No</t>
        </is>
      </c>
      <c r="F38" t="inlineStr">
        <is>
          <t>Yes</t>
        </is>
      </c>
      <c r="G38" t="inlineStr">
        <is>
          <t>Architectural infeasibility</t>
        </is>
      </c>
      <c r="H38" t="inlineStr">
        <is>
          <t>Absurd</t>
        </is>
      </c>
    </row>
    <row r="39">
      <c r="B39" t="inlineStr">
        <is>
          <t>M2.10.6</t>
        </is>
      </c>
      <c r="C39" t="inlineStr">
        <is>
          <t>Secure Key Management for User Management System</t>
        </is>
      </c>
      <c r="D39" t="inlineStr">
        <is>
          <t>Yes</t>
        </is>
      </c>
      <c r="E39" t="inlineStr">
        <is>
          <t>H.10.2</t>
        </is>
      </c>
    </row>
    <row r="40" ht="14.45" customHeight="1" s="54">
      <c r="B40" s="16" t="inlineStr">
        <is>
          <t>Count</t>
        </is>
      </c>
      <c r="C40" s="16" t="inlineStr">
        <is>
          <t>No</t>
        </is>
      </c>
      <c r="D40" s="16">
        <f>COUNTIF(D2:D39,"No")</f>
        <v/>
      </c>
      <c r="E40" s="16" t="inlineStr">
        <is>
          <t>Hallucinations</t>
        </is>
      </c>
      <c r="F40" s="16">
        <f>COUNTIF(F2:F39,"Yes")</f>
        <v/>
      </c>
    </row>
    <row r="41" ht="14.45" customHeight="1" s="54">
      <c r="B41" s="47" t="n"/>
      <c r="C41" s="16" t="inlineStr">
        <is>
          <t>Yes</t>
        </is>
      </c>
      <c r="D41" s="16">
        <f>COUNTIF(D2:D39,"Yes")</f>
        <v/>
      </c>
      <c r="E41" s="16" t="inlineStr">
        <is>
          <t>Partial hallucinations</t>
        </is>
      </c>
      <c r="F41">
        <f>COUNTIFS(D:D,"Partial",F:F,"Yes")</f>
        <v/>
      </c>
    </row>
    <row r="42" ht="14.45" customHeight="1" s="54">
      <c r="B42" s="47" t="n"/>
      <c r="C42" s="16" t="inlineStr">
        <is>
          <t>Partial</t>
        </is>
      </c>
      <c r="D42" s="16">
        <f>COUNTIF(D2:D39,"Partial")</f>
        <v/>
      </c>
      <c r="E42" s="10" t="inlineStr">
        <is>
          <t>Template drift</t>
        </is>
      </c>
      <c r="F42">
        <f>COUNTIF($G$2:$G$39,E42)</f>
        <v/>
      </c>
    </row>
    <row r="43" ht="15" customHeight="1" s="54">
      <c r="E43" s="10" t="inlineStr">
        <is>
          <t>Contextual misfit</t>
        </is>
      </c>
      <c r="F43">
        <f>COUNTIF($G$2:$G$39,E43)</f>
        <v/>
      </c>
    </row>
    <row r="44" ht="15" customHeight="1" s="54">
      <c r="E44" s="10" t="inlineStr">
        <is>
          <t>Scope misalignment</t>
        </is>
      </c>
      <c r="F44">
        <f>COUNTIF($G$2:$G$39,E44)</f>
        <v/>
      </c>
    </row>
    <row r="45" ht="15" customHeight="1" s="54">
      <c r="E45" s="10" t="inlineStr">
        <is>
          <t>Responsibility leakage</t>
        </is>
      </c>
      <c r="F45">
        <f>COUNTIF($G$2:$G$39,E45)</f>
        <v/>
      </c>
    </row>
    <row r="46" ht="15" customHeight="1" s="54">
      <c r="E46" s="10" t="inlineStr">
        <is>
          <t>Architectural infeasibility</t>
        </is>
      </c>
      <c r="F46">
        <f>COUNTIF($G$2:$G$39,E46)</f>
        <v/>
      </c>
    </row>
    <row r="47" ht="15" customHeight="1" s="54"/>
    <row r="48" ht="15" customHeight="1" s="54">
      <c r="E48" s="16" t="inlineStr">
        <is>
          <t>Discoveries</t>
        </is>
      </c>
      <c r="F48" s="16">
        <f>COUNTIF(F2:F39,"No")</f>
        <v/>
      </c>
    </row>
    <row r="73">
      <c r="AA73" t="inlineStr">
        <is>
          <t>G0_ii.10.2</t>
        </is>
      </c>
    </row>
  </sheetData>
  <mergeCells count="10">
    <mergeCell ref="A13:A15"/>
    <mergeCell ref="A5:A9"/>
    <mergeCell ref="A2:A4"/>
    <mergeCell ref="A10:A12"/>
    <mergeCell ref="A34:A39"/>
    <mergeCell ref="A20:A21"/>
    <mergeCell ref="A31:A33"/>
    <mergeCell ref="A22:A25"/>
    <mergeCell ref="A16:A19"/>
    <mergeCell ref="A26:A30"/>
  </mergeCells>
  <conditionalFormatting sqref="D2:D39">
    <cfRule type="containsText" priority="4" operator="containsText" dxfId="6" text="Partial">
      <formula>NOT(ISERROR(SEARCH("Partial",D2)))</formula>
    </cfRule>
    <cfRule type="containsText" priority="5" operator="containsText" dxfId="0" text="No">
      <formula>NOT(ISERROR(SEARCH("No",D2)))</formula>
    </cfRule>
    <cfRule type="containsText" priority="6" operator="containsText" dxfId="1" text="Yes">
      <formula>NOT(ISERROR(SEARCH("Yes",D2)))</formula>
    </cfRule>
  </conditionalFormatting>
  <conditionalFormatting sqref="F2:F39">
    <cfRule type="containsText" priority="2" operator="containsText" dxfId="1" text="No">
      <formula>NOT(ISERROR(SEARCH("No",F2)))</formula>
    </cfRule>
    <cfRule type="containsText" priority="3" operator="containsText" dxfId="0" text="Yes">
      <formula>NOT(ISERROR(SEARCH("Yes",F2)))</formula>
    </cfRule>
  </conditionalFormatting>
  <conditionalFormatting sqref="G2:G108">
    <cfRule type="containsText" priority="7" operator="containsText" dxfId="1" text="No">
      <formula>NOT(ISERROR(SEARCH("No",G2)))</formula>
    </cfRule>
    <cfRule type="containsText" priority="8" operator="containsText" dxfId="0" text="Yes">
      <formula>NOT(ISERROR(SEARCH("Yes",G2)))</formula>
    </cfRule>
  </conditionalFormatting>
  <dataValidations count="3">
    <dataValidation sqref="D2:D39" showDropDown="0" showInputMessage="1" showErrorMessage="1" allowBlank="1" type="list" operator="equal">
      <formula1>"Yes,No,Partial"</formula1>
      <formula2>0</formula2>
    </dataValidation>
    <dataValidation sqref="F2:F39" showDropDown="0" showInputMessage="1" showErrorMessage="1" allowBlank="1" type="list" operator="equal">
      <formula1>"Yes,No"</formula1>
      <formula2>0</formula2>
    </dataValidation>
    <dataValidation sqref="G2:G108" showDropDown="0" showInputMessage="1" showErrorMessage="1" allowBlank="1" operator="equal">
      <formula1>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73"/>
  <sheetViews>
    <sheetView zoomScale="85" zoomScaleNormal="85" workbookViewId="0">
      <selection activeCell="E26" sqref="E26:F26"/>
    </sheetView>
  </sheetViews>
  <sheetFormatPr baseColWidth="8" defaultColWidth="9.140625" defaultRowHeight="14.45"/>
  <cols>
    <col width="60.7109375" customWidth="1" style="44" min="1" max="1"/>
    <col width="60.7109375" customWidth="1" style="54" min="3" max="3"/>
    <col width="14.7109375" customWidth="1" style="54" min="4" max="4"/>
    <col width="30.7109375" customWidth="1" style="54" min="5" max="5"/>
    <col width="14.7109375" customWidth="1" style="54" min="6" max="7"/>
    <col width="60.7109375" customWidth="1" style="54" min="8" max="8"/>
  </cols>
  <sheetData>
    <row r="1" customFormat="1" s="53">
      <c r="A1" s="48" t="inlineStr">
        <is>
          <t>Norm</t>
        </is>
      </c>
      <c r="B1" s="53" t="inlineStr">
        <is>
          <t>G0.#</t>
        </is>
      </c>
      <c r="C1" s="53" t="inlineStr">
        <is>
          <t>Automated requirement name</t>
        </is>
      </c>
      <c r="D1" s="53" t="inlineStr">
        <is>
          <t>Present</t>
        </is>
      </c>
      <c r="E1" s="53" t="inlineStr">
        <is>
          <t>Support</t>
        </is>
      </c>
      <c r="F1" s="53" t="inlineStr">
        <is>
          <t>Hallucination</t>
        </is>
      </c>
      <c r="G1" s="53" t="inlineStr">
        <is>
          <t>Hall. Type</t>
        </is>
      </c>
      <c r="H1" s="53" t="inlineStr">
        <is>
          <t>Rationale</t>
        </is>
      </c>
    </row>
    <row r="2" ht="15" customHeight="1" s="54">
      <c r="A2" s="49" t="inlineStr">
        <is>
          <t>Help messages during the {log-on procedure} must not aid an unauthorized user, e.g., by indicating which {parts of the data} are correct or incorrect</t>
        </is>
      </c>
      <c r="B2" t="inlineStr">
        <is>
          <t>G0.1.1</t>
        </is>
      </c>
      <c r="C2" t="inlineStr">
        <is>
          <t>Secure Authentication Help Messaging</t>
        </is>
      </c>
      <c r="D2" t="inlineStr">
        <is>
          <t>Yes</t>
        </is>
      </c>
      <c r="E2" t="inlineStr">
        <is>
          <t>H.1.1</t>
        </is>
      </c>
      <c r="H2" t="inlineStr">
        <is>
          <t>Requirement is valid; narrative is hallucinating</t>
        </is>
      </c>
    </row>
    <row r="3" ht="15" customHeight="1" s="54">
      <c r="A3" s="49" t="inlineStr">
        <is>
          <t>A security incident must be raised if a potential attempted or successful breach of {log-on controls} is detected, and, when the risk of the incident warrants it, the account shall be temporarily restricted, plus an alert shall be sent to the {account owner}, and to the {organization's system administrators}.</t>
        </is>
      </c>
      <c r="B3" t="inlineStr">
        <is>
          <t>G0.2.1</t>
        </is>
      </c>
      <c r="C3" t="inlineStr">
        <is>
          <t>Authentication Alert System Performance</t>
        </is>
      </c>
      <c r="D3" t="inlineStr">
        <is>
          <t>Yes</t>
        </is>
      </c>
      <c r="E3" t="inlineStr">
        <is>
          <t>H.2.1</t>
        </is>
      </c>
    </row>
    <row r="4">
      <c r="B4" t="inlineStr">
        <is>
          <t>G0.2.2</t>
        </is>
      </c>
      <c r="C4" t="inlineStr">
        <is>
          <t>Authentication Alert System Reliability</t>
        </is>
      </c>
      <c r="D4" t="inlineStr">
        <is>
          <t>No</t>
        </is>
      </c>
      <c r="F4" t="inlineStr">
        <is>
          <t>Yes</t>
        </is>
      </c>
      <c r="G4" t="inlineStr">
        <is>
          <t>Template drift</t>
        </is>
      </c>
      <c r="H4" t="inlineStr">
        <is>
          <t>Not a cybersecurity requirement</t>
        </is>
      </c>
    </row>
    <row r="5">
      <c r="B5" t="inlineStr">
        <is>
          <t>G0.2.3</t>
        </is>
      </c>
      <c r="C5" t="inlineStr">
        <is>
          <t>Authentication Alert System Usability</t>
        </is>
      </c>
      <c r="D5" t="inlineStr">
        <is>
          <t>Yes</t>
        </is>
      </c>
      <c r="E5" t="inlineStr">
        <is>
          <t>H.2.1</t>
        </is>
      </c>
    </row>
    <row r="6" ht="15" customHeight="1" s="54">
      <c r="A6" s="49" t="inlineStr">
        <is>
          <t>Physical or logical access controls must be implemented to isolate {sensitive applications, data, or systems}.</t>
        </is>
      </c>
      <c r="B6" t="inlineStr">
        <is>
          <t>G0.3.1</t>
        </is>
      </c>
      <c r="C6" t="inlineStr">
        <is>
          <t>Access Control Non-Functional Requirement</t>
        </is>
      </c>
      <c r="D6" t="inlineStr">
        <is>
          <t>Yes</t>
        </is>
      </c>
      <c r="E6" t="inlineStr">
        <is>
          <t>H.3.1; H.3.3</t>
        </is>
      </c>
    </row>
    <row r="7" ht="15" customHeight="1" s="54">
      <c r="A7" s="49" t="inlineStr">
        <is>
          <t>{Access to data} must be controlled based on {user identity, group membership, and assigned roles}</t>
        </is>
      </c>
      <c r="B7" t="inlineStr">
        <is>
          <t>G0.4.1</t>
        </is>
      </c>
      <c r="C7" t="inlineStr">
        <is>
          <t>Role-Based Access Control Performance</t>
        </is>
      </c>
      <c r="D7" t="inlineStr">
        <is>
          <t>No</t>
        </is>
      </c>
      <c r="F7" t="inlineStr">
        <is>
          <t>Yes</t>
        </is>
      </c>
      <c r="G7" t="inlineStr">
        <is>
          <t>Template drift</t>
        </is>
      </c>
    </row>
    <row r="8">
      <c r="B8" t="inlineStr">
        <is>
          <t>G0.4.2</t>
        </is>
      </c>
      <c r="C8" t="inlineStr">
        <is>
          <t>Role-Based Access Control Scalability</t>
        </is>
      </c>
      <c r="D8" t="inlineStr">
        <is>
          <t>No</t>
        </is>
      </c>
      <c r="F8" t="inlineStr">
        <is>
          <t>Yes</t>
        </is>
      </c>
      <c r="G8" t="inlineStr">
        <is>
          <t>Template drift</t>
        </is>
      </c>
    </row>
    <row r="9">
      <c r="B9" t="inlineStr">
        <is>
          <t>G0.4.3</t>
        </is>
      </c>
      <c r="C9" t="inlineStr">
        <is>
          <t>Role-Based Access Control Security</t>
        </is>
      </c>
      <c r="D9" t="inlineStr">
        <is>
          <t>No</t>
        </is>
      </c>
      <c r="F9" t="inlineStr">
        <is>
          <t>No</t>
        </is>
      </c>
    </row>
    <row r="10" ht="16.35" customHeight="1" s="54">
      <c r="A10" s="49" t="inlineStr">
        <is>
          <t>The {organization} shall maintain a record of {all privileges allocated}</t>
        </is>
      </c>
      <c r="B10" t="inlineStr">
        <is>
          <t>G0.5.1</t>
        </is>
      </c>
      <c r="C10" t="inlineStr">
        <is>
          <t>Privilege Allocation Record Management</t>
        </is>
      </c>
      <c r="D10" t="inlineStr">
        <is>
          <t>Yes</t>
        </is>
      </c>
      <c r="E10" t="inlineStr">
        <is>
          <t>H.5.1</t>
        </is>
      </c>
    </row>
    <row r="11">
      <c r="B11" t="inlineStr">
        <is>
          <t>G0.5.2</t>
        </is>
      </c>
      <c r="C11" t="inlineStr">
        <is>
          <t>Operations Access Control</t>
        </is>
      </c>
      <c r="D11" t="inlineStr">
        <is>
          <t>Yes</t>
        </is>
      </c>
      <c r="E11" t="inlineStr">
        <is>
          <t>H.5.2</t>
        </is>
      </c>
    </row>
    <row r="12" ht="15" customHeight="1" s="54">
      <c r="A12" s="44" t="inlineStr">
        <is>
          <t>The {organization} shall regularly review {users} with privileged access rights to ensure that their {duties}, {roles}, {responsibilities}, and {competence} still justify such access</t>
        </is>
      </c>
      <c r="B12" t="inlineStr">
        <is>
          <t>G0.6.1</t>
        </is>
      </c>
      <c r="C12" t="inlineStr">
        <is>
          <t>Periodic Privileged Access Review Compliance</t>
        </is>
      </c>
      <c r="D12" t="inlineStr">
        <is>
          <t>Yes</t>
        </is>
      </c>
      <c r="E12" t="inlineStr">
        <is>
          <t>H.6.1</t>
        </is>
      </c>
    </row>
    <row r="13">
      <c r="B13" t="inlineStr">
        <is>
          <t>G0.6.2</t>
        </is>
      </c>
      <c r="C13" t="inlineStr">
        <is>
          <t>Competency Validation for Cybersecurity Roles</t>
        </is>
      </c>
      <c r="D13" t="inlineStr">
        <is>
          <t>No</t>
        </is>
      </c>
      <c r="F13" t="inlineStr">
        <is>
          <t>No</t>
        </is>
      </c>
    </row>
    <row r="14">
      <c r="B14" t="inlineStr">
        <is>
          <t>G0.6.3</t>
        </is>
      </c>
      <c r="C14" t="inlineStr">
        <is>
          <t>Comprehensive Audit Trail Maintenance</t>
        </is>
      </c>
      <c r="D14" t="inlineStr">
        <is>
          <t>No</t>
        </is>
      </c>
      <c r="F14" t="inlineStr">
        <is>
          <t>Yes</t>
        </is>
      </c>
      <c r="G14" t="inlineStr">
        <is>
          <t>Template drift</t>
        </is>
      </c>
    </row>
    <row r="15" ht="15" customHeight="1" s="54">
      <c r="A15" s="49" t="inlineStr">
        <is>
          <t>{Connection} of {systems} to the {network} must be restricted and filtered, e.g., using firewalls.</t>
        </is>
      </c>
      <c r="B15" t="inlineStr">
        <is>
          <t>G0.7.1</t>
        </is>
      </c>
      <c r="C15" t="inlineStr">
        <is>
          <t>Network Access Control for IoT and Automated Systems</t>
        </is>
      </c>
      <c r="D15" t="inlineStr">
        <is>
          <t>Yes</t>
        </is>
      </c>
      <c r="E15" t="inlineStr">
        <is>
          <t>H.7.1</t>
        </is>
      </c>
    </row>
    <row r="16">
      <c r="B16" t="inlineStr">
        <is>
          <t>G0.7.2</t>
        </is>
      </c>
      <c r="C16" t="inlineStr">
        <is>
          <t>Secure Network Gateways for External and Internal Connections</t>
        </is>
      </c>
      <c r="D16" t="inlineStr">
        <is>
          <t>Yes</t>
        </is>
      </c>
      <c r="E16" t="inlineStr">
        <is>
          <t>H.7.2; H.7.3</t>
        </is>
      </c>
    </row>
    <row r="17" ht="29.1" customHeight="1" s="54">
      <c r="A17" s="44" t="inlineStr">
        <is>
          <t>{Network administration channels} must be segregated from {other network traffic}</t>
        </is>
      </c>
      <c r="B17" t="inlineStr">
        <is>
          <t>G0.8.1</t>
        </is>
      </c>
      <c r="C17" t="inlineStr">
        <is>
          <t>Segregation of Administrative Network Communications</t>
        </is>
      </c>
      <c r="D17" t="inlineStr">
        <is>
          <t>Yes</t>
        </is>
      </c>
      <c r="E17" t="inlineStr">
        <is>
          <t>H.8.1</t>
        </is>
      </c>
    </row>
    <row r="18" ht="15" customHeight="1" s="54">
      <c r="A18" s="49" t="inlineStr">
        <is>
          <t>Implement cryptographic measures to safeguard {information stored} on {mobile user} {endpoint devices} or {storage media} and transmitted over {networks}</t>
        </is>
      </c>
      <c r="B18" t="inlineStr">
        <is>
          <t>G0.9.1</t>
        </is>
      </c>
      <c r="C18" t="inlineStr">
        <is>
          <t>Data in Transit Encryption</t>
        </is>
      </c>
      <c r="D18" t="inlineStr">
        <is>
          <t>Yes</t>
        </is>
      </c>
      <c r="E18" t="inlineStr">
        <is>
          <t>H.9.3</t>
        </is>
      </c>
    </row>
    <row r="19">
      <c r="B19" t="inlineStr">
        <is>
          <t>G0.9.2</t>
        </is>
      </c>
      <c r="C19" t="inlineStr">
        <is>
          <t>Endpoint Data Storage Security</t>
        </is>
      </c>
      <c r="D19" t="inlineStr">
        <is>
          <t>No</t>
        </is>
      </c>
      <c r="F19" t="inlineStr">
        <is>
          <t>No</t>
        </is>
      </c>
    </row>
    <row r="20">
      <c r="B20" t="inlineStr">
        <is>
          <t>G0.9.3</t>
        </is>
      </c>
      <c r="C20" t="inlineStr">
        <is>
          <t>External Network Communication Security</t>
        </is>
      </c>
      <c r="D20" t="inlineStr">
        <is>
          <t>No</t>
        </is>
      </c>
      <c r="F20" t="inlineStr">
        <is>
          <t>No</t>
        </is>
      </c>
    </row>
    <row r="21">
      <c r="B21" t="inlineStr">
        <is>
          <t>G0.9.4</t>
        </is>
      </c>
      <c r="C21" t="inlineStr">
        <is>
          <t>Storage Media Encryption Compliance</t>
        </is>
      </c>
      <c r="D21" t="inlineStr">
        <is>
          <t>Yes</t>
        </is>
      </c>
      <c r="E21" t="inlineStr">
        <is>
          <t>H.9.1</t>
        </is>
      </c>
    </row>
    <row r="22" ht="15" customHeight="1" s="54">
      <c r="A22" s="49" t="inlineStr">
        <is>
          <t>Establish a comprehensive key management system, including procedures for generating and protecting {cryptographic keys} and recovering {encrypted data} in case of lost, compromised, or damaged {keys}</t>
        </is>
      </c>
      <c r="B22" t="inlineStr">
        <is>
          <t>G0.10.1</t>
        </is>
      </c>
      <c r="C22" t="inlineStr">
        <is>
          <t>IoT Middleware Key Management Protocol</t>
        </is>
      </c>
      <c r="D22" t="inlineStr">
        <is>
          <t>No</t>
        </is>
      </c>
      <c r="F22" t="inlineStr">
        <is>
          <t>Yes</t>
        </is>
      </c>
      <c r="G22" t="inlineStr">
        <is>
          <t>Architectural infeasibility</t>
        </is>
      </c>
    </row>
    <row r="23">
      <c r="B23" t="inlineStr">
        <is>
          <t>G0.10.2</t>
        </is>
      </c>
      <c r="C23" t="inlineStr">
        <is>
          <t>Data Store Encryption and Key Recovery Strategy</t>
        </is>
      </c>
      <c r="D23" t="inlineStr">
        <is>
          <t>Partial</t>
        </is>
      </c>
      <c r="E23" t="inlineStr">
        <is>
          <t>H.10.2</t>
        </is>
      </c>
      <c r="F23" t="inlineStr">
        <is>
          <t>No</t>
        </is>
      </c>
    </row>
    <row r="24">
      <c r="B24" t="inlineStr">
        <is>
          <t>G0.10.3</t>
        </is>
      </c>
      <c r="C24" t="inlineStr">
        <is>
          <t>Role-Specific Key Management Responsibilities</t>
        </is>
      </c>
      <c r="D24" t="inlineStr">
        <is>
          <t>Yes</t>
        </is>
      </c>
      <c r="E24" t="inlineStr">
        <is>
          <t>H.10.3</t>
        </is>
      </c>
    </row>
    <row r="25" ht="14.45" customHeight="1" s="54">
      <c r="B25" s="16" t="inlineStr">
        <is>
          <t>Count</t>
        </is>
      </c>
      <c r="C25" s="16" t="inlineStr">
        <is>
          <t>No</t>
        </is>
      </c>
      <c r="D25" s="16">
        <f>COUNTIF(D2:D24,"No")</f>
        <v/>
      </c>
      <c r="E25" s="16" t="inlineStr">
        <is>
          <t>Hallucinations</t>
        </is>
      </c>
      <c r="F25" s="16">
        <f>COUNTIF(F2:F24,"Yes")</f>
        <v/>
      </c>
    </row>
    <row r="26" ht="14.45" customHeight="1" s="54">
      <c r="B26" s="47" t="n"/>
      <c r="C26" s="16" t="inlineStr">
        <is>
          <t>Yes</t>
        </is>
      </c>
      <c r="D26" s="16">
        <f>COUNTIF(D2:D24,"Yes")</f>
        <v/>
      </c>
      <c r="E26" s="16" t="inlineStr">
        <is>
          <t>Partial hallucinations</t>
        </is>
      </c>
      <c r="F26">
        <f>COUNTIFS(D:D,"Partial",F:F,"Yes")</f>
        <v/>
      </c>
    </row>
    <row r="27" ht="14.45" customHeight="1" s="54">
      <c r="B27" s="47" t="n"/>
      <c r="C27" s="16" t="inlineStr">
        <is>
          <t>Partial</t>
        </is>
      </c>
      <c r="D27" s="16">
        <f>COUNTIF(D2:D24,"Partial")</f>
        <v/>
      </c>
      <c r="E27" s="10" t="inlineStr">
        <is>
          <t>Template drift</t>
        </is>
      </c>
      <c r="F27">
        <f>COUNTIF($G$2:$G$24,E27)</f>
        <v/>
      </c>
    </row>
    <row r="28" ht="15" customHeight="1" s="54">
      <c r="E28" s="10" t="inlineStr">
        <is>
          <t>Contextual misfit</t>
        </is>
      </c>
      <c r="F28">
        <f>COUNTIF($G$2:$G$24,E28)</f>
        <v/>
      </c>
    </row>
    <row r="29" ht="15" customHeight="1" s="54">
      <c r="E29" s="10" t="inlineStr">
        <is>
          <t>Scope misalignment</t>
        </is>
      </c>
      <c r="F29">
        <f>COUNTIF($G$2:$G$24,E29)</f>
        <v/>
      </c>
    </row>
    <row r="30" ht="15" customHeight="1" s="54">
      <c r="E30" s="10" t="inlineStr">
        <is>
          <t>Responsibility leakage</t>
        </is>
      </c>
      <c r="F30">
        <f>COUNTIF($G$2:$G$24,E30)</f>
        <v/>
      </c>
    </row>
    <row r="31" ht="15" customHeight="1" s="54">
      <c r="E31" s="10" t="inlineStr">
        <is>
          <t>Architectural infeasibility</t>
        </is>
      </c>
      <c r="F31">
        <f>COUNTIF($G$2:$G$24,E31)</f>
        <v/>
      </c>
    </row>
    <row r="32" ht="15" customHeight="1" s="54"/>
    <row r="33" ht="15" customHeight="1" s="54">
      <c r="E33" s="16" t="inlineStr">
        <is>
          <t>Discoveries</t>
        </is>
      </c>
      <c r="F33" s="16">
        <f>COUNTIF(F2:F24,"No")</f>
        <v/>
      </c>
    </row>
    <row r="73">
      <c r="AA73" t="inlineStr">
        <is>
          <t>G0_ii.10.2</t>
        </is>
      </c>
    </row>
  </sheetData>
  <mergeCells count="7">
    <mergeCell ref="A18:A21"/>
    <mergeCell ref="A12:A14"/>
    <mergeCell ref="A7:A9"/>
    <mergeCell ref="A3:A5"/>
    <mergeCell ref="A15:A16"/>
    <mergeCell ref="A10:A11"/>
    <mergeCell ref="A22:A24"/>
  </mergeCells>
  <conditionalFormatting sqref="D2:D24">
    <cfRule type="containsText" priority="4" operator="containsText" dxfId="6" text="Partial">
      <formula>NOT(ISERROR(SEARCH("Partial",D2)))</formula>
    </cfRule>
    <cfRule type="containsText" priority="5" operator="containsText" dxfId="0" text="No">
      <formula>NOT(ISERROR(SEARCH("No",D2)))</formula>
    </cfRule>
    <cfRule type="containsText" priority="6" operator="containsText" dxfId="1" text="Yes">
      <formula>NOT(ISERROR(SEARCH("Yes",D2)))</formula>
    </cfRule>
  </conditionalFormatting>
  <conditionalFormatting sqref="F2:F24">
    <cfRule type="containsText" priority="2" operator="containsText" dxfId="1" text="No">
      <formula>NOT(ISERROR(SEARCH("No",F2)))</formula>
    </cfRule>
    <cfRule type="containsText" priority="3" operator="containsText" dxfId="0" text="Yes">
      <formula>NOT(ISERROR(SEARCH("Yes",F2)))</formula>
    </cfRule>
  </conditionalFormatting>
  <conditionalFormatting sqref="G2:G108">
    <cfRule type="containsText" priority="7" operator="containsText" dxfId="1" text="No">
      <formula>NOT(ISERROR(SEARCH("No",G2)))</formula>
    </cfRule>
    <cfRule type="containsText" priority="8" operator="containsText" dxfId="0" text="Yes">
      <formula>NOT(ISERROR(SEARCH("Yes",G2)))</formula>
    </cfRule>
  </conditionalFormatting>
  <dataValidations count="3">
    <dataValidation sqref="D2:D24" showDropDown="0" showInputMessage="1" showErrorMessage="1" allowBlank="1" type="list" operator="equal">
      <formula1>"Yes,No,Partial"</formula1>
      <formula2>0</formula2>
    </dataValidation>
    <dataValidation sqref="F2:F24" showDropDown="0" showInputMessage="1" showErrorMessage="1" allowBlank="1" type="list" operator="equal">
      <formula1>"Yes,No"</formula1>
      <formula2>0</formula2>
    </dataValidation>
    <dataValidation sqref="G2:G108" showDropDown="0" showInputMessage="1" showErrorMessage="1" allowBlank="1" operator="equal">
      <formula1>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A73"/>
  <sheetViews>
    <sheetView zoomScale="85" zoomScaleNormal="85" workbookViewId="0">
      <selection activeCell="E34" sqref="E34:F34"/>
    </sheetView>
  </sheetViews>
  <sheetFormatPr baseColWidth="8" defaultColWidth="9.140625" defaultRowHeight="14.45"/>
  <cols>
    <col width="60.7109375" customWidth="1" style="44" min="1" max="1"/>
    <col width="60.7109375" customWidth="1" style="54" min="3" max="3"/>
    <col width="14.7109375" customWidth="1" style="54" min="4" max="4"/>
    <col width="30.7109375" customWidth="1" style="54" min="5" max="5"/>
    <col width="14.7109375" customWidth="1" style="54" min="6" max="7"/>
    <col width="60.7109375" customWidth="1" style="54" min="8" max="8"/>
  </cols>
  <sheetData>
    <row r="1" customFormat="1" s="53">
      <c r="A1" s="53" t="inlineStr">
        <is>
          <t>Norm</t>
        </is>
      </c>
      <c r="B1" s="53" t="inlineStr">
        <is>
          <t>G0_ii.#</t>
        </is>
      </c>
      <c r="C1" s="53" t="inlineStr">
        <is>
          <t>Automated requirement name</t>
        </is>
      </c>
      <c r="D1" s="53" t="inlineStr">
        <is>
          <t>Present</t>
        </is>
      </c>
      <c r="E1" s="53" t="inlineStr">
        <is>
          <t>Support</t>
        </is>
      </c>
      <c r="F1" s="53" t="inlineStr">
        <is>
          <t>Hallucination</t>
        </is>
      </c>
      <c r="G1" s="53" t="inlineStr">
        <is>
          <t>Hall. Type</t>
        </is>
      </c>
      <c r="H1" s="53" t="inlineStr">
        <is>
          <t>Rationale</t>
        </is>
      </c>
    </row>
    <row r="2" ht="15" customHeight="1" s="54">
      <c r="A2" s="49" t="inlineStr">
        <is>
          <t>Help messages during the {log-on procedure} must not aid an unauthorized user, e.g., by indicating which {parts of the data} are correct or incorrect</t>
        </is>
      </c>
      <c r="B2" t="inlineStr">
        <is>
          <t>G0_ii.1.1</t>
        </is>
      </c>
      <c r="C2" t="inlineStr">
        <is>
          <t>Secure Help Messages for Supply Vehicle Authentication</t>
        </is>
      </c>
      <c r="D2" t="inlineStr">
        <is>
          <t>Yes</t>
        </is>
      </c>
      <c r="E2" t="inlineStr">
        <is>
          <t>H.1.1</t>
        </is>
      </c>
    </row>
    <row r="3" ht="15" customHeight="1" s="54">
      <c r="B3" t="inlineStr">
        <is>
          <t>G0_ii.1.2</t>
        </is>
      </c>
      <c r="C3" t="inlineStr">
        <is>
          <t>Secure Authentication Feedback for System Administration</t>
        </is>
      </c>
      <c r="D3" t="inlineStr">
        <is>
          <t>Yes</t>
        </is>
      </c>
      <c r="E3" t="inlineStr">
        <is>
          <t>H.1.1</t>
        </is>
      </c>
    </row>
    <row r="4" ht="15" customHeight="1" s="54">
      <c r="B4" t="inlineStr">
        <is>
          <t>G0_ii.1.3</t>
        </is>
      </c>
      <c r="C4" t="inlineStr">
        <is>
          <t>Non-revealing Error Messages in Warehouse Management Systems</t>
        </is>
      </c>
      <c r="D4" t="inlineStr">
        <is>
          <t>Yes</t>
        </is>
      </c>
      <c r="E4" t="inlineStr">
        <is>
          <t>H.1.1</t>
        </is>
      </c>
    </row>
    <row r="5" ht="15" customHeight="1" s="54">
      <c r="A5" s="49" t="inlineStr">
        <is>
          <t>A security incident must be raised if a potential attempted or successful breach of {log-on controls} is detected, and, when the risk of the incident warrants it, the account shall be temporarily restricted, plus an alert shall be sent to the {account owner}, and to the {organization's system administrators}.</t>
        </is>
      </c>
      <c r="B5" t="inlineStr">
        <is>
          <t>G0_ii.2.1</t>
        </is>
      </c>
      <c r="C5" t="inlineStr">
        <is>
          <t>Authentication Breach Alert Protocol</t>
        </is>
      </c>
      <c r="D5" t="inlineStr">
        <is>
          <t>Yes</t>
        </is>
      </c>
      <c r="E5" t="inlineStr">
        <is>
          <t>H.2.1</t>
        </is>
      </c>
    </row>
    <row r="6" ht="15" customHeight="1" s="54">
      <c r="B6" t="inlineStr">
        <is>
          <t>G0_ii.2.2</t>
        </is>
      </c>
      <c r="C6" t="inlineStr">
        <is>
          <t>User Lockout Policy</t>
        </is>
      </c>
      <c r="D6" t="inlineStr">
        <is>
          <t>Yes</t>
        </is>
      </c>
      <c r="E6" t="inlineStr">
        <is>
          <t>H.2.1</t>
        </is>
      </c>
    </row>
    <row r="7" ht="15" customHeight="1" s="54">
      <c r="B7" t="inlineStr">
        <is>
          <t>G0_ii.2.3</t>
        </is>
      </c>
      <c r="C7" t="inlineStr">
        <is>
          <t>Security Incident Review Process</t>
        </is>
      </c>
      <c r="D7" t="inlineStr">
        <is>
          <t>Yes</t>
        </is>
      </c>
      <c r="E7" t="inlineStr">
        <is>
          <t>H.2.1</t>
        </is>
      </c>
    </row>
    <row r="8" ht="15" customHeight="1" s="54">
      <c r="A8" s="49" t="inlineStr">
        <is>
          <t>Physical or logical access controls must be implemented to isolate {sensitive applications, data, or systems}.</t>
        </is>
      </c>
      <c r="B8" t="inlineStr">
        <is>
          <t>G0_ii.3.1</t>
        </is>
      </c>
      <c r="C8" t="inlineStr">
        <is>
          <t>Secure Access Control for Warehouse Management System</t>
        </is>
      </c>
      <c r="D8" t="inlineStr">
        <is>
          <t>Yes</t>
        </is>
      </c>
      <c r="E8" t="inlineStr">
        <is>
          <t>H.3.3</t>
        </is>
      </c>
    </row>
    <row r="9" ht="15" customHeight="1" s="54">
      <c r="B9" t="inlineStr">
        <is>
          <t>G0_ii.3.2</t>
        </is>
      </c>
      <c r="C9" t="inlineStr">
        <is>
          <t>Secure Isolation of Factory System Interface</t>
        </is>
      </c>
      <c r="D9" t="inlineStr">
        <is>
          <t>Yes</t>
        </is>
      </c>
      <c r="E9" t="inlineStr">
        <is>
          <t>H.3.1</t>
        </is>
      </c>
    </row>
    <row r="10" ht="15" customHeight="1" s="54">
      <c r="B10" t="inlineStr">
        <is>
          <t>G0_ii.3.3</t>
        </is>
      </c>
      <c r="C10" t="inlineStr">
        <is>
          <t>Secure Access to Purchase Order System</t>
        </is>
      </c>
      <c r="D10" t="inlineStr">
        <is>
          <t>Yes</t>
        </is>
      </c>
      <c r="E10" t="inlineStr">
        <is>
          <t>H.3.3</t>
        </is>
      </c>
    </row>
    <row r="11" ht="15" customHeight="1" s="54">
      <c r="B11" t="inlineStr">
        <is>
          <t>G0_ii.3.4</t>
        </is>
      </c>
      <c r="C11" t="inlineStr">
        <is>
          <t>Restricted Access to Requisitions Data Store</t>
        </is>
      </c>
      <c r="D11" t="inlineStr">
        <is>
          <t>Yes</t>
        </is>
      </c>
      <c r="E11" t="inlineStr">
        <is>
          <t>H.3.1</t>
        </is>
      </c>
    </row>
    <row r="12" ht="15" customHeight="1" s="54">
      <c r="B12" t="inlineStr">
        <is>
          <t>G0_ii.3.5</t>
        </is>
      </c>
      <c r="C12" t="inlineStr">
        <is>
          <t>AGV Systems Access Security</t>
        </is>
      </c>
      <c r="D12" t="inlineStr">
        <is>
          <t>Yes</t>
        </is>
      </c>
      <c r="E12" t="inlineStr">
        <is>
          <t>H.3.1</t>
        </is>
      </c>
    </row>
    <row r="13" ht="15" customHeight="1" s="54">
      <c r="B13" t="inlineStr">
        <is>
          <t>G0_ii.3.6</t>
        </is>
      </c>
      <c r="C13" t="inlineStr">
        <is>
          <t>Secure Isolation of Access and Dock Control Systems</t>
        </is>
      </c>
      <c r="D13" t="inlineStr">
        <is>
          <t>Yes</t>
        </is>
      </c>
      <c r="E13" t="inlineStr">
        <is>
          <t>H.3.3</t>
        </is>
      </c>
    </row>
    <row r="14" ht="15" customHeight="1" s="54">
      <c r="A14" s="49" t="inlineStr">
        <is>
          <t>{Access to data} must be controlled based on {user identity, group membership, and assigned roles}</t>
        </is>
      </c>
      <c r="B14" t="inlineStr">
        <is>
          <t>G0_ii.4.1</t>
        </is>
      </c>
      <c r="C14" t="inlineStr">
        <is>
          <t>Controlled Access Based on Role</t>
        </is>
      </c>
      <c r="D14" t="inlineStr">
        <is>
          <t>Yes</t>
        </is>
      </c>
      <c r="E14" s="44" t="inlineStr">
        <is>
          <t>H.4.7</t>
        </is>
      </c>
    </row>
    <row r="15">
      <c r="B15" t="inlineStr">
        <is>
          <t>G0_ii.4.2</t>
        </is>
      </c>
      <c r="C15" t="inlineStr">
        <is>
          <t>Segmented Data Access by Group Membership</t>
        </is>
      </c>
      <c r="D15" t="inlineStr">
        <is>
          <t>Yes</t>
        </is>
      </c>
      <c r="E15" s="44" t="inlineStr">
        <is>
          <t>H.4.7</t>
        </is>
      </c>
    </row>
    <row r="16">
      <c r="B16" t="inlineStr">
        <is>
          <t>G0_ii.4.3</t>
        </is>
      </c>
      <c r="C16" t="inlineStr">
        <is>
          <t>Comprehensive Access for System Administration</t>
        </is>
      </c>
      <c r="D16" t="inlineStr">
        <is>
          <t>Yes</t>
        </is>
      </c>
      <c r="E16" s="44" t="inlineStr">
        <is>
          <t>H.4.8</t>
        </is>
      </c>
    </row>
    <row r="17">
      <c r="B17" t="inlineStr">
        <is>
          <t>G0_ii.4.4</t>
        </is>
      </c>
      <c r="C17" t="inlineStr">
        <is>
          <t>Role-Specific Security Oversight</t>
        </is>
      </c>
      <c r="D17" t="inlineStr">
        <is>
          <t>Yes</t>
        </is>
      </c>
      <c r="E17" s="44" t="inlineStr">
        <is>
          <t>H.4.8</t>
        </is>
      </c>
    </row>
    <row r="18" ht="14.25" customHeight="1" s="54">
      <c r="A18" s="49" t="inlineStr">
        <is>
          <t>The {organization} shall maintain a record of {all privileges allocated}</t>
        </is>
      </c>
      <c r="B18" t="inlineStr">
        <is>
          <t>G0_ii.5.1</t>
        </is>
      </c>
      <c r="C18" t="inlineStr">
        <is>
          <t>Access Privilege Auditing for Car Manufacturing Operations</t>
        </is>
      </c>
      <c r="D18" t="inlineStr">
        <is>
          <t>Yes</t>
        </is>
      </c>
      <c r="E18" t="inlineStr">
        <is>
          <t>H.5.1; H.5.2</t>
        </is>
      </c>
    </row>
    <row r="19" ht="15" customHeight="1" s="54">
      <c r="A19" s="44" t="inlineStr">
        <is>
          <t>The {organization} shall regularly review {users} with privileged access rights to ensure that their {duties}, {roles}, {responsibilities}, and {competence} still justify such access</t>
        </is>
      </c>
      <c r="B19" t="inlineStr">
        <is>
          <t>G0_ii.6.1</t>
        </is>
      </c>
      <c r="C19" t="inlineStr">
        <is>
          <t>Regular Privileged Access Review for System Administrators</t>
        </is>
      </c>
      <c r="D19" t="inlineStr">
        <is>
          <t>Yes</t>
        </is>
      </c>
      <c r="E19" t="inlineStr">
        <is>
          <t>H.6.1</t>
        </is>
      </c>
    </row>
    <row r="20" ht="15" customHeight="1" s="54">
      <c r="B20" t="inlineStr">
        <is>
          <t>G0_ii.6.2</t>
        </is>
      </c>
      <c r="C20" t="inlineStr">
        <is>
          <t>Regular Privileged Access Review for Operations Managers</t>
        </is>
      </c>
      <c r="D20" t="inlineStr">
        <is>
          <t>Yes</t>
        </is>
      </c>
      <c r="E20" t="inlineStr">
        <is>
          <t>H.6.1</t>
        </is>
      </c>
    </row>
    <row r="21" ht="15" customHeight="1" s="54">
      <c r="B21" t="inlineStr">
        <is>
          <t>G0_ii.6.3</t>
        </is>
      </c>
      <c r="C21" t="inlineStr">
        <is>
          <t>Regular Privileged Access Review for Security Managers</t>
        </is>
      </c>
      <c r="D21" t="inlineStr">
        <is>
          <t>Yes</t>
        </is>
      </c>
      <c r="E21" t="inlineStr">
        <is>
          <t>H.6.1</t>
        </is>
      </c>
    </row>
    <row r="22" ht="15" customHeight="1" s="54">
      <c r="A22" s="49" t="inlineStr">
        <is>
          <t>{Connection} of {systems} to the {network} must be restricted and filtered, e.g., using firewalls.</t>
        </is>
      </c>
      <c r="B22" t="inlineStr">
        <is>
          <t>G0_ii.7.1</t>
        </is>
      </c>
      <c r="C22" t="inlineStr">
        <is>
          <t>Restricted Network Connection for IoT Devices</t>
        </is>
      </c>
      <c r="D22" t="inlineStr">
        <is>
          <t>Yes</t>
        </is>
      </c>
      <c r="E22" t="inlineStr">
        <is>
          <t>H.7.1</t>
        </is>
      </c>
    </row>
    <row r="23" ht="14.25" customHeight="1" s="54">
      <c r="B23" t="inlineStr">
        <is>
          <t>G0_ii.7.2</t>
        </is>
      </c>
      <c r="C23" t="inlineStr">
        <is>
          <t>Secure Middleware Platform Integration</t>
        </is>
      </c>
      <c r="D23" t="inlineStr">
        <is>
          <t>Yes</t>
        </is>
      </c>
      <c r="E23" t="inlineStr">
        <is>
          <t>H.7.1</t>
        </is>
      </c>
    </row>
    <row r="24">
      <c r="B24" t="inlineStr">
        <is>
          <t>G0_ii.7.3</t>
        </is>
      </c>
      <c r="C24" t="inlineStr">
        <is>
          <t>AGV System Network Security</t>
        </is>
      </c>
      <c r="D24" t="inlineStr">
        <is>
          <t>Yes</t>
        </is>
      </c>
      <c r="E24" t="inlineStr">
        <is>
          <t>H.7.1</t>
        </is>
      </c>
    </row>
    <row r="25">
      <c r="B25" t="inlineStr">
        <is>
          <t>G0_ii.7.4</t>
        </is>
      </c>
      <c r="C25" t="inlineStr">
        <is>
          <t>Assembly Line Systems Protection</t>
        </is>
      </c>
      <c r="D25" t="inlineStr">
        <is>
          <t>Yes</t>
        </is>
      </c>
      <c r="E25" t="inlineStr">
        <is>
          <t>H.7.1</t>
        </is>
      </c>
    </row>
    <row r="26">
      <c r="B26" t="inlineStr">
        <is>
          <t>G0_ii.7.5</t>
        </is>
      </c>
      <c r="C26" t="inlineStr">
        <is>
          <t>Finished Car Yard Connectivity Security</t>
        </is>
      </c>
      <c r="D26" t="inlineStr">
        <is>
          <t>Yes</t>
        </is>
      </c>
      <c r="E26" t="inlineStr">
        <is>
          <t>H.7.1; H.7.3</t>
        </is>
      </c>
    </row>
    <row r="27" ht="29.25" customHeight="1" s="54">
      <c r="A27" s="44" t="inlineStr">
        <is>
          <t>{Network administration channels} must be segregated from {other network traffic}</t>
        </is>
      </c>
      <c r="B27" t="inlineStr">
        <is>
          <t>G0_ii.8.1</t>
        </is>
      </c>
      <c r="C27" t="inlineStr">
        <is>
          <t>Dedicated Network Segmentation for System Administration</t>
        </is>
      </c>
      <c r="D27" t="inlineStr">
        <is>
          <t>Yes</t>
        </is>
      </c>
      <c r="E27" t="inlineStr">
        <is>
          <t>H.8.1</t>
        </is>
      </c>
    </row>
    <row r="28" ht="15" customHeight="1" s="54">
      <c r="A28" s="49" t="inlineStr">
        <is>
          <t>Implement cryptographic measures to safeguard {information stored} on {mobile user} {endpoint devices} or {storage media} and transmitted over {networks}</t>
        </is>
      </c>
      <c r="B28" t="inlineStr">
        <is>
          <t>G0_ii.9.1</t>
        </is>
      </c>
      <c r="C28" t="inlineStr">
        <is>
          <t>Cryptographic Protection of Endpoint Device Data</t>
        </is>
      </c>
      <c r="D28" t="inlineStr">
        <is>
          <t>No</t>
        </is>
      </c>
      <c r="F28" t="inlineStr">
        <is>
          <t>No</t>
        </is>
      </c>
    </row>
    <row r="29">
      <c r="B29" t="inlineStr">
        <is>
          <t>G0_ii.9.2</t>
        </is>
      </c>
      <c r="C29" t="inlineStr">
        <is>
          <t>Secure Storage Media Encryption</t>
        </is>
      </c>
      <c r="D29" t="inlineStr">
        <is>
          <t>Yes</t>
        </is>
      </c>
      <c r="E29" t="inlineStr">
        <is>
          <t>H.9.1</t>
        </is>
      </c>
    </row>
    <row r="30">
      <c r="B30" t="inlineStr">
        <is>
          <t>G0_ii.9.3</t>
        </is>
      </c>
      <c r="C30" t="inlineStr">
        <is>
          <t>Network Data Transmission Security</t>
        </is>
      </c>
      <c r="D30" t="inlineStr">
        <is>
          <t>Yes</t>
        </is>
      </c>
      <c r="E30" t="inlineStr">
        <is>
          <t>H.9.3</t>
        </is>
      </c>
    </row>
    <row r="31" ht="15" customHeight="1" s="54">
      <c r="A31" s="49" t="inlineStr">
        <is>
          <t>Establish a comprehensive key management system, including procedures for generating and protecting {cryptographic keys} and recovering {encrypted data} in case of lost, compromised, or damaged {keys}</t>
        </is>
      </c>
      <c r="B31" t="inlineStr">
        <is>
          <t>G0_ii.10.1</t>
        </is>
      </c>
      <c r="C31" t="inlineStr">
        <is>
          <t>Secure Key Management for IoT Device Authentication</t>
        </is>
      </c>
      <c r="D31" t="inlineStr">
        <is>
          <t>Yes</t>
        </is>
      </c>
      <c r="E31" t="inlineStr">
        <is>
          <t>H.10.1</t>
        </is>
      </c>
    </row>
    <row r="32">
      <c r="B32" t="inlineStr">
        <is>
          <t>G0_ii.10.2</t>
        </is>
      </c>
      <c r="C32" t="inlineStr">
        <is>
          <t>Data Encryption and Key Recovery for Critical Data Stores</t>
        </is>
      </c>
      <c r="D32" t="inlineStr">
        <is>
          <t>Partial</t>
        </is>
      </c>
      <c r="E32" t="inlineStr">
        <is>
          <t>H.10.2</t>
        </is>
      </c>
      <c r="F32" t="inlineStr">
        <is>
          <t>No</t>
        </is>
      </c>
    </row>
    <row r="33" ht="14.45" customHeight="1" s="54">
      <c r="B33" s="16" t="inlineStr">
        <is>
          <t>Count</t>
        </is>
      </c>
      <c r="C33" s="16" t="inlineStr">
        <is>
          <t>No</t>
        </is>
      </c>
      <c r="D33" s="16">
        <f>COUNTIF(D2:D32,"No")</f>
        <v/>
      </c>
      <c r="E33" s="16" t="inlineStr">
        <is>
          <t>Hallucinations</t>
        </is>
      </c>
      <c r="F33" s="16">
        <f>COUNTIF(F12:F32,"Yes")</f>
        <v/>
      </c>
    </row>
    <row r="34" ht="14.45" customHeight="1" s="54">
      <c r="B34" s="47" t="n"/>
      <c r="C34" s="16" t="inlineStr">
        <is>
          <t>Yes</t>
        </is>
      </c>
      <c r="D34" s="16">
        <f>COUNTIF(D12:D32,"Yes")</f>
        <v/>
      </c>
      <c r="E34" s="16" t="inlineStr">
        <is>
          <t>Partial hallucinations</t>
        </is>
      </c>
      <c r="F34">
        <f>COUNTIFS(D:D,"Partial",F:F,"Yes")</f>
        <v/>
      </c>
    </row>
    <row r="35" ht="14.45" customHeight="1" s="54">
      <c r="B35" s="47" t="n"/>
      <c r="C35" s="16" t="inlineStr">
        <is>
          <t>Partial</t>
        </is>
      </c>
      <c r="D35" s="16">
        <f>COUNTIF(D12:D32,"Partial")</f>
        <v/>
      </c>
      <c r="E35" s="10" t="inlineStr">
        <is>
          <t>Template drift</t>
        </is>
      </c>
      <c r="F35">
        <f>COUNTIF($G$2:$G$32,E35)</f>
        <v/>
      </c>
    </row>
    <row r="36" ht="15" customHeight="1" s="54">
      <c r="E36" s="10" t="inlineStr">
        <is>
          <t>Contextual misfit</t>
        </is>
      </c>
      <c r="F36">
        <f>COUNTIF($G$2:$G$32,E36)</f>
        <v/>
      </c>
    </row>
    <row r="37" ht="15" customHeight="1" s="54">
      <c r="E37" s="10" t="inlineStr">
        <is>
          <t>Scope misalignment</t>
        </is>
      </c>
      <c r="F37">
        <f>COUNTIF($G$2:$G$32,E37)</f>
        <v/>
      </c>
    </row>
    <row r="38" ht="15" customHeight="1" s="54">
      <c r="E38" s="10" t="inlineStr">
        <is>
          <t>Responsibility leakage</t>
        </is>
      </c>
      <c r="F38">
        <f>COUNTIF($G$2:$G$32,E38)</f>
        <v/>
      </c>
    </row>
    <row r="39" ht="15" customHeight="1" s="54">
      <c r="E39" s="10" t="inlineStr">
        <is>
          <t>Architectural infeasibility</t>
        </is>
      </c>
      <c r="F39">
        <f>COUNTIF($G$2:$G$32,E39)</f>
        <v/>
      </c>
    </row>
    <row r="40" ht="15" customHeight="1" s="54"/>
    <row r="41" ht="15" customHeight="1" s="54">
      <c r="E41" s="16" t="inlineStr">
        <is>
          <t>Discoveries</t>
        </is>
      </c>
      <c r="F41" s="16">
        <f>COUNTIF(F12:F32,"No")</f>
        <v/>
      </c>
    </row>
    <row r="73">
      <c r="AA73" t="inlineStr">
        <is>
          <t>G0_ii.10.2</t>
        </is>
      </c>
    </row>
  </sheetData>
  <mergeCells count="8">
    <mergeCell ref="A22:A26"/>
    <mergeCell ref="A8:A13"/>
    <mergeCell ref="A2:A4"/>
    <mergeCell ref="A28:A30"/>
    <mergeCell ref="A19:A21"/>
    <mergeCell ref="A5:A7"/>
    <mergeCell ref="A31:A32"/>
    <mergeCell ref="A14:A17"/>
  </mergeCells>
  <conditionalFormatting sqref="D2:D18 D26 D28:D32">
    <cfRule type="containsText" priority="4" operator="containsText" dxfId="6" text="Partial">
      <formula>NOT(ISERROR(SEARCH("Partial",D2)))</formula>
    </cfRule>
    <cfRule type="containsText" priority="5" operator="containsText" dxfId="0" text="No">
      <formula>NOT(ISERROR(SEARCH("No",D2)))</formula>
    </cfRule>
    <cfRule type="containsText" priority="6" operator="containsText" dxfId="1" text="Yes">
      <formula>NOT(ISERROR(SEARCH("Yes",D2)))</formula>
    </cfRule>
  </conditionalFormatting>
  <conditionalFormatting sqref="D19:D27">
    <cfRule type="containsText" priority="9" operator="containsText" dxfId="6" text="Partial">
      <formula>NOT(ISERROR(SEARCH("Partial",D19)))</formula>
    </cfRule>
    <cfRule type="containsText" priority="10" operator="containsText" dxfId="0" text="No">
      <formula>NOT(ISERROR(SEARCH("No",D19)))</formula>
    </cfRule>
    <cfRule type="containsText" priority="11" operator="containsText" dxfId="1" text="Yes">
      <formula>NOT(ISERROR(SEARCH("Yes",D19)))</formula>
    </cfRule>
  </conditionalFormatting>
  <conditionalFormatting sqref="F2:F32">
    <cfRule type="containsText" priority="2" operator="containsText" dxfId="1" text="No">
      <formula>NOT(ISERROR(SEARCH("No",F2)))</formula>
    </cfRule>
    <cfRule type="containsText" priority="3" operator="containsText" dxfId="0" text="Yes">
      <formula>NOT(ISERROR(SEARCH("Yes",F2)))</formula>
    </cfRule>
  </conditionalFormatting>
  <conditionalFormatting sqref="G2:G108">
    <cfRule type="containsText" priority="7" operator="containsText" dxfId="1" text="No">
      <formula>NOT(ISERROR(SEARCH("No",G2)))</formula>
    </cfRule>
    <cfRule type="containsText" priority="8" operator="containsText" dxfId="0" text="Yes">
      <formula>NOT(ISERROR(SEARCH("Yes",G2)))</formula>
    </cfRule>
  </conditionalFormatting>
  <dataValidations count="3">
    <dataValidation sqref="D2:D32" showDropDown="0" showInputMessage="1" showErrorMessage="1" allowBlank="1" type="list" operator="equal">
      <formula1>"Yes,No,Partial"</formula1>
      <formula2>0</formula2>
    </dataValidation>
    <dataValidation sqref="F2:F32" showDropDown="0" showInputMessage="1" showErrorMessage="1" allowBlank="1" type="list" operator="equal">
      <formula1>"Yes,No"</formula1>
      <formula2>0</formula2>
    </dataValidation>
    <dataValidation sqref="G2:G108" showDropDown="0" showInputMessage="1" showErrorMessage="1" allowBlank="1" operator="equal">
      <formula1>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48"/>
  <sheetViews>
    <sheetView zoomScale="85" zoomScaleNormal="85" workbookViewId="0">
      <selection activeCell="E41" sqref="E41:F41"/>
    </sheetView>
  </sheetViews>
  <sheetFormatPr baseColWidth="8" defaultColWidth="9.140625" defaultRowHeight="14.45"/>
  <cols>
    <col width="60.7109375" customWidth="1" style="44" min="1" max="1"/>
    <col width="60.7109375" customWidth="1" style="54" min="3" max="3"/>
    <col width="14.7109375" customWidth="1" style="54" min="4" max="4"/>
    <col width="30.7109375" customWidth="1" style="54" min="5" max="5"/>
    <col width="14.7109375" customWidth="1" style="54" min="6" max="7"/>
    <col width="60.7109375" customWidth="1" style="54" min="8" max="8"/>
  </cols>
  <sheetData>
    <row r="1" customFormat="1" s="53">
      <c r="A1" s="53" t="inlineStr">
        <is>
          <t>Norm</t>
        </is>
      </c>
      <c r="B1" s="53" t="inlineStr">
        <is>
          <t>G0_iii.#</t>
        </is>
      </c>
      <c r="C1" s="53" t="inlineStr">
        <is>
          <t>Automated requirement name</t>
        </is>
      </c>
      <c r="D1" s="53" t="inlineStr">
        <is>
          <t>Present</t>
        </is>
      </c>
      <c r="E1" s="53" t="inlineStr">
        <is>
          <t>Support</t>
        </is>
      </c>
      <c r="F1" s="53" t="inlineStr">
        <is>
          <t>Hallucination</t>
        </is>
      </c>
      <c r="G1" s="53" t="inlineStr">
        <is>
          <t>Hall. Type</t>
        </is>
      </c>
      <c r="H1" s="53" t="inlineStr">
        <is>
          <t>Rationale</t>
        </is>
      </c>
    </row>
    <row r="2" ht="15" customHeight="1" s="54">
      <c r="A2" s="49" t="inlineStr">
        <is>
          <t>Help messages during the {log-on procedure} must not aid an unauthorized user, e.g., by indicating which {parts of the data} are correct or incorrect</t>
        </is>
      </c>
      <c r="B2" t="inlineStr">
        <is>
          <t>G0_iii.1.1</t>
        </is>
      </c>
      <c r="C2" t="inlineStr">
        <is>
          <t>Secure Authentication Feedback for System Admins</t>
        </is>
      </c>
      <c r="D2" t="inlineStr">
        <is>
          <t>Yes</t>
        </is>
      </c>
      <c r="E2" t="inlineStr">
        <is>
          <t>H.1.1</t>
        </is>
      </c>
    </row>
    <row r="3" ht="15" customHeight="1" s="54">
      <c r="B3" t="inlineStr">
        <is>
          <t>G0_iii.1.2</t>
        </is>
      </c>
      <c r="C3" t="inlineStr">
        <is>
          <t>Secure Authentication Feedback for Security Managers</t>
        </is>
      </c>
      <c r="D3" t="inlineStr">
        <is>
          <t>Yes</t>
        </is>
      </c>
      <c r="E3" t="inlineStr">
        <is>
          <t>H.1.1</t>
        </is>
      </c>
    </row>
    <row r="4" ht="15" customHeight="1" s="54">
      <c r="B4" t="inlineStr">
        <is>
          <t>G0_iii.1.3</t>
        </is>
      </c>
      <c r="C4" t="inlineStr">
        <is>
          <t>Generalized Secure Authentication Feedback</t>
        </is>
      </c>
      <c r="D4" t="inlineStr">
        <is>
          <t>Yes</t>
        </is>
      </c>
      <c r="E4" t="inlineStr">
        <is>
          <t>H.1.1</t>
        </is>
      </c>
    </row>
    <row r="5" ht="15" customHeight="1" s="54">
      <c r="A5" s="49" t="inlineStr">
        <is>
          <t>A security incident must be raised if a potential attempted or successful breach of {log-on controls} is detected, and, when the risk of the incident warrants it, the account shall be temporarily restricted, plus an alert shall be sent to the {account owner}, and to the {organization's system administrators}.</t>
        </is>
      </c>
      <c r="B5" t="inlineStr">
        <is>
          <t>G0_iii.2.1</t>
        </is>
      </c>
      <c r="C5" t="inlineStr">
        <is>
          <t>Unauthorized Access Alert Mechanism</t>
        </is>
      </c>
      <c r="D5" t="inlineStr">
        <is>
          <t>Yes</t>
        </is>
      </c>
      <c r="E5" t="inlineStr">
        <is>
          <t>H.2.1</t>
        </is>
      </c>
    </row>
    <row r="6" ht="15" customHeight="1" s="54">
      <c r="B6" t="inlineStr">
        <is>
          <t>G0_iii.2.2</t>
        </is>
      </c>
      <c r="C6" t="inlineStr">
        <is>
          <t>Automated System Authentication Monitoring</t>
        </is>
      </c>
      <c r="D6" t="inlineStr">
        <is>
          <t>Yes</t>
        </is>
      </c>
      <c r="E6" t="inlineStr">
        <is>
          <t>H.2.1</t>
        </is>
      </c>
    </row>
    <row r="7" ht="15" customHeight="1" s="54">
      <c r="B7" t="inlineStr">
        <is>
          <t>G0_iii.2.3</t>
        </is>
      </c>
      <c r="C7" t="inlineStr">
        <is>
          <t>System Administrator Security Breach Response Enhancement</t>
        </is>
      </c>
      <c r="D7" t="inlineStr">
        <is>
          <t>No</t>
        </is>
      </c>
      <c r="F7" t="inlineStr">
        <is>
          <t>Yes</t>
        </is>
      </c>
      <c r="G7" t="inlineStr">
        <is>
          <t>Architectural infeasibility</t>
        </is>
      </c>
      <c r="H7" t="inlineStr">
        <is>
          <t>Rambles</t>
        </is>
      </c>
    </row>
    <row r="8" ht="15" customHeight="1" s="54">
      <c r="A8" s="49" t="inlineStr">
        <is>
          <t>Physical or logical access controls must be implemented to isolate {sensitive applications, data, or systems}.</t>
        </is>
      </c>
      <c r="B8" t="inlineStr">
        <is>
          <t>G0_iii.3.1</t>
        </is>
      </c>
      <c r="C8" t="inlineStr">
        <is>
          <t>Data Store Isolation</t>
        </is>
      </c>
      <c r="D8" t="inlineStr">
        <is>
          <t>Yes</t>
        </is>
      </c>
      <c r="E8" t="inlineStr">
        <is>
          <t>H.3.1</t>
        </is>
      </c>
    </row>
    <row r="9" ht="15" customHeight="1" s="54">
      <c r="B9" t="inlineStr">
        <is>
          <t>G0_iii.3.2</t>
        </is>
      </c>
      <c r="C9" t="inlineStr">
        <is>
          <t>AIDC System Security</t>
        </is>
      </c>
      <c r="D9" t="inlineStr">
        <is>
          <t>No</t>
        </is>
      </c>
      <c r="F9" t="inlineStr">
        <is>
          <t>Yes</t>
        </is>
      </c>
      <c r="G9" t="inlineStr">
        <is>
          <t>Template drift</t>
        </is>
      </c>
    </row>
    <row r="10" ht="15" customHeight="1" s="54">
      <c r="B10" t="inlineStr">
        <is>
          <t>G0_iii.3.3</t>
        </is>
      </c>
      <c r="C10" t="inlineStr">
        <is>
          <t>IoT Middleware Isolation</t>
        </is>
      </c>
      <c r="D10" t="inlineStr">
        <is>
          <t>No</t>
        </is>
      </c>
      <c r="F10" t="inlineStr">
        <is>
          <t>No</t>
        </is>
      </c>
    </row>
    <row r="11" ht="15" customHeight="1" s="54">
      <c r="B11" t="inlineStr">
        <is>
          <t>G0_iii.3.4</t>
        </is>
      </c>
      <c r="C11" t="inlineStr">
        <is>
          <t>Finished Car Registry Isolation</t>
        </is>
      </c>
      <c r="D11" t="inlineStr">
        <is>
          <t>Yes</t>
        </is>
      </c>
      <c r="E11" t="inlineStr">
        <is>
          <t>H.3.1</t>
        </is>
      </c>
    </row>
    <row r="12" ht="15" customHeight="1" s="54">
      <c r="B12" t="inlineStr">
        <is>
          <t>G0_iii.3.5</t>
        </is>
      </c>
      <c r="C12" t="inlineStr">
        <is>
          <t>Administration System Security</t>
        </is>
      </c>
      <c r="D12" t="inlineStr">
        <is>
          <t>Yes</t>
        </is>
      </c>
      <c r="E12" t="inlineStr">
        <is>
          <t>H.3.1</t>
        </is>
      </c>
    </row>
    <row r="13" ht="15" customHeight="1" s="54">
      <c r="A13" s="49" t="inlineStr">
        <is>
          <t>{Access to data} must be controlled based on {user identity, group membership, and assigned roles}</t>
        </is>
      </c>
      <c r="B13" t="inlineStr">
        <is>
          <t>G0_iii.4.1</t>
        </is>
      </c>
      <c r="C13" t="inlineStr">
        <is>
          <t>Datastore Access Control Management</t>
        </is>
      </c>
      <c r="D13" t="inlineStr">
        <is>
          <t>Yes</t>
        </is>
      </c>
      <c r="E13" s="44" t="inlineStr">
        <is>
          <t>H.4.7</t>
        </is>
      </c>
    </row>
    <row r="14">
      <c r="B14" t="inlineStr">
        <is>
          <t>G0_iii.4.2</t>
        </is>
      </c>
      <c r="C14" t="inlineStr">
        <is>
          <t>System Admin Access</t>
        </is>
      </c>
      <c r="D14" t="inlineStr">
        <is>
          <t>Yes</t>
        </is>
      </c>
      <c r="E14" s="44" t="inlineStr">
        <is>
          <t>H.4.7</t>
        </is>
      </c>
    </row>
    <row r="15">
      <c r="B15" t="inlineStr">
        <is>
          <t>G0_iii.4.3</t>
        </is>
      </c>
      <c r="C15" t="inlineStr">
        <is>
          <t>Operations Manager Access</t>
        </is>
      </c>
      <c r="D15" t="inlineStr">
        <is>
          <t>Yes</t>
        </is>
      </c>
      <c r="E15" s="44" t="inlineStr">
        <is>
          <t>H.4.7</t>
        </is>
      </c>
    </row>
    <row r="16">
      <c r="B16" t="inlineStr">
        <is>
          <t>G0_iii.4.4</t>
        </is>
      </c>
      <c r="C16" t="inlineStr">
        <is>
          <t>Security Manager Access</t>
        </is>
      </c>
      <c r="D16" t="inlineStr">
        <is>
          <t>Yes</t>
        </is>
      </c>
      <c r="E16" s="44" t="inlineStr">
        <is>
          <t>H.4.7</t>
        </is>
      </c>
    </row>
    <row r="17" ht="14.25" customHeight="1" s="54">
      <c r="B17" t="inlineStr">
        <is>
          <t>G0_iii.4.5</t>
        </is>
      </c>
      <c r="C17" t="inlineStr">
        <is>
          <t>Warehouse Manager Access</t>
        </is>
      </c>
      <c r="D17" t="inlineStr">
        <is>
          <t>Yes</t>
        </is>
      </c>
      <c r="E17" s="44" t="inlineStr">
        <is>
          <t>H.4.7</t>
        </is>
      </c>
    </row>
    <row r="18" ht="14.25" customHeight="1" s="54">
      <c r="B18" t="inlineStr">
        <is>
          <t>G0_iii.4.6</t>
        </is>
      </c>
      <c r="C18" t="inlineStr">
        <is>
          <t>Plant Manager Access</t>
        </is>
      </c>
      <c r="D18" t="inlineStr">
        <is>
          <t>Yes</t>
        </is>
      </c>
      <c r="E18" s="44" t="inlineStr">
        <is>
          <t>H.4.7</t>
        </is>
      </c>
    </row>
    <row r="19">
      <c r="B19" t="inlineStr">
        <is>
          <t>G0_iii.4.7</t>
        </is>
      </c>
      <c r="C19" t="inlineStr">
        <is>
          <t>Access Control Manager Access</t>
        </is>
      </c>
      <c r="D19" t="inlineStr">
        <is>
          <t>Yes</t>
        </is>
      </c>
      <c r="E19" s="44" t="inlineStr">
        <is>
          <t>H.4.7</t>
        </is>
      </c>
    </row>
    <row r="20">
      <c r="B20" t="inlineStr">
        <is>
          <t>G0_iii.4.8</t>
        </is>
      </c>
      <c r="C20" t="inlineStr">
        <is>
          <t>Dock Manager Access</t>
        </is>
      </c>
      <c r="D20" t="inlineStr">
        <is>
          <t>Yes</t>
        </is>
      </c>
      <c r="E20" s="44" t="inlineStr">
        <is>
          <t>H.4.7</t>
        </is>
      </c>
    </row>
    <row r="21">
      <c r="B21" t="inlineStr">
        <is>
          <t>G0_iii.4.9</t>
        </is>
      </c>
      <c r="C21" t="inlineStr">
        <is>
          <t>Shipping Manager Access</t>
        </is>
      </c>
      <c r="D21" t="inlineStr">
        <is>
          <t>Yes</t>
        </is>
      </c>
      <c r="E21" s="44" t="inlineStr">
        <is>
          <t>H.4.7</t>
        </is>
      </c>
    </row>
    <row r="22" ht="15" customHeight="1" s="54">
      <c r="A22" s="49" t="inlineStr">
        <is>
          <t>The {organization} shall maintain a record of {all privileges allocated}</t>
        </is>
      </c>
      <c r="B22" t="inlineStr">
        <is>
          <t>G0_iii.5.1</t>
        </is>
      </c>
      <c r="C22" t="inlineStr">
        <is>
          <t>Privilege Record for System and Role Access</t>
        </is>
      </c>
      <c r="D22" t="inlineStr">
        <is>
          <t>Yes</t>
        </is>
      </c>
      <c r="E22" t="inlineStr">
        <is>
          <t>H.5.1; H.5.2</t>
        </is>
      </c>
    </row>
    <row r="23">
      <c r="B23" t="inlineStr">
        <is>
          <t>G0_iii.5.2</t>
        </is>
      </c>
      <c r="C23" t="inlineStr">
        <is>
          <t>System Access Privilege Auditing</t>
        </is>
      </c>
      <c r="D23" t="inlineStr">
        <is>
          <t>Yes</t>
        </is>
      </c>
      <c r="E23" t="inlineStr">
        <is>
          <t>H.5.1; H.5.2</t>
        </is>
      </c>
    </row>
    <row r="24">
      <c r="B24" t="inlineStr">
        <is>
          <t>G0_iii.5.3</t>
        </is>
      </c>
      <c r="C24" t="inlineStr">
        <is>
          <t>Integrated Privilege Management and Reporting</t>
        </is>
      </c>
      <c r="D24" t="inlineStr">
        <is>
          <t>No</t>
        </is>
      </c>
      <c r="F24" t="inlineStr">
        <is>
          <t>No</t>
        </is>
      </c>
    </row>
    <row r="25">
      <c r="B25" t="inlineStr">
        <is>
          <t>G0_iii.5.4</t>
        </is>
      </c>
      <c r="C25" t="inlineStr">
        <is>
          <t>Secure Storage and Protection of Privilege Records</t>
        </is>
      </c>
      <c r="D25" t="inlineStr">
        <is>
          <t>No</t>
        </is>
      </c>
      <c r="F25" t="inlineStr">
        <is>
          <t>No</t>
        </is>
      </c>
    </row>
    <row r="26" ht="15" customHeight="1" s="54">
      <c r="A26" s="44" t="inlineStr">
        <is>
          <t>The {organization} shall regularly review {users} with privileged access rights to ensure that their {duties}, {roles}, {responsibilities}, and {competence} still justify such access</t>
        </is>
      </c>
      <c r="B26" t="inlineStr">
        <is>
          <t>G0_iii.6.1</t>
        </is>
      </c>
      <c r="C26" t="inlineStr">
        <is>
          <t>Regular Review of Privileged Access in AI4I4 Systems</t>
        </is>
      </c>
      <c r="D26" t="inlineStr">
        <is>
          <t>Yes</t>
        </is>
      </c>
      <c r="E26" t="inlineStr">
        <is>
          <t>H.6.1</t>
        </is>
      </c>
    </row>
    <row r="27" ht="15" customHeight="1" s="54">
      <c r="B27" t="inlineStr">
        <is>
          <t>G0_iii.6.2</t>
        </is>
      </c>
      <c r="C27" t="inlineStr">
        <is>
          <t>Competency Validation of Privileged Users in AI4I4 Operations</t>
        </is>
      </c>
      <c r="D27" t="inlineStr">
        <is>
          <t>No</t>
        </is>
      </c>
      <c r="F27" t="inlineStr">
        <is>
          <t>No</t>
        </is>
      </c>
    </row>
    <row r="28" ht="15" customHeight="1" s="54">
      <c r="A28" s="49" t="inlineStr">
        <is>
          <t>{Connection} of {systems} to the {network} must be restricted and filtered, e.g., using firewalls.</t>
        </is>
      </c>
      <c r="B28" t="inlineStr">
        <is>
          <t>G0_iii.7.1</t>
        </is>
      </c>
      <c r="C28" t="inlineStr">
        <is>
          <t>Secure Network Connection Management</t>
        </is>
      </c>
      <c r="D28" t="inlineStr">
        <is>
          <t>Yes</t>
        </is>
      </c>
      <c r="E28" t="inlineStr">
        <is>
          <t>H.7.1</t>
        </is>
      </c>
    </row>
    <row r="29">
      <c r="B29" t="inlineStr">
        <is>
          <t>G0_iii.7.2</t>
        </is>
      </c>
      <c r="C29" t="inlineStr">
        <is>
          <t>External Network Access Control</t>
        </is>
      </c>
      <c r="D29" t="inlineStr">
        <is>
          <t>Yes</t>
        </is>
      </c>
      <c r="E29" t="inlineStr">
        <is>
          <t>H.7.2; H.7.3</t>
        </is>
      </c>
    </row>
    <row r="30" ht="29.25" customHeight="1" s="54">
      <c r="A30" s="44" t="inlineStr">
        <is>
          <t>{Network administration channels} must be segregated from {other network traffic}</t>
        </is>
      </c>
      <c r="B30" t="inlineStr">
        <is>
          <t>G0_iii.8.1</t>
        </is>
      </c>
      <c r="C30" t="inlineStr">
        <is>
          <t>Segregation of System Administration Network Channels</t>
        </is>
      </c>
      <c r="D30" t="inlineStr">
        <is>
          <t>Yes</t>
        </is>
      </c>
      <c r="E30" t="inlineStr">
        <is>
          <t>H.8.1</t>
        </is>
      </c>
    </row>
    <row r="31">
      <c r="B31" t="inlineStr">
        <is>
          <t>G0_iii.8.2</t>
        </is>
      </c>
      <c r="C31" t="inlineStr">
        <is>
          <t>Secure Segregation Enforcement by Security Managers</t>
        </is>
      </c>
      <c r="D31" t="inlineStr">
        <is>
          <t>Yes</t>
        </is>
      </c>
      <c r="E31" t="inlineStr">
        <is>
          <t>H.8.1</t>
        </is>
      </c>
    </row>
    <row r="32" ht="15" customHeight="1" s="54">
      <c r="A32" s="49" t="inlineStr">
        <is>
          <t>Implement cryptographic measures to safeguard {information stored} on {mobile user} {endpoint devices} or {storage media} and transmitted over {networks}</t>
        </is>
      </c>
      <c r="B32" t="inlineStr">
        <is>
          <t>G0_iii.9.1</t>
        </is>
      </c>
      <c r="C32" t="inlineStr">
        <is>
          <t>Secure Data Storage on Handheld Devices</t>
        </is>
      </c>
      <c r="D32" t="inlineStr">
        <is>
          <t>Yes</t>
        </is>
      </c>
      <c r="E32" t="inlineStr">
        <is>
          <t>H.9.1</t>
        </is>
      </c>
    </row>
    <row r="33">
      <c r="B33" t="inlineStr">
        <is>
          <t>G0_iii.9.2</t>
        </is>
      </c>
      <c r="C33" t="inlineStr">
        <is>
          <t>Encrypted Data Transmission Over IoT Networks</t>
        </is>
      </c>
      <c r="D33" t="inlineStr">
        <is>
          <t>Yes</t>
        </is>
      </c>
      <c r="E33" t="inlineStr">
        <is>
          <t>H.9.3</t>
        </is>
      </c>
    </row>
    <row r="34">
      <c r="B34" t="inlineStr">
        <is>
          <t>G0_iii.9.3</t>
        </is>
      </c>
      <c r="C34" t="inlineStr">
        <is>
          <t>Administrative Mobile Device Encryption</t>
        </is>
      </c>
      <c r="D34" t="inlineStr">
        <is>
          <t>No</t>
        </is>
      </c>
      <c r="F34" t="inlineStr">
        <is>
          <t>No</t>
        </is>
      </c>
    </row>
    <row r="35">
      <c r="B35" t="inlineStr">
        <is>
          <t>G0_iii.9.4</t>
        </is>
      </c>
      <c r="C35" t="inlineStr">
        <is>
          <t>Integrity and Confidentiality of Network Communication</t>
        </is>
      </c>
      <c r="D35" t="inlineStr">
        <is>
          <t>Yes</t>
        </is>
      </c>
      <c r="E35" t="inlineStr">
        <is>
          <t>H.9.3</t>
        </is>
      </c>
    </row>
    <row r="36" ht="15" customHeight="1" s="54">
      <c r="A36" s="49" t="inlineStr">
        <is>
          <t>Establish a comprehensive key management system, including procedures for generating and protecting {cryptographic keys} and recovering {encrypted data} in case of lost, compromised, or damaged {keys}</t>
        </is>
      </c>
      <c r="B36" t="inlineStr">
        <is>
          <t>G0_iii.10.1</t>
        </is>
      </c>
      <c r="C36" t="inlineStr">
        <is>
          <t>Secure Transmission of AIDC Data</t>
        </is>
      </c>
      <c r="D36" t="inlineStr">
        <is>
          <t>No</t>
        </is>
      </c>
      <c r="F36" t="inlineStr">
        <is>
          <t>Yes</t>
        </is>
      </c>
      <c r="G36" t="inlineStr">
        <is>
          <t>Template drift</t>
        </is>
      </c>
    </row>
    <row r="37">
      <c r="B37" t="inlineStr">
        <is>
          <t>G0_iii.10.2</t>
        </is>
      </c>
      <c r="C37" t="inlineStr">
        <is>
          <t>Encryption of Sensitive Data Stores</t>
        </is>
      </c>
      <c r="D37" t="inlineStr">
        <is>
          <t>Yes</t>
        </is>
      </c>
      <c r="E37" t="inlineStr">
        <is>
          <t>H.10.2</t>
        </is>
      </c>
    </row>
    <row r="38">
      <c r="B38" t="inlineStr">
        <is>
          <t>G0_iii.10.3</t>
        </is>
      </c>
      <c r="C38" t="inlineStr">
        <is>
          <t>Middleware Cryptographic Key Management</t>
        </is>
      </c>
      <c r="D38" t="inlineStr">
        <is>
          <t>No</t>
        </is>
      </c>
      <c r="F38" t="inlineStr">
        <is>
          <t>Yes</t>
        </is>
      </c>
      <c r="G38" t="inlineStr">
        <is>
          <t>Architectural infeasibility</t>
        </is>
      </c>
    </row>
    <row r="39">
      <c r="B39" t="inlineStr">
        <is>
          <t>G0_iii.10.4</t>
        </is>
      </c>
      <c r="C39" t="inlineStr">
        <is>
          <t>Role-Specific Key Access and Management</t>
        </is>
      </c>
      <c r="D39" t="inlineStr">
        <is>
          <t>Partial</t>
        </is>
      </c>
      <c r="E39" t="inlineStr">
        <is>
          <t>H.10.2</t>
        </is>
      </c>
      <c r="F39" t="inlineStr">
        <is>
          <t>No</t>
        </is>
      </c>
    </row>
    <row r="40" ht="14.45" customHeight="1" s="54">
      <c r="B40" s="16" t="inlineStr">
        <is>
          <t>Count</t>
        </is>
      </c>
      <c r="C40" s="16" t="inlineStr">
        <is>
          <t>No</t>
        </is>
      </c>
      <c r="D40" s="16">
        <f>COUNTIF(D2:D39,"No")</f>
        <v/>
      </c>
      <c r="E40" s="16" t="inlineStr">
        <is>
          <t>Hallucinations</t>
        </is>
      </c>
      <c r="F40" s="16">
        <f>COUNTIF(F2:F39,"Yes")</f>
        <v/>
      </c>
    </row>
    <row r="41" ht="14.45" customHeight="1" s="54">
      <c r="B41" s="47" t="n"/>
      <c r="C41" s="16" t="inlineStr">
        <is>
          <t>Yes</t>
        </is>
      </c>
      <c r="D41" s="16">
        <f>COUNTIF(D2:D39,"Yes")</f>
        <v/>
      </c>
      <c r="E41" s="16" t="inlineStr">
        <is>
          <t>Partial hallucinations</t>
        </is>
      </c>
      <c r="F41">
        <f>COUNTIFS(D:D,"Partial",F:F,"Yes")</f>
        <v/>
      </c>
    </row>
    <row r="42" ht="14.45" customHeight="1" s="54">
      <c r="B42" s="47" t="n"/>
      <c r="C42" s="16" t="inlineStr">
        <is>
          <t>Partial</t>
        </is>
      </c>
      <c r="D42" s="16">
        <f>COUNTIF(D2:D39,"Partial")</f>
        <v/>
      </c>
      <c r="E42" s="10" t="inlineStr">
        <is>
          <t>Template drift</t>
        </is>
      </c>
      <c r="F42">
        <f>COUNTIF($G$2:$G$39,E42)</f>
        <v/>
      </c>
    </row>
    <row r="43" ht="15" customHeight="1" s="54">
      <c r="E43" s="10" t="inlineStr">
        <is>
          <t>Contextual misfit</t>
        </is>
      </c>
      <c r="F43">
        <f>COUNTIF($G$2:$G$39,E43)</f>
        <v/>
      </c>
    </row>
    <row r="44" ht="15" customHeight="1" s="54">
      <c r="E44" s="10" t="inlineStr">
        <is>
          <t>Scope misalignment</t>
        </is>
      </c>
      <c r="F44">
        <f>COUNTIF($G$2:$G$39,E44)</f>
        <v/>
      </c>
    </row>
    <row r="45" ht="15" customHeight="1" s="54">
      <c r="E45" s="10" t="inlineStr">
        <is>
          <t>Responsibility leakage</t>
        </is>
      </c>
      <c r="F45">
        <f>COUNTIF($G$2:$G$39,E45)</f>
        <v/>
      </c>
    </row>
    <row r="46" ht="15" customHeight="1" s="54">
      <c r="E46" s="10" t="inlineStr">
        <is>
          <t>Architectural infeasibility</t>
        </is>
      </c>
      <c r="F46">
        <f>COUNTIF($G$2:$G$39,E46)</f>
        <v/>
      </c>
    </row>
    <row r="47" ht="15" customHeight="1" s="54"/>
    <row r="48" ht="15" customHeight="1" s="54">
      <c r="E48" s="16" t="inlineStr">
        <is>
          <t>Discoveries</t>
        </is>
      </c>
      <c r="F48" s="16">
        <f>COUNTIF(F2:F39,"No")</f>
        <v/>
      </c>
    </row>
  </sheetData>
  <mergeCells count="10">
    <mergeCell ref="A13:A21"/>
    <mergeCell ref="A36:A39"/>
    <mergeCell ref="A32:A35"/>
    <mergeCell ref="A2:A4"/>
    <mergeCell ref="A28:A29"/>
    <mergeCell ref="A8:A12"/>
    <mergeCell ref="A26:A27"/>
    <mergeCell ref="A5:A7"/>
    <mergeCell ref="A22:A25"/>
    <mergeCell ref="A30:A31"/>
  </mergeCells>
  <conditionalFormatting sqref="D2:D39">
    <cfRule type="containsText" priority="4" operator="containsText" dxfId="6" text="Partial">
      <formula>NOT(ISERROR(SEARCH("Partial",D2)))</formula>
    </cfRule>
    <cfRule type="containsText" priority="5" operator="containsText" dxfId="0" text="No">
      <formula>NOT(ISERROR(SEARCH("No",D2)))</formula>
    </cfRule>
    <cfRule type="containsText" priority="6" operator="containsText" dxfId="1" text="Yes">
      <formula>NOT(ISERROR(SEARCH("Yes",D2)))</formula>
    </cfRule>
  </conditionalFormatting>
  <conditionalFormatting sqref="F2:F39">
    <cfRule type="containsText" priority="2" operator="containsText" dxfId="1" text="No">
      <formula>NOT(ISERROR(SEARCH("No",F2)))</formula>
    </cfRule>
    <cfRule type="containsText" priority="3" operator="containsText" dxfId="0" text="Yes">
      <formula>NOT(ISERROR(SEARCH("Yes",F2)))</formula>
    </cfRule>
  </conditionalFormatting>
  <conditionalFormatting sqref="G2:G108">
    <cfRule type="containsText" priority="10" operator="containsText" dxfId="1" text="No">
      <formula>NOT(ISERROR(SEARCH("No",G2)))</formula>
    </cfRule>
    <cfRule type="containsText" priority="11" operator="containsText" dxfId="0" text="Yes">
      <formula>NOT(ISERROR(SEARCH("Yes",G2)))</formula>
    </cfRule>
  </conditionalFormatting>
  <dataValidations count="3">
    <dataValidation sqref="D2:D39" showDropDown="0" showInputMessage="1" showErrorMessage="1" allowBlank="1" type="list" operator="equal">
      <formula1>"Yes,No,Partial"</formula1>
      <formula2>0</formula2>
    </dataValidation>
    <dataValidation sqref="F2:F39" showDropDown="0" showInputMessage="1" showErrorMessage="1" allowBlank="1" type="list" operator="equal">
      <formula1>"Yes,No"</formula1>
      <formula2>0</formula2>
    </dataValidation>
    <dataValidation sqref="G2:G108" showDropDown="0" showInputMessage="1" showErrorMessage="1" allowBlank="1" operator="equal">
      <formula1>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40"/>
  <sheetViews>
    <sheetView zoomScale="85" zoomScaleNormal="85" workbookViewId="0">
      <selection activeCell="E33" sqref="E33:F33"/>
    </sheetView>
  </sheetViews>
  <sheetFormatPr baseColWidth="8" defaultColWidth="9.140625" defaultRowHeight="14.45"/>
  <cols>
    <col width="60.7109375" customWidth="1" style="44" min="1" max="1"/>
    <col width="60.7109375" customWidth="1" style="54" min="3" max="3"/>
    <col width="14.7109375" customWidth="1" style="54" min="4" max="4"/>
    <col width="30.7109375" customWidth="1" style="54" min="5" max="5"/>
    <col width="14.7109375" customWidth="1" style="54" min="6" max="7"/>
    <col width="60.7109375" customWidth="1" style="54" min="8" max="8"/>
  </cols>
  <sheetData>
    <row r="1" customFormat="1" s="53">
      <c r="A1" s="53" t="inlineStr">
        <is>
          <t>Norm</t>
        </is>
      </c>
      <c r="B1" s="53" t="inlineStr">
        <is>
          <t>G0_iv.#</t>
        </is>
      </c>
      <c r="C1" s="53" t="inlineStr">
        <is>
          <t>Automated requirement name</t>
        </is>
      </c>
      <c r="D1" s="53" t="inlineStr">
        <is>
          <t>Present</t>
        </is>
      </c>
      <c r="E1" s="53" t="inlineStr">
        <is>
          <t>Support</t>
        </is>
      </c>
      <c r="F1" s="53" t="inlineStr">
        <is>
          <t>Hallucination</t>
        </is>
      </c>
      <c r="G1" s="53" t="inlineStr">
        <is>
          <t>Hall. Type</t>
        </is>
      </c>
      <c r="H1" s="53" t="inlineStr">
        <is>
          <t>Rationale</t>
        </is>
      </c>
    </row>
    <row r="2" ht="15" customHeight="1" s="54">
      <c r="A2" s="49" t="inlineStr">
        <is>
          <t>Help messages during the {log-on procedure} must not aid an unauthorized user, e.g., by indicating which {parts of the data} are correct or incorrect</t>
        </is>
      </c>
      <c r="B2" t="inlineStr">
        <is>
          <t>G0_iv.1.1</t>
        </is>
      </c>
      <c r="C2" t="inlineStr">
        <is>
          <t>Secure Log-on Feedback Mechanism</t>
        </is>
      </c>
      <c r="D2" t="inlineStr">
        <is>
          <t>Yes</t>
        </is>
      </c>
      <c r="E2" t="inlineStr">
        <is>
          <t>H.1.1</t>
        </is>
      </c>
    </row>
    <row r="3" ht="15" customHeight="1" s="54">
      <c r="A3" s="49" t="inlineStr">
        <is>
          <t>A security incident must be raised if a potential attempted or successful breach of {log-on controls} is detected, and, when the risk of the incident warrants it, the account shall be temporarily restricted, plus an alert shall be sent to the {account owner}, and to the {organization's system administrators}.</t>
        </is>
      </c>
      <c r="B3" t="inlineStr">
        <is>
          <t>G0_iv.2.1</t>
        </is>
      </c>
      <c r="C3" t="inlineStr">
        <is>
          <t>Login Attempt Security Monitoring</t>
        </is>
      </c>
      <c r="D3" t="inlineStr">
        <is>
          <t>Yes</t>
        </is>
      </c>
      <c r="E3" t="inlineStr">
        <is>
          <t>H.2.1</t>
        </is>
      </c>
    </row>
    <row r="4" ht="15" customHeight="1" s="54">
      <c r="B4" t="inlineStr">
        <is>
          <t>G0_iv.2.2</t>
        </is>
      </c>
      <c r="C4" t="inlineStr">
        <is>
          <t>Security Breach Notification Protocol</t>
        </is>
      </c>
      <c r="D4" t="inlineStr">
        <is>
          <t>Yes</t>
        </is>
      </c>
      <c r="E4" t="inlineStr">
        <is>
          <t>H.2.1</t>
        </is>
      </c>
    </row>
    <row r="5" ht="15" customHeight="1" s="54">
      <c r="A5" s="49" t="inlineStr">
        <is>
          <t>Physical or logical access controls must be implemented to isolate {sensitive applications, data, or systems}.</t>
        </is>
      </c>
      <c r="B5" t="inlineStr">
        <is>
          <t>G0_iv.3.1</t>
        </is>
      </c>
      <c r="C5" t="inlineStr">
        <is>
          <t>Secure Isolation of Requisitions Data Store</t>
        </is>
      </c>
      <c r="D5" t="inlineStr">
        <is>
          <t>Yes</t>
        </is>
      </c>
      <c r="E5" t="inlineStr">
        <is>
          <t>H.3.1; H.3.4</t>
        </is>
      </c>
    </row>
    <row r="6" ht="15" customHeight="1" s="54">
      <c r="B6" t="inlineStr">
        <is>
          <t>G0_iv.3.2</t>
        </is>
      </c>
      <c r="C6" t="inlineStr">
        <is>
          <t>Access Control Enforcement on Supply Vehicles Registry</t>
        </is>
      </c>
      <c r="D6" t="inlineStr">
        <is>
          <t>Yes</t>
        </is>
      </c>
      <c r="E6" t="inlineStr">
        <is>
          <t>H.3.1</t>
        </is>
      </c>
    </row>
    <row r="7" ht="15" customHeight="1" s="54">
      <c r="B7" t="inlineStr">
        <is>
          <t>G0_iv.3.3</t>
        </is>
      </c>
      <c r="C7" t="inlineStr">
        <is>
          <t>Warehouse Inventory Data Integrity and Confidentiality</t>
        </is>
      </c>
      <c r="D7" t="inlineStr">
        <is>
          <t>No</t>
        </is>
      </c>
      <c r="F7" t="inlineStr">
        <is>
          <t>Yes</t>
        </is>
      </c>
      <c r="G7" t="inlineStr">
        <is>
          <t>Template drift</t>
        </is>
      </c>
    </row>
    <row r="8" ht="15" customHeight="1" s="54">
      <c r="B8" t="inlineStr">
        <is>
          <t>G0_iv.3.4</t>
        </is>
      </c>
      <c r="C8" t="inlineStr">
        <is>
          <t>Secure Isolation of Production Plan Data</t>
        </is>
      </c>
      <c r="D8" t="inlineStr">
        <is>
          <t>Yes</t>
        </is>
      </c>
      <c r="E8" t="inlineStr">
        <is>
          <t>H.3.1</t>
        </is>
      </c>
    </row>
    <row r="9" ht="15" customHeight="1" s="54">
      <c r="B9" t="inlineStr">
        <is>
          <t>G0_iv.3.5</t>
        </is>
      </c>
      <c r="C9" t="inlineStr">
        <is>
          <t>Finished Car Data Security</t>
        </is>
      </c>
      <c r="D9" t="inlineStr">
        <is>
          <t>Yes</t>
        </is>
      </c>
      <c r="E9" t="inlineStr">
        <is>
          <t>H.3.1</t>
        </is>
      </c>
    </row>
    <row r="10" ht="15" customHeight="1" s="54">
      <c r="B10" t="inlineStr">
        <is>
          <t>G0_iv.3.6</t>
        </is>
      </c>
      <c r="C10" t="inlineStr">
        <is>
          <t>Robust Isolation of System Infrastructure</t>
        </is>
      </c>
      <c r="D10" t="inlineStr">
        <is>
          <t>Yes</t>
        </is>
      </c>
      <c r="E10" t="inlineStr">
        <is>
          <t>H.3.2</t>
        </is>
      </c>
    </row>
    <row r="11" ht="15" customHeight="1" s="54">
      <c r="A11" s="49" t="inlineStr">
        <is>
          <t>{Access to data} must be controlled based on {user identity, group membership, and assigned roles}</t>
        </is>
      </c>
      <c r="B11" t="inlineStr">
        <is>
          <t>G0_iv.4.1</t>
        </is>
      </c>
      <c r="C11" t="inlineStr">
        <is>
          <t>Role-Based Data Access Control for System Security and Integrity</t>
        </is>
      </c>
      <c r="D11" t="inlineStr">
        <is>
          <t>No</t>
        </is>
      </c>
      <c r="F11" t="inlineStr">
        <is>
          <t>No</t>
        </is>
      </c>
    </row>
    <row r="12">
      <c r="B12" t="inlineStr">
        <is>
          <t>G0_iv.4.2</t>
        </is>
      </c>
      <c r="C12" t="inlineStr">
        <is>
          <t>Secure Data Interface Access for Operational Efficiency</t>
        </is>
      </c>
      <c r="D12" t="inlineStr">
        <is>
          <t>No</t>
        </is>
      </c>
      <c r="F12" t="inlineStr">
        <is>
          <t>Yes</t>
        </is>
      </c>
      <c r="G12" t="inlineStr">
        <is>
          <t>Template drift</t>
        </is>
      </c>
    </row>
    <row r="13">
      <c r="B13" t="inlineStr">
        <is>
          <t>G0_iv.4.3</t>
        </is>
      </c>
      <c r="C13" t="inlineStr">
        <is>
          <t>Authentication and Authorization Protocols for Data Protection</t>
        </is>
      </c>
      <c r="D13" t="inlineStr">
        <is>
          <t>Yes</t>
        </is>
      </c>
      <c r="E13" s="44" t="inlineStr">
        <is>
          <t>H.4.7</t>
        </is>
      </c>
    </row>
    <row r="14" ht="14.25" customHeight="1" s="54">
      <c r="A14" s="49" t="inlineStr">
        <is>
          <t>The {organization} shall maintain a record of {all privileges allocated}</t>
        </is>
      </c>
      <c r="B14" t="inlineStr">
        <is>
          <t>G0_iv.5.1</t>
        </is>
      </c>
      <c r="C14" t="inlineStr">
        <is>
          <t>Privilege Allocation Record Management</t>
        </is>
      </c>
      <c r="D14" t="inlineStr">
        <is>
          <t>Yes</t>
        </is>
      </c>
      <c r="E14" t="inlineStr">
        <is>
          <t>H.5.1; H.5.2</t>
        </is>
      </c>
    </row>
    <row r="15" ht="14.25" customHeight="1" s="54">
      <c r="B15" t="inlineStr">
        <is>
          <t>G0_iv.5.2</t>
        </is>
      </c>
      <c r="C15" t="inlineStr">
        <is>
          <t>Privilege Audit Compliance</t>
        </is>
      </c>
      <c r="D15" t="inlineStr">
        <is>
          <t>No</t>
        </is>
      </c>
      <c r="F15" t="inlineStr">
        <is>
          <t>Yes</t>
        </is>
      </c>
      <c r="G15" t="inlineStr">
        <is>
          <t>Template drift</t>
        </is>
      </c>
    </row>
    <row r="16" ht="14.25" customHeight="1" s="54">
      <c r="B16" t="inlineStr">
        <is>
          <t>G0_iv.5.3</t>
        </is>
      </c>
      <c r="C16" t="inlineStr">
        <is>
          <t>Privilege Access Transparency</t>
        </is>
      </c>
      <c r="D16" t="inlineStr">
        <is>
          <t>No</t>
        </is>
      </c>
      <c r="F16" t="inlineStr">
        <is>
          <t>Yes</t>
        </is>
      </c>
      <c r="G16" t="inlineStr">
        <is>
          <t>Template drift</t>
        </is>
      </c>
    </row>
    <row r="17" ht="15" customHeight="1" s="54">
      <c r="A17" s="44" t="inlineStr">
        <is>
          <t>The {organization} shall regularly review {users} with privileged access rights to ensure that their {duties}, {roles}, {responsibilities}, and {competence} still justify such access</t>
        </is>
      </c>
      <c r="B17" t="inlineStr">
        <is>
          <t>G0_iv.6.1</t>
        </is>
      </c>
      <c r="C17" t="inlineStr">
        <is>
          <t>Periodic Review of Privileged Factory Roles</t>
        </is>
      </c>
      <c r="D17" t="inlineStr">
        <is>
          <t>Yes</t>
        </is>
      </c>
      <c r="E17" t="inlineStr">
        <is>
          <t>H.6.1</t>
        </is>
      </c>
    </row>
    <row r="18" ht="15" customHeight="1" s="54">
      <c r="A18" s="49" t="inlineStr">
        <is>
          <t>{Connection} of {systems} to the {network} must be restricted and filtered, e.g., using firewalls.</t>
        </is>
      </c>
      <c r="B18" t="inlineStr">
        <is>
          <t>G0_iv.7.1</t>
        </is>
      </c>
      <c r="C18" t="inlineStr">
        <is>
          <t>Secure Network Access for IoT Devices and Systems</t>
        </is>
      </c>
      <c r="D18" t="inlineStr">
        <is>
          <t>Yes</t>
        </is>
      </c>
      <c r="E18" t="inlineStr">
        <is>
          <t>H.7.1</t>
        </is>
      </c>
    </row>
    <row r="19" ht="14.25" customHeight="1" s="54">
      <c r="B19" t="inlineStr">
        <is>
          <t>G0_iv.7.2</t>
        </is>
      </c>
      <c r="C19" t="inlineStr">
        <is>
          <t>Filtering and Monitoring of System Connections</t>
        </is>
      </c>
      <c r="D19" t="inlineStr">
        <is>
          <t>Yes</t>
        </is>
      </c>
      <c r="E19" t="inlineStr">
        <is>
          <t>H.7.1; H.7.2; H.7.3</t>
        </is>
      </c>
    </row>
    <row r="20">
      <c r="B20" t="inlineStr">
        <is>
          <t>G0_iv.7.3</t>
        </is>
      </c>
      <c r="C20" t="inlineStr">
        <is>
          <t>Secured Middleware Network Channels</t>
        </is>
      </c>
      <c r="D20" t="inlineStr">
        <is>
          <t>Yes</t>
        </is>
      </c>
      <c r="E20" t="inlineStr">
        <is>
          <t>H.7.1</t>
        </is>
      </c>
    </row>
    <row r="21">
      <c r="B21" t="inlineStr">
        <is>
          <t>G0_iv.7.4</t>
        </is>
      </c>
      <c r="C21" t="inlineStr">
        <is>
          <t>Validated Access for Manufacturing Systems</t>
        </is>
      </c>
      <c r="D21" t="inlineStr">
        <is>
          <t>Yes</t>
        </is>
      </c>
      <c r="E21" t="inlineStr">
        <is>
          <t>H.7.1</t>
        </is>
      </c>
    </row>
    <row r="22" ht="29.25" customHeight="1" s="54">
      <c r="A22" s="44" t="inlineStr">
        <is>
          <t>{Network administration channels} must be segregated from {other network traffic}</t>
        </is>
      </c>
      <c r="B22" t="inlineStr">
        <is>
          <t>G0_iv.8.1</t>
        </is>
      </c>
      <c r="C22" t="inlineStr">
        <is>
          <t>Network Segregation for Administration Channels</t>
        </is>
      </c>
      <c r="D22" t="inlineStr">
        <is>
          <t>Yes</t>
        </is>
      </c>
      <c r="E22" t="inlineStr">
        <is>
          <t>H.8.1</t>
        </is>
      </c>
    </row>
    <row r="23" ht="15" customHeight="1" s="54">
      <c r="A23" s="49" t="inlineStr">
        <is>
          <t>Implement cryptographic measures to safeguard {information stored} on {mobile user} {endpoint devices} or {storage media} and transmitted over {networks}</t>
        </is>
      </c>
      <c r="B23" t="inlineStr">
        <is>
          <t>G0_iv.9.1</t>
        </is>
      </c>
      <c r="C23" t="inlineStr">
        <is>
          <t>Cryptographic Protection of Data Storage on Mobile Devices</t>
        </is>
      </c>
      <c r="D23" t="inlineStr">
        <is>
          <t>Yes</t>
        </is>
      </c>
      <c r="E23" t="inlineStr">
        <is>
          <t>H.9.1</t>
        </is>
      </c>
    </row>
    <row r="24">
      <c r="B24" t="inlineStr">
        <is>
          <t>G0_iv.9.2</t>
        </is>
      </c>
      <c r="C24" t="inlineStr">
        <is>
          <t>Cryptographic Security for Data Transmission</t>
        </is>
      </c>
      <c r="D24" t="inlineStr">
        <is>
          <t>Yes</t>
        </is>
      </c>
      <c r="E24" t="inlineStr">
        <is>
          <t>H.9.3</t>
        </is>
      </c>
    </row>
    <row r="25">
      <c r="B25" t="inlineStr">
        <is>
          <t>G0_iv.9.3</t>
        </is>
      </c>
      <c r="C25" t="inlineStr">
        <is>
          <t>Endpoint Device Data Encryption</t>
        </is>
      </c>
      <c r="D25" t="inlineStr">
        <is>
          <t>No</t>
        </is>
      </c>
      <c r="F25" t="inlineStr">
        <is>
          <t>No</t>
        </is>
      </c>
    </row>
    <row r="26">
      <c r="B26" t="inlineStr">
        <is>
          <t>G0_iv.9.4</t>
        </is>
      </c>
      <c r="C26" t="inlineStr">
        <is>
          <t>Secure Storage Media Encryption</t>
        </is>
      </c>
      <c r="D26" t="inlineStr">
        <is>
          <t>Yes</t>
        </is>
      </c>
      <c r="E26" t="inlineStr">
        <is>
          <t>H.9.1</t>
        </is>
      </c>
    </row>
    <row r="27">
      <c r="B27" t="inlineStr">
        <is>
          <t>G0_iv.9.5</t>
        </is>
      </c>
      <c r="C27" t="inlineStr">
        <is>
          <t>Comprehensive Network Encryption</t>
        </is>
      </c>
      <c r="D27" t="inlineStr">
        <is>
          <t>Yes</t>
        </is>
      </c>
      <c r="E27" t="inlineStr">
        <is>
          <t>H.9.3</t>
        </is>
      </c>
    </row>
    <row r="28" ht="15" customHeight="1" s="54">
      <c r="A28" s="49" t="inlineStr">
        <is>
          <t>Establish a comprehensive key management system, including procedures for generating and protecting {cryptographic keys} and recovering {encrypted data} in case of lost, compromised, or damaged {keys}</t>
        </is>
      </c>
      <c r="B28" t="inlineStr">
        <is>
          <t>G0_iv.10.1</t>
        </is>
      </c>
      <c r="C28" t="inlineStr">
        <is>
          <t>IoT Device Key Security Management</t>
        </is>
      </c>
      <c r="D28" t="inlineStr">
        <is>
          <t>Yes</t>
        </is>
      </c>
      <c r="E28" t="inlineStr">
        <is>
          <t>H.10.1; H.10.3</t>
        </is>
      </c>
    </row>
    <row r="29">
      <c r="B29" t="inlineStr">
        <is>
          <t>G0_iv.10.2</t>
        </is>
      </c>
      <c r="C29" t="inlineStr">
        <is>
          <t>Middleware Encryption Key Lifecycle Management</t>
        </is>
      </c>
      <c r="D29" t="inlineStr">
        <is>
          <t>No</t>
        </is>
      </c>
      <c r="F29" t="inlineStr">
        <is>
          <t>Yes</t>
        </is>
      </c>
      <c r="G29" t="inlineStr">
        <is>
          <t>Architectural infeasibility</t>
        </is>
      </c>
    </row>
    <row r="30">
      <c r="B30" t="inlineStr">
        <is>
          <t>G0_iv.10.3</t>
        </is>
      </c>
      <c r="C30" t="inlineStr">
        <is>
          <t>Operational Technology Encryption Oversight</t>
        </is>
      </c>
      <c r="D30" t="inlineStr">
        <is>
          <t>No</t>
        </is>
      </c>
      <c r="F30" t="inlineStr">
        <is>
          <t>Yes</t>
        </is>
      </c>
      <c r="G30" t="inlineStr">
        <is>
          <t>Architectural infeasibility</t>
        </is>
      </c>
    </row>
    <row r="31">
      <c r="B31" t="inlineStr">
        <is>
          <t>G0_iv.10.4</t>
        </is>
      </c>
      <c r="C31" t="inlineStr">
        <is>
          <t>Robust Key Recovery and Redundancy</t>
        </is>
      </c>
      <c r="D31" t="inlineStr">
        <is>
          <t>Yes</t>
        </is>
      </c>
      <c r="E31" t="inlineStr">
        <is>
          <t>H.10.2</t>
        </is>
      </c>
    </row>
    <row r="32" ht="14.45" customHeight="1" s="54">
      <c r="B32" s="16" t="inlineStr">
        <is>
          <t>Count</t>
        </is>
      </c>
      <c r="C32" s="16" t="inlineStr">
        <is>
          <t>No</t>
        </is>
      </c>
      <c r="D32" s="16">
        <f>COUNTIF(D2:D31,"No")</f>
        <v/>
      </c>
      <c r="E32" s="16" t="inlineStr">
        <is>
          <t>Hallucinations</t>
        </is>
      </c>
      <c r="F32" s="16">
        <f>COUNTIF(F2:F31,"Yes")</f>
        <v/>
      </c>
    </row>
    <row r="33" ht="14.45" customHeight="1" s="54">
      <c r="B33" s="47" t="n"/>
      <c r="C33" s="16" t="inlineStr">
        <is>
          <t>Yes</t>
        </is>
      </c>
      <c r="D33" s="16">
        <f>COUNTIF(D2:D31,"Yes")</f>
        <v/>
      </c>
      <c r="E33" s="16" t="inlineStr">
        <is>
          <t>Partial hallucinations</t>
        </is>
      </c>
      <c r="F33">
        <f>COUNTIFS(D:D,"Partial",F:F,"Yes")</f>
        <v/>
      </c>
    </row>
    <row r="34" ht="14.45" customHeight="1" s="54">
      <c r="B34" s="47" t="n"/>
      <c r="C34" s="16" t="inlineStr">
        <is>
          <t>Partial</t>
        </is>
      </c>
      <c r="D34" s="16">
        <f>COUNTIF(D2:D31,"Partial")</f>
        <v/>
      </c>
      <c r="E34" s="10" t="inlineStr">
        <is>
          <t>Template drift</t>
        </is>
      </c>
      <c r="F34">
        <f>COUNTIF($G$2:$G$31,E34)</f>
        <v/>
      </c>
    </row>
    <row r="35" ht="15" customHeight="1" s="54">
      <c r="E35" s="10" t="inlineStr">
        <is>
          <t>Contextual misfit</t>
        </is>
      </c>
      <c r="F35">
        <f>COUNTIF($G$2:$G$31,E35)</f>
        <v/>
      </c>
    </row>
    <row r="36" ht="15" customHeight="1" s="54">
      <c r="E36" s="10" t="inlineStr">
        <is>
          <t>Scope misalignment</t>
        </is>
      </c>
      <c r="F36">
        <f>COUNTIF($G$2:$G$31,E36)</f>
        <v/>
      </c>
    </row>
    <row r="37" ht="15" customHeight="1" s="54">
      <c r="E37" s="10" t="inlineStr">
        <is>
          <t>Responsibility leakage</t>
        </is>
      </c>
      <c r="F37">
        <f>COUNTIF($G$2:$G$31,E37)</f>
        <v/>
      </c>
    </row>
    <row r="38" ht="15" customHeight="1" s="54">
      <c r="E38" s="10" t="inlineStr">
        <is>
          <t>Architectural infeasibility</t>
        </is>
      </c>
      <c r="F38">
        <f>COUNTIF($G$2:$G$31,E38)</f>
        <v/>
      </c>
    </row>
    <row r="39" ht="15" customHeight="1" s="54"/>
    <row r="40" ht="15" customHeight="1" s="54">
      <c r="E40" s="16" t="inlineStr">
        <is>
          <t>Discoveries</t>
        </is>
      </c>
      <c r="F40" s="16">
        <f>COUNTIF(F2:F31,"No")</f>
        <v/>
      </c>
    </row>
  </sheetData>
  <mergeCells count="7">
    <mergeCell ref="A18:A21"/>
    <mergeCell ref="A3:A4"/>
    <mergeCell ref="A28:A31"/>
    <mergeCell ref="A11:A13"/>
    <mergeCell ref="A14:A16"/>
    <mergeCell ref="A23:A27"/>
    <mergeCell ref="A5:A10"/>
  </mergeCells>
  <conditionalFormatting sqref="D2:D16 D19:D21 D23:D31">
    <cfRule type="containsText" priority="4" operator="containsText" dxfId="6" text="Partial">
      <formula>NOT(ISERROR(SEARCH("Partial",D2)))</formula>
    </cfRule>
    <cfRule type="containsText" priority="5" operator="containsText" dxfId="0" text="No">
      <formula>NOT(ISERROR(SEARCH("No",D2)))</formula>
    </cfRule>
    <cfRule type="containsText" priority="6" operator="containsText" dxfId="1" text="Yes">
      <formula>NOT(ISERROR(SEARCH("Yes",D2)))</formula>
    </cfRule>
  </conditionalFormatting>
  <conditionalFormatting sqref="D17:D22">
    <cfRule type="containsText" priority="12" operator="containsText" dxfId="6" text="Partial">
      <formula>NOT(ISERROR(SEARCH("Partial",D17)))</formula>
    </cfRule>
    <cfRule type="containsText" priority="13" operator="containsText" dxfId="0" text="No">
      <formula>NOT(ISERROR(SEARCH("No",D17)))</formula>
    </cfRule>
    <cfRule type="containsText" priority="14" operator="containsText" dxfId="1" text="Yes">
      <formula>NOT(ISERROR(SEARCH("Yes",D17)))</formula>
    </cfRule>
  </conditionalFormatting>
  <conditionalFormatting sqref="F2:F31">
    <cfRule type="containsText" priority="2" operator="containsText" dxfId="1" text="No">
      <formula>NOT(ISERROR(SEARCH("No",F2)))</formula>
    </cfRule>
    <cfRule type="containsText" priority="3" operator="containsText" dxfId="0" text="Yes">
      <formula>NOT(ISERROR(SEARCH("Yes",F2)))</formula>
    </cfRule>
  </conditionalFormatting>
  <conditionalFormatting sqref="G2:G108">
    <cfRule type="containsText" priority="10" operator="containsText" dxfId="1" text="No">
      <formula>NOT(ISERROR(SEARCH("No",G2)))</formula>
    </cfRule>
    <cfRule type="containsText" priority="11" operator="containsText" dxfId="0" text="Yes">
      <formula>NOT(ISERROR(SEARCH("Yes",G2)))</formula>
    </cfRule>
  </conditionalFormatting>
  <dataValidations count="3">
    <dataValidation sqref="D2:D31" showDropDown="0" showInputMessage="1" showErrorMessage="1" allowBlank="1" type="list" operator="equal">
      <formula1>"Yes,No,Partial"</formula1>
      <formula2>0</formula2>
    </dataValidation>
    <dataValidation sqref="F2:F31" showDropDown="0" showInputMessage="1" showErrorMessage="1" allowBlank="1" type="list" operator="equal">
      <formula1>"Yes,No"</formula1>
      <formula2>0</formula2>
    </dataValidation>
    <dataValidation sqref="G2:G108" showDropDown="0" showInputMessage="1" showErrorMessage="1" allowBlank="1" operator="equal">
      <formula1>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39"/>
  <sheetViews>
    <sheetView zoomScale="85" zoomScaleNormal="85" workbookViewId="0">
      <selection activeCell="E32" sqref="E32:F32"/>
    </sheetView>
  </sheetViews>
  <sheetFormatPr baseColWidth="8" defaultColWidth="9.140625" defaultRowHeight="14.45"/>
  <cols>
    <col width="60.7109375" customWidth="1" style="44" min="1" max="1"/>
    <col width="60.7109375" customWidth="1" style="54" min="3" max="3"/>
    <col width="14.7109375" customWidth="1" style="54" min="4" max="4"/>
    <col width="30.7109375" customWidth="1" style="54" min="5" max="5"/>
    <col width="14.7109375" customWidth="1" style="54" min="6" max="7"/>
    <col width="60.7109375" customWidth="1" style="54" min="8" max="8"/>
  </cols>
  <sheetData>
    <row r="1" customFormat="1" s="53">
      <c r="A1" s="53" t="inlineStr">
        <is>
          <t>Norm</t>
        </is>
      </c>
      <c r="B1" s="53" t="inlineStr">
        <is>
          <t>G1.#</t>
        </is>
      </c>
      <c r="C1" s="53" t="inlineStr">
        <is>
          <t>Automated requirement name</t>
        </is>
      </c>
      <c r="D1" s="53" t="inlineStr">
        <is>
          <t>Present</t>
        </is>
      </c>
      <c r="E1" s="53" t="inlineStr">
        <is>
          <t>Support</t>
        </is>
      </c>
      <c r="F1" s="53" t="inlineStr">
        <is>
          <t>Hallucination</t>
        </is>
      </c>
      <c r="G1" s="53" t="inlineStr">
        <is>
          <t>Hall. Type</t>
        </is>
      </c>
      <c r="H1" s="53" t="inlineStr">
        <is>
          <t>Rationale</t>
        </is>
      </c>
    </row>
    <row r="2" ht="15" customHeight="1" s="54">
      <c r="A2" s="49" t="inlineStr">
        <is>
          <t>Help messages during the {log-on procedure} must not aid an unauthorized user, e.g., by indicating which {parts of the data} are correct or incorrect</t>
        </is>
      </c>
      <c r="B2" t="inlineStr">
        <is>
          <t>G1.1.1</t>
        </is>
      </c>
      <c r="C2" t="inlineStr">
        <is>
          <t>Secure Authentication Feedback</t>
        </is>
      </c>
      <c r="D2" t="inlineStr">
        <is>
          <t>Yes</t>
        </is>
      </c>
      <c r="E2" t="inlineStr">
        <is>
          <t>H.1.1</t>
        </is>
      </c>
    </row>
    <row r="3" ht="15" customHeight="1" s="54">
      <c r="A3" s="49" t="inlineStr">
        <is>
          <t>A security incident must be raised if a potential attempted or successful breach of {log-on controls} is detected, and, when the risk of the incident warrants it, the account shall be temporarily restricted, plus an alert shall be sent to the {account owner}, and to the {organization's system administrators}.</t>
        </is>
      </c>
      <c r="B3" t="inlineStr">
        <is>
          <t>G1.2.1</t>
        </is>
      </c>
      <c r="C3" t="inlineStr">
        <is>
          <t>Authentication Breach Notification</t>
        </is>
      </c>
      <c r="D3" t="inlineStr">
        <is>
          <t>Yes</t>
        </is>
      </c>
      <c r="E3" t="inlineStr">
        <is>
          <t>H.2.1</t>
        </is>
      </c>
    </row>
    <row r="4">
      <c r="B4" t="inlineStr">
        <is>
          <t>G1.2.2</t>
        </is>
      </c>
      <c r="C4" t="inlineStr">
        <is>
          <t>Enhanced Log-On Attempt Control</t>
        </is>
      </c>
      <c r="D4" t="inlineStr">
        <is>
          <t>Yes</t>
        </is>
      </c>
      <c r="E4" t="inlineStr">
        <is>
          <t>H.2.1</t>
        </is>
      </c>
    </row>
    <row r="5" ht="15" customHeight="1" s="54">
      <c r="A5" s="49" t="inlineStr">
        <is>
          <t>Physical or logical access controls must be implemented to isolate {sensitive applications, data, or systems}.</t>
        </is>
      </c>
      <c r="B5" t="inlineStr">
        <is>
          <t>G1.3.1</t>
        </is>
      </c>
      <c r="C5" t="inlineStr">
        <is>
          <t>Secure Isolation of Data Stores</t>
        </is>
      </c>
      <c r="D5" t="inlineStr">
        <is>
          <t>Yes</t>
        </is>
      </c>
      <c r="E5" t="inlineStr">
        <is>
          <t>H.3.1</t>
        </is>
      </c>
    </row>
    <row r="6" ht="15" customHeight="1" s="54">
      <c r="B6" t="inlineStr">
        <is>
          <t>G1.3.2</t>
        </is>
      </c>
      <c r="C6" t="inlineStr">
        <is>
          <t>Access Control for Factory Network</t>
        </is>
      </c>
      <c r="D6" t="inlineStr">
        <is>
          <t>Yes</t>
        </is>
      </c>
      <c r="E6" t="inlineStr">
        <is>
          <t>H.3.2</t>
        </is>
      </c>
    </row>
    <row r="7" ht="15" customHeight="1" s="54">
      <c r="B7" t="inlineStr">
        <is>
          <t>G1.3.3</t>
        </is>
      </c>
      <c r="C7" t="inlineStr">
        <is>
          <t>Middleware Access Security</t>
        </is>
      </c>
      <c r="D7" t="inlineStr">
        <is>
          <t>No</t>
        </is>
      </c>
      <c r="F7" t="inlineStr">
        <is>
          <t>No</t>
        </is>
      </c>
    </row>
    <row r="8" ht="15" customHeight="1" s="54">
      <c r="B8" t="inlineStr">
        <is>
          <t>G1.3.4</t>
        </is>
      </c>
      <c r="C8" t="inlineStr">
        <is>
          <t>Role-Based Access Management</t>
        </is>
      </c>
      <c r="D8" t="inlineStr">
        <is>
          <t>No</t>
        </is>
      </c>
      <c r="F8" t="inlineStr">
        <is>
          <t>Yes</t>
        </is>
      </c>
      <c r="G8" t="inlineStr">
        <is>
          <t>Template drift</t>
        </is>
      </c>
      <c r="H8" t="inlineStr">
        <is>
          <t>Unrelated</t>
        </is>
      </c>
    </row>
    <row r="9" ht="15" customHeight="1" s="54">
      <c r="B9" t="inlineStr">
        <is>
          <t>G1.3.5</t>
        </is>
      </c>
      <c r="C9" t="inlineStr">
        <is>
          <t>Secure AIDC System Interfaces</t>
        </is>
      </c>
      <c r="D9" t="inlineStr">
        <is>
          <t>No</t>
        </is>
      </c>
      <c r="F9" t="inlineStr">
        <is>
          <t>Yes</t>
        </is>
      </c>
      <c r="G9" t="inlineStr">
        <is>
          <t>Template drift</t>
        </is>
      </c>
      <c r="H9" t="inlineStr">
        <is>
          <t>Unrelated</t>
        </is>
      </c>
    </row>
    <row r="10" ht="15" customHeight="1" s="54">
      <c r="A10" s="49" t="inlineStr">
        <is>
          <t>{Access to data} must be controlled based on {user identity, group membership, and assigned roles}</t>
        </is>
      </c>
      <c r="B10" t="inlineStr">
        <is>
          <t>G1.4.1</t>
        </is>
      </c>
      <c r="C10" t="inlineStr">
        <is>
          <t>Controlled Data Access Based on Roles and Responsibilities</t>
        </is>
      </c>
      <c r="D10" t="inlineStr">
        <is>
          <t>Yes</t>
        </is>
      </c>
      <c r="E10" t="inlineStr">
        <is>
          <t>H.4.5; H.4.7</t>
        </is>
      </c>
    </row>
    <row r="11">
      <c r="B11" t="inlineStr">
        <is>
          <t>G1.4.2</t>
        </is>
      </c>
      <c r="C11" t="inlineStr">
        <is>
          <t>Data Access Control by Group Membership</t>
        </is>
      </c>
      <c r="D11" t="inlineStr">
        <is>
          <t>Partial</t>
        </is>
      </c>
      <c r="E11" t="inlineStr">
        <is>
          <t>H.4.7</t>
        </is>
      </c>
      <c r="F11" t="inlineStr">
        <is>
          <t>Yes</t>
        </is>
      </c>
      <c r="G11" t="inlineStr">
        <is>
          <t>Contextual misfit</t>
        </is>
      </c>
      <c r="H11" t="inlineStr">
        <is>
          <t>Partial hall</t>
        </is>
      </c>
    </row>
    <row r="12">
      <c r="B12" t="inlineStr">
        <is>
          <t>G1.4.3</t>
        </is>
      </c>
      <c r="C12" t="inlineStr">
        <is>
          <t>Secure Authentication for System Interaction</t>
        </is>
      </c>
      <c r="D12" t="inlineStr">
        <is>
          <t>No</t>
        </is>
      </c>
      <c r="F12" t="inlineStr">
        <is>
          <t>Yes</t>
        </is>
      </c>
      <c r="G12" t="inlineStr">
        <is>
          <t>Template drift</t>
        </is>
      </c>
      <c r="H12" t="inlineStr">
        <is>
          <t>Unrelated</t>
        </is>
      </c>
    </row>
    <row r="13" ht="16.35" customHeight="1" s="54">
      <c r="A13" s="49" t="inlineStr">
        <is>
          <t>The {organization} shall maintain a record of {all privileges allocated}</t>
        </is>
      </c>
      <c r="B13" t="inlineStr">
        <is>
          <t>G1.5.1</t>
        </is>
      </c>
      <c r="C13" t="inlineStr">
        <is>
          <t>Factory Privilege Allocation Record Management</t>
        </is>
      </c>
      <c r="D13" t="inlineStr">
        <is>
          <t>Yes</t>
        </is>
      </c>
      <c r="E13" t="inlineStr">
        <is>
          <t>H.5.1</t>
        </is>
      </c>
    </row>
    <row r="14">
      <c r="B14" t="inlineStr">
        <is>
          <t>G1.5.2</t>
        </is>
      </c>
      <c r="C14" t="inlineStr">
        <is>
          <t>Implementation of Role-Based Access Control (RBAC)</t>
        </is>
      </c>
      <c r="D14" t="inlineStr">
        <is>
          <t>No</t>
        </is>
      </c>
      <c r="F14" t="inlineStr">
        <is>
          <t>Yes</t>
        </is>
      </c>
      <c r="G14" t="inlineStr">
        <is>
          <t>Template drift</t>
        </is>
      </c>
      <c r="H14" t="inlineStr">
        <is>
          <t>Unrelated</t>
        </is>
      </c>
    </row>
    <row r="15">
      <c r="B15" t="inlineStr">
        <is>
          <t>G1.5.3</t>
        </is>
      </c>
      <c r="C15" t="inlineStr">
        <is>
          <t>Audit Trail for Access and Privilege Changes</t>
        </is>
      </c>
      <c r="D15" t="inlineStr">
        <is>
          <t>No</t>
        </is>
      </c>
      <c r="F15" t="inlineStr">
        <is>
          <t>No</t>
        </is>
      </c>
    </row>
    <row r="16" ht="15" customHeight="1" s="54">
      <c r="A16" s="44" t="inlineStr">
        <is>
          <t>The {organization} shall regularly review {users} with privileged access rights to ensure that their {duties}, {roles}, {responsibilities}, and {competence} still justify such access</t>
        </is>
      </c>
      <c r="B16" t="inlineStr">
        <is>
          <t>G1.6.1</t>
        </is>
      </c>
      <c r="C16" t="inlineStr">
        <is>
          <t>Privileged Access Review for System Admins</t>
        </is>
      </c>
      <c r="D16" t="inlineStr">
        <is>
          <t>Yes</t>
        </is>
      </c>
      <c r="E16" t="inlineStr">
        <is>
          <t>H.6.1</t>
        </is>
      </c>
    </row>
    <row r="17">
      <c r="B17" t="inlineStr">
        <is>
          <t>G1.6.2</t>
        </is>
      </c>
      <c r="C17" t="inlineStr">
        <is>
          <t>Security Role Validation</t>
        </is>
      </c>
      <c r="D17" t="inlineStr">
        <is>
          <t>Yes</t>
        </is>
      </c>
      <c r="E17" t="inlineStr">
        <is>
          <t>H.6.1</t>
        </is>
      </c>
    </row>
    <row r="18">
      <c r="B18" t="inlineStr">
        <is>
          <t>G1.6.3</t>
        </is>
      </c>
      <c r="C18" t="inlineStr">
        <is>
          <t>Operations Manager Access Audit</t>
        </is>
      </c>
      <c r="D18" t="inlineStr">
        <is>
          <t>Yes</t>
        </is>
      </c>
      <c r="E18" t="inlineStr">
        <is>
          <t>H.6.1</t>
        </is>
      </c>
    </row>
    <row r="19" ht="15" customHeight="1" s="54">
      <c r="A19" s="49" t="inlineStr">
        <is>
          <t>{Connection} of {systems} to the {network} must be restricted and filtered, e.g., using firewalls.</t>
        </is>
      </c>
      <c r="B19" t="inlineStr">
        <is>
          <t>G1.7.1</t>
        </is>
      </c>
      <c r="C19" t="inlineStr">
        <is>
          <t>Network Connection Security for Automated Systems</t>
        </is>
      </c>
      <c r="D19" t="inlineStr">
        <is>
          <t>Yes</t>
        </is>
      </c>
      <c r="E19" t="inlineStr">
        <is>
          <t>H.7.1</t>
        </is>
      </c>
    </row>
    <row r="20">
      <c r="B20" t="inlineStr">
        <is>
          <t>G1.7.2</t>
        </is>
      </c>
      <c r="C20" t="inlineStr">
        <is>
          <t>Secure Middleware Communication</t>
        </is>
      </c>
      <c r="D20" t="inlineStr">
        <is>
          <t>Yes</t>
        </is>
      </c>
      <c r="E20" t="inlineStr">
        <is>
          <t>H.7.1</t>
        </is>
      </c>
    </row>
    <row r="21">
      <c r="B21" t="inlineStr">
        <is>
          <t>G1.7.3</t>
        </is>
      </c>
      <c r="C21" t="inlineStr">
        <is>
          <t>AGV and Robotic System Network Integrity</t>
        </is>
      </c>
      <c r="D21" t="inlineStr">
        <is>
          <t>Yes</t>
        </is>
      </c>
      <c r="E21" t="inlineStr">
        <is>
          <t>H.7.1</t>
        </is>
      </c>
    </row>
    <row r="22" ht="29.1" customHeight="1" s="54">
      <c r="A22" s="44" t="inlineStr">
        <is>
          <t>{Network administration channels} must be segregated from {other network traffic}</t>
        </is>
      </c>
      <c r="B22" t="inlineStr">
        <is>
          <t>G1.8.1</t>
        </is>
      </c>
      <c r="C22" t="inlineStr">
        <is>
          <t>Segregated Network Channels for Administrative and Operational Traffic</t>
        </is>
      </c>
      <c r="D22" t="inlineStr">
        <is>
          <t>Yes</t>
        </is>
      </c>
      <c r="E22" t="inlineStr">
        <is>
          <t>H.8.1</t>
        </is>
      </c>
      <c r="H22" t="inlineStr">
        <is>
          <t>Rambles</t>
        </is>
      </c>
    </row>
    <row r="23" ht="15" customHeight="1" s="54">
      <c r="A23" s="49" t="inlineStr">
        <is>
          <t>Implement cryptographic measures to safeguard {information stored} on {mobile user} {endpoint devices} or {storage media} and transmitted over {networks}</t>
        </is>
      </c>
      <c r="B23" t="inlineStr">
        <is>
          <t>G1.9.1</t>
        </is>
      </c>
      <c r="C23" t="inlineStr">
        <is>
          <t>Cryptographic Security for Mobile Endpoint Devices</t>
        </is>
      </c>
      <c r="D23" t="inlineStr">
        <is>
          <t>Yes</t>
        </is>
      </c>
      <c r="E23" t="inlineStr">
        <is>
          <t>H.9.1</t>
        </is>
      </c>
    </row>
    <row r="24">
      <c r="B24" t="inlineStr">
        <is>
          <t>G1.9.2</t>
        </is>
      </c>
      <c r="C24" t="inlineStr">
        <is>
          <t>Cryptographic Protection for Automated Guided Vehicles and Robots</t>
        </is>
      </c>
      <c r="D24" t="inlineStr">
        <is>
          <t>No</t>
        </is>
      </c>
      <c r="F24" t="inlineStr">
        <is>
          <t>Yes</t>
        </is>
      </c>
      <c r="G24" t="inlineStr">
        <is>
          <t>Architectural infeasibility</t>
        </is>
      </c>
      <c r="H24" t="inlineStr">
        <is>
          <t>Absurd</t>
        </is>
      </c>
    </row>
    <row r="25">
      <c r="B25" t="inlineStr">
        <is>
          <t>G1.9.3</t>
        </is>
      </c>
      <c r="C25" t="inlineStr">
        <is>
          <t>Encryption of Centralized Storage Systems</t>
        </is>
      </c>
      <c r="D25" t="inlineStr">
        <is>
          <t>Yes</t>
        </is>
      </c>
      <c r="E25" t="inlineStr">
        <is>
          <t>H.9.1</t>
        </is>
      </c>
    </row>
    <row r="26">
      <c r="B26" t="inlineStr">
        <is>
          <t>G1.9.4</t>
        </is>
      </c>
      <c r="C26" t="inlineStr">
        <is>
          <t>Network Traffic Encryption</t>
        </is>
      </c>
      <c r="D26" t="inlineStr">
        <is>
          <t>Yes</t>
        </is>
      </c>
      <c r="E26" t="inlineStr">
        <is>
          <t>H.9.3</t>
        </is>
      </c>
    </row>
    <row r="27" ht="15" customHeight="1" s="54">
      <c r="A27" s="49" t="inlineStr">
        <is>
          <t>Establish a comprehensive key management system, including procedures for generating and protecting {cryptographic keys} and recovering {encrypted data} in case of lost, compromised, or damaged {keys}</t>
        </is>
      </c>
      <c r="B27" t="inlineStr">
        <is>
          <t>G1.10.1</t>
        </is>
      </c>
      <c r="C27" t="inlineStr">
        <is>
          <t>Datastore Encryption Key Management</t>
        </is>
      </c>
      <c r="D27" s="31" t="inlineStr">
        <is>
          <t>No</t>
        </is>
      </c>
      <c r="F27" s="31" t="inlineStr">
        <is>
          <t>Yes</t>
        </is>
      </c>
      <c r="G27" t="inlineStr">
        <is>
          <t>Architectural infeasibility</t>
        </is>
      </c>
      <c r="H27" t="inlineStr">
        <is>
          <t>Not the keys for that; rambles</t>
        </is>
      </c>
    </row>
    <row r="28">
      <c r="B28" t="inlineStr">
        <is>
          <t>G1.10.2</t>
        </is>
      </c>
      <c r="C28" t="inlineStr">
        <is>
          <t>IoT Middleware Secure Communication</t>
        </is>
      </c>
      <c r="D28" s="31" t="inlineStr">
        <is>
          <t>No</t>
        </is>
      </c>
      <c r="F28" s="31" t="inlineStr">
        <is>
          <t>Yes</t>
        </is>
      </c>
      <c r="G28" t="inlineStr">
        <is>
          <t>Template drift</t>
        </is>
      </c>
      <c r="H28" t="inlineStr">
        <is>
          <t>Unrelated</t>
        </is>
      </c>
    </row>
    <row r="29">
      <c r="B29" t="inlineStr">
        <is>
          <t>G1.10.3</t>
        </is>
      </c>
      <c r="C29" t="inlineStr">
        <is>
          <t>AGVs Data Encryption and Key Management</t>
        </is>
      </c>
      <c r="D29" s="31" t="inlineStr">
        <is>
          <t>No</t>
        </is>
      </c>
      <c r="F29" s="31" t="inlineStr">
        <is>
          <t>Yes</t>
        </is>
      </c>
      <c r="G29" t="inlineStr">
        <is>
          <t>Architectural infeasibility</t>
        </is>
      </c>
      <c r="H29" t="inlineStr">
        <is>
          <t>Absurd</t>
        </is>
      </c>
    </row>
    <row r="30">
      <c r="B30" t="inlineStr">
        <is>
          <t>G1.10.4</t>
        </is>
      </c>
      <c r="C30" t="inlineStr">
        <is>
          <t>Administrative Oversight of Key Management System</t>
        </is>
      </c>
      <c r="D30" s="32" t="inlineStr">
        <is>
          <t>Yes</t>
        </is>
      </c>
      <c r="E30" t="inlineStr">
        <is>
          <t>H.10.3</t>
        </is>
      </c>
    </row>
    <row r="31" ht="14.45" customHeight="1" s="54">
      <c r="B31" s="16" t="inlineStr">
        <is>
          <t>Count</t>
        </is>
      </c>
      <c r="C31" s="16" t="inlineStr">
        <is>
          <t>No</t>
        </is>
      </c>
      <c r="D31" s="16">
        <f>COUNTIF(D2:D30,"No")</f>
        <v/>
      </c>
      <c r="E31" s="16" t="inlineStr">
        <is>
          <t>Hallucinations</t>
        </is>
      </c>
      <c r="F31" s="16">
        <f>COUNTIF(F2:F30,"Yes")</f>
        <v/>
      </c>
    </row>
    <row r="32" ht="14.45" customHeight="1" s="54">
      <c r="B32" s="47" t="n"/>
      <c r="C32" s="16" t="inlineStr">
        <is>
          <t>Yes</t>
        </is>
      </c>
      <c r="D32" s="16">
        <f>COUNTIF(D2:D30,"Yes")</f>
        <v/>
      </c>
      <c r="E32" s="16" t="inlineStr">
        <is>
          <t>Partial hallucinations</t>
        </is>
      </c>
      <c r="F32">
        <f>COUNTIFS(D:D,"Partial",F:F,"Yes")</f>
        <v/>
      </c>
    </row>
    <row r="33" ht="14.45" customHeight="1" s="54">
      <c r="B33" s="47" t="n"/>
      <c r="C33" s="16" t="inlineStr">
        <is>
          <t>Partial</t>
        </is>
      </c>
      <c r="D33" s="16">
        <f>COUNTIF(D2:D30,"Partial")</f>
        <v/>
      </c>
      <c r="E33" s="10" t="inlineStr">
        <is>
          <t>Template drift</t>
        </is>
      </c>
      <c r="F33">
        <f>COUNTIF($G$2:$G$30,E33)</f>
        <v/>
      </c>
    </row>
    <row r="34" ht="15" customHeight="1" s="54">
      <c r="E34" s="10" t="inlineStr">
        <is>
          <t>Contextual misfit</t>
        </is>
      </c>
      <c r="F34">
        <f>COUNTIF($G$2:$G$30,E34)</f>
        <v/>
      </c>
    </row>
    <row r="35" ht="15" customHeight="1" s="54">
      <c r="E35" s="10" t="inlineStr">
        <is>
          <t>Scope misalignment</t>
        </is>
      </c>
      <c r="F35">
        <f>COUNTIF($G$2:$G$30,E35)</f>
        <v/>
      </c>
    </row>
    <row r="36" ht="15" customHeight="1" s="54">
      <c r="E36" s="10" t="inlineStr">
        <is>
          <t>Responsibility leakage</t>
        </is>
      </c>
      <c r="F36">
        <f>COUNTIF($G$2:$G$30,E36)</f>
        <v/>
      </c>
    </row>
    <row r="37" ht="15" customHeight="1" s="54">
      <c r="E37" s="10" t="inlineStr">
        <is>
          <t>Architectural infeasibility</t>
        </is>
      </c>
      <c r="F37">
        <f>COUNTIF($G$2:$G$30,E37)</f>
        <v/>
      </c>
    </row>
    <row r="38" ht="15" customHeight="1" s="54"/>
    <row r="39" ht="15" customHeight="1" s="54">
      <c r="E39" s="16" t="inlineStr">
        <is>
          <t>Discoveries</t>
        </is>
      </c>
      <c r="F39" s="16">
        <f>COUNTIF(F2:F30,"No")</f>
        <v/>
      </c>
    </row>
  </sheetData>
  <mergeCells count="8">
    <mergeCell ref="A27:A30"/>
    <mergeCell ref="A23:A26"/>
    <mergeCell ref="A5:A9"/>
    <mergeCell ref="A16:A18"/>
    <mergeCell ref="A3:A4"/>
    <mergeCell ref="A10:A12"/>
    <mergeCell ref="A19:A21"/>
    <mergeCell ref="A13:A15"/>
  </mergeCells>
  <conditionalFormatting sqref="D2:D26">
    <cfRule type="containsText" priority="2" operator="containsText" dxfId="6" text="Partial">
      <formula>NOT(ISERROR(SEARCH("Partial",D2)))</formula>
    </cfRule>
    <cfRule type="containsText" priority="3" operator="containsText" dxfId="0" text="No">
      <formula>NOT(ISERROR(SEARCH("No",D2)))</formula>
    </cfRule>
    <cfRule type="containsText" priority="4" operator="containsText" dxfId="1" text="Yes">
      <formula>NOT(ISERROR(SEARCH("Yes",D2)))</formula>
    </cfRule>
  </conditionalFormatting>
  <conditionalFormatting sqref="F2:F26">
    <cfRule type="containsText" priority="5" operator="containsText" dxfId="1" text="No">
      <formula>NOT(ISERROR(SEARCH("No",F2)))</formula>
    </cfRule>
    <cfRule type="containsText" priority="6" operator="containsText" dxfId="0" text="Yes">
      <formula>NOT(ISERROR(SEARCH("Yes",F2)))</formula>
    </cfRule>
  </conditionalFormatting>
  <conditionalFormatting sqref="G2:G108">
    <cfRule type="containsText" priority="7" operator="containsText" dxfId="1" text="No">
      <formula>NOT(ISERROR(SEARCH("No",G2)))</formula>
    </cfRule>
    <cfRule type="containsText" priority="8" operator="containsText" dxfId="0" text="Yes">
      <formula>NOT(ISERROR(SEARCH("Yes",G2)))</formula>
    </cfRule>
  </conditionalFormatting>
  <dataValidations count="3">
    <dataValidation sqref="D2:D30" showDropDown="0" showInputMessage="1" showErrorMessage="1" allowBlank="1" type="list" operator="equal">
      <formula1>"Yes,No,Partial"</formula1>
      <formula2>0</formula2>
    </dataValidation>
    <dataValidation sqref="F2:F26" showDropDown="0" showInputMessage="1" showErrorMessage="1" allowBlank="1" type="list" operator="equal">
      <formula1>"Yes,No"</formula1>
      <formula2>0</formula2>
    </dataValidation>
    <dataValidation sqref="G2:G108" showDropDown="0" showInputMessage="1" showErrorMessage="1" allowBlank="1" operator="equal">
      <formula1>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37"/>
  <sheetViews>
    <sheetView zoomScale="85" zoomScaleNormal="85" workbookViewId="0">
      <selection activeCell="E30" sqref="E30:F30"/>
    </sheetView>
  </sheetViews>
  <sheetFormatPr baseColWidth="8" defaultColWidth="9.140625" defaultRowHeight="14.45"/>
  <cols>
    <col width="60.7109375" customWidth="1" style="44" min="1" max="1"/>
    <col width="60.7109375" customWidth="1" style="54" min="3" max="3"/>
    <col width="14.7109375" customWidth="1" style="54" min="4" max="4"/>
    <col width="30.7109375" customWidth="1" style="54" min="5" max="5"/>
    <col width="14.7109375" customWidth="1" style="54" min="6" max="7"/>
    <col width="60.7109375" customWidth="1" style="54" min="8" max="8"/>
  </cols>
  <sheetData>
    <row r="1" customFormat="1" s="53">
      <c r="A1" s="53" t="inlineStr">
        <is>
          <t>Norm</t>
        </is>
      </c>
      <c r="B1" s="53" t="inlineStr">
        <is>
          <t>G2.#</t>
        </is>
      </c>
      <c r="C1" s="53" t="inlineStr">
        <is>
          <t>Automated requirement name</t>
        </is>
      </c>
      <c r="D1" s="53" t="inlineStr">
        <is>
          <t>Present</t>
        </is>
      </c>
      <c r="E1" s="53" t="inlineStr">
        <is>
          <t>Support</t>
        </is>
      </c>
      <c r="F1" s="53" t="inlineStr">
        <is>
          <t>Hallucination</t>
        </is>
      </c>
      <c r="G1" s="53" t="inlineStr">
        <is>
          <t>Hall. Type</t>
        </is>
      </c>
      <c r="H1" s="53" t="inlineStr">
        <is>
          <t>Rationale</t>
        </is>
      </c>
    </row>
    <row r="2" ht="15" customHeight="1" s="54">
      <c r="A2" s="49" t="inlineStr">
        <is>
          <t>Help messages during the {log-on procedure} must not aid an unauthorized user, e.g., by indicating which {parts of the data} are correct or incorrect</t>
        </is>
      </c>
      <c r="B2" t="inlineStr">
        <is>
          <t>G2.1.1</t>
        </is>
      </c>
      <c r="C2" t="inlineStr">
        <is>
          <t>Secure Log-On Feedback Mechanism</t>
        </is>
      </c>
      <c r="D2" t="inlineStr">
        <is>
          <t>Yes</t>
        </is>
      </c>
      <c r="E2" t="inlineStr">
        <is>
          <t>H.1.1</t>
        </is>
      </c>
    </row>
    <row r="3" ht="15" customHeight="1" s="54">
      <c r="A3" s="49" t="inlineStr">
        <is>
          <t>A security incident must be raised if a potential attempted or successful breach of {log-on controls} is detected, and, when the risk of the incident warrants it, the account shall be temporarily restricted, plus an alert shall be sent to the {account owner}, and to the {organization's system administrators}.</t>
        </is>
      </c>
      <c r="B3" t="inlineStr">
        <is>
          <t>G2.2.1</t>
        </is>
      </c>
      <c r="C3" t="inlineStr">
        <is>
          <t>Secure Authentication Alert System</t>
        </is>
      </c>
      <c r="D3" t="inlineStr">
        <is>
          <t>Yes</t>
        </is>
      </c>
      <c r="E3" t="inlineStr">
        <is>
          <t>H.2.1</t>
        </is>
      </c>
    </row>
    <row r="4" ht="15" customHeight="1" s="54">
      <c r="A4" s="49" t="inlineStr">
        <is>
          <t>Physical or logical access controls must be implemented to isolate {sensitive applications, data, or systems}.</t>
        </is>
      </c>
      <c r="B4" t="inlineStr">
        <is>
          <t>G2.3.1</t>
        </is>
      </c>
      <c r="C4" t="inlineStr">
        <is>
          <t>Restricted Access to Warehouse Management System</t>
        </is>
      </c>
      <c r="D4" t="inlineStr">
        <is>
          <t>Yes</t>
        </is>
      </c>
      <c r="E4" t="inlineStr">
        <is>
          <t>H.3.1</t>
        </is>
      </c>
    </row>
    <row r="5" ht="15" customHeight="1" s="54">
      <c r="B5" t="inlineStr">
        <is>
          <t>G2.3.2</t>
        </is>
      </c>
      <c r="C5" t="inlineStr">
        <is>
          <t>Secured Access to Production Plan Data Store</t>
        </is>
      </c>
      <c r="D5" t="inlineStr">
        <is>
          <t>Yes</t>
        </is>
      </c>
      <c r="E5" t="inlineStr">
        <is>
          <t>H.3.1</t>
        </is>
      </c>
    </row>
    <row r="6" ht="15" customHeight="1" s="54">
      <c r="B6" t="inlineStr">
        <is>
          <t>G2.3.3</t>
        </is>
      </c>
      <c r="C6" t="inlineStr">
        <is>
          <t>Isolation of Requisitions Data Store</t>
        </is>
      </c>
      <c r="D6" t="inlineStr">
        <is>
          <t>Yes</t>
        </is>
      </c>
      <c r="E6" t="inlineStr">
        <is>
          <t>H.3.1</t>
        </is>
      </c>
    </row>
    <row r="7" ht="15" customHeight="1" s="54">
      <c r="B7" t="inlineStr">
        <is>
          <t>G2.3.4</t>
        </is>
      </c>
      <c r="C7" t="inlineStr">
        <is>
          <t>Restricted Access to Finished Car Registry</t>
        </is>
      </c>
      <c r="D7" t="inlineStr">
        <is>
          <t>Yes</t>
        </is>
      </c>
      <c r="E7" t="inlineStr">
        <is>
          <t>H.3.1</t>
        </is>
      </c>
    </row>
    <row r="8" ht="15" customHeight="1" s="54">
      <c r="B8" t="inlineStr">
        <is>
          <t>G2.3.5</t>
        </is>
      </c>
      <c r="C8" t="inlineStr">
        <is>
          <t>Isolation and Protection of AIDC Systems</t>
        </is>
      </c>
      <c r="D8" t="inlineStr">
        <is>
          <t>No</t>
        </is>
      </c>
      <c r="F8" t="inlineStr">
        <is>
          <t>Yes</t>
        </is>
      </c>
      <c r="G8" t="inlineStr">
        <is>
          <t>Template drift</t>
        </is>
      </c>
      <c r="H8" t="inlineStr">
        <is>
          <t>Unrelated</t>
        </is>
      </c>
    </row>
    <row r="9" ht="15" customHeight="1" s="54">
      <c r="B9" t="inlineStr">
        <is>
          <t>G2.3.6</t>
        </is>
      </c>
      <c r="C9" t="inlineStr">
        <is>
          <t>Secured Interaction with IoT Middleware Platforms</t>
        </is>
      </c>
      <c r="D9" t="inlineStr">
        <is>
          <t>No</t>
        </is>
      </c>
      <c r="F9" t="inlineStr">
        <is>
          <t>No</t>
        </is>
      </c>
    </row>
    <row r="10" ht="15" customHeight="1" s="54">
      <c r="A10" s="49" t="inlineStr">
        <is>
          <t>{Access to data} must be controlled based on {user identity, group membership, and assigned roles}</t>
        </is>
      </c>
      <c r="B10" t="inlineStr">
        <is>
          <t>G2.4.1</t>
        </is>
      </c>
      <c r="C10" t="inlineStr">
        <is>
          <t>Controlled Data Access by Role</t>
        </is>
      </c>
      <c r="D10" t="inlineStr">
        <is>
          <t>Yes</t>
        </is>
      </c>
      <c r="E10" t="inlineStr">
        <is>
          <t>H.4.7</t>
        </is>
      </c>
    </row>
    <row r="11">
      <c r="B11" t="inlineStr">
        <is>
          <t>G2.4.2</t>
        </is>
      </c>
      <c r="C11" t="inlineStr">
        <is>
          <t>Group-Based Data Segregation</t>
        </is>
      </c>
      <c r="D11" t="inlineStr">
        <is>
          <t>Yes</t>
        </is>
      </c>
      <c r="E11" t="inlineStr">
        <is>
          <t>H.4.7</t>
        </is>
      </c>
    </row>
    <row r="12">
      <c r="B12" t="inlineStr">
        <is>
          <t>G2.4.3</t>
        </is>
      </c>
      <c r="C12" t="inlineStr">
        <is>
          <t>Role-Specific Operational Logs and Audits</t>
        </is>
      </c>
      <c r="D12" t="inlineStr">
        <is>
          <t>Yes</t>
        </is>
      </c>
      <c r="E12" t="inlineStr">
        <is>
          <t>H.4.7</t>
        </is>
      </c>
    </row>
    <row r="13" ht="16.35" customHeight="1" s="54">
      <c r="A13" s="49" t="inlineStr">
        <is>
          <t>The {organization} shall maintain a record of {all privileges allocated}</t>
        </is>
      </c>
      <c r="B13" t="inlineStr">
        <is>
          <t>G2.5.1</t>
        </is>
      </c>
      <c r="C13" t="inlineStr">
        <is>
          <t>Privilege Logging and Management</t>
        </is>
      </c>
      <c r="D13" t="inlineStr">
        <is>
          <t>Yes</t>
        </is>
      </c>
      <c r="E13" t="inlineStr">
        <is>
          <t>H.5.1</t>
        </is>
      </c>
    </row>
    <row r="14">
      <c r="B14" t="inlineStr">
        <is>
          <t>G2.5.2</t>
        </is>
      </c>
      <c r="C14" t="inlineStr">
        <is>
          <t>Real-Time Privilege Updates</t>
        </is>
      </c>
      <c r="D14" t="inlineStr">
        <is>
          <t>Yes</t>
        </is>
      </c>
      <c r="E14" t="inlineStr">
        <is>
          <t>H.5.2</t>
        </is>
      </c>
    </row>
    <row r="15">
      <c r="B15" t="inlineStr">
        <is>
          <t>G2.5.3</t>
        </is>
      </c>
      <c r="C15" t="inlineStr">
        <is>
          <t>Regular Privilege Audits</t>
        </is>
      </c>
      <c r="D15" t="inlineStr">
        <is>
          <t>Yes</t>
        </is>
      </c>
      <c r="E15" t="inlineStr">
        <is>
          <t>H.5.2</t>
        </is>
      </c>
    </row>
    <row r="16" ht="15" customHeight="1" s="54">
      <c r="A16" s="44" t="inlineStr">
        <is>
          <t>The {organization} shall regularly review {users} with privileged access rights to ensure that their {duties}, {roles}, {responsibilities}, and {competence} still justify such access</t>
        </is>
      </c>
      <c r="B16" t="inlineStr">
        <is>
          <t>G2.6.1</t>
        </is>
      </c>
      <c r="C16" t="inlineStr">
        <is>
          <t>Privileged Access Review</t>
        </is>
      </c>
      <c r="D16" t="inlineStr">
        <is>
          <t>Yes</t>
        </is>
      </c>
      <c r="E16" t="inlineStr">
        <is>
          <t>H.6.1</t>
        </is>
      </c>
    </row>
    <row r="17" ht="15" customHeight="1" s="54">
      <c r="A17" s="49" t="inlineStr">
        <is>
          <t>{Connection} of {systems} to the {network} must be restricted and filtered, e.g., using firewalls.</t>
        </is>
      </c>
      <c r="B17" t="inlineStr">
        <is>
          <t>G2.7.1</t>
        </is>
      </c>
      <c r="C17" t="inlineStr">
        <is>
          <t>IoT Device Network Security</t>
        </is>
      </c>
      <c r="D17" t="inlineStr">
        <is>
          <t>Yes</t>
        </is>
      </c>
      <c r="E17" t="inlineStr">
        <is>
          <t>H.7.1</t>
        </is>
      </c>
    </row>
    <row r="18">
      <c r="B18" t="inlineStr">
        <is>
          <t>G2.7.2</t>
        </is>
      </c>
      <c r="C18" t="inlineStr">
        <is>
          <t>Middleware Network Filtering</t>
        </is>
      </c>
      <c r="D18" t="inlineStr">
        <is>
          <t>Yes</t>
        </is>
      </c>
      <c r="E18" t="inlineStr">
        <is>
          <t>H.7.1</t>
        </is>
      </c>
    </row>
    <row r="19">
      <c r="B19" t="inlineStr">
        <is>
          <t>G2.7.3</t>
        </is>
      </c>
      <c r="C19" t="inlineStr">
        <is>
          <t>AGV Network Integration Security</t>
        </is>
      </c>
      <c r="D19" t="inlineStr">
        <is>
          <t>Yes</t>
        </is>
      </c>
      <c r="E19" t="inlineStr">
        <is>
          <t>H.7.1</t>
        </is>
      </c>
    </row>
    <row r="20">
      <c r="B20" t="inlineStr">
        <is>
          <t>G2.7.4</t>
        </is>
      </c>
      <c r="C20" t="inlineStr">
        <is>
          <t>Secure Sensor Network Transmissions</t>
        </is>
      </c>
      <c r="D20" t="inlineStr">
        <is>
          <t>Yes</t>
        </is>
      </c>
      <c r="E20" t="inlineStr">
        <is>
          <t>H.7.1</t>
        </is>
      </c>
    </row>
    <row r="21" ht="29.1" customHeight="1" s="54">
      <c r="A21" s="44" t="inlineStr">
        <is>
          <t>{Network administration channels} must be segregated from {other network traffic}</t>
        </is>
      </c>
      <c r="B21" t="inlineStr">
        <is>
          <t>G2.8.1</t>
        </is>
      </c>
      <c r="C21" t="inlineStr">
        <is>
          <t>Segregation of System Administration and Operational Network Traffic</t>
        </is>
      </c>
      <c r="D21" t="inlineStr">
        <is>
          <t>Yes</t>
        </is>
      </c>
      <c r="E21" t="inlineStr">
        <is>
          <t>H.8.1</t>
        </is>
      </c>
      <c r="H21" t="inlineStr">
        <is>
          <t>Rambles</t>
        </is>
      </c>
    </row>
    <row r="22" ht="15" customHeight="1" s="54">
      <c r="A22" s="49" t="inlineStr">
        <is>
          <t>Implement cryptographic measures to safeguard {information stored} on {mobile user} {endpoint devices} or {storage media} and transmitted over {networks}</t>
        </is>
      </c>
      <c r="B22" t="inlineStr">
        <is>
          <t>G2.9.1</t>
        </is>
      </c>
      <c r="C22" t="inlineStr">
        <is>
          <t>Cryptographic Protection of Data Stores</t>
        </is>
      </c>
      <c r="D22" t="inlineStr">
        <is>
          <t>Yes</t>
        </is>
      </c>
      <c r="E22" t="inlineStr">
        <is>
          <t>H.9.1</t>
        </is>
      </c>
    </row>
    <row r="23">
      <c r="B23" t="inlineStr">
        <is>
          <t>G2.9.2</t>
        </is>
      </c>
      <c r="C23" t="inlineStr">
        <is>
          <t>Secure Data Transmission in Factory Networks</t>
        </is>
      </c>
      <c r="D23" t="inlineStr">
        <is>
          <t>Yes</t>
        </is>
      </c>
      <c r="E23" t="inlineStr">
        <is>
          <t>H.9.3</t>
        </is>
      </c>
    </row>
    <row r="24">
      <c r="B24" t="inlineStr">
        <is>
          <t>G2.9.3</t>
        </is>
      </c>
      <c r="C24" t="inlineStr">
        <is>
          <t>Endpoint Device Security for Mobile Users</t>
        </is>
      </c>
      <c r="D24" t="inlineStr">
        <is>
          <t>Yes</t>
        </is>
      </c>
      <c r="E24" t="inlineStr">
        <is>
          <t>H.9.1</t>
        </is>
      </c>
    </row>
    <row r="25">
      <c r="B25" t="inlineStr">
        <is>
          <t>G2.9.4</t>
        </is>
      </c>
      <c r="C25" t="inlineStr">
        <is>
          <t>Authentication and Access Control for Mobile Devices</t>
        </is>
      </c>
      <c r="D25" t="inlineStr">
        <is>
          <t>No</t>
        </is>
      </c>
      <c r="F25" t="inlineStr">
        <is>
          <t>Yes</t>
        </is>
      </c>
      <c r="G25" t="inlineStr">
        <is>
          <t>Architectural infeasibility</t>
        </is>
      </c>
      <c r="H25" t="inlineStr">
        <is>
          <t>Absurd</t>
        </is>
      </c>
    </row>
    <row r="26" ht="15" customHeight="1" s="54">
      <c r="A26" s="49" t="inlineStr">
        <is>
          <t>Establish a comprehensive key management system, including procedures for generating and protecting {cryptographic keys} and recovering {encrypted data} in case of lost, compromised, or damaged {keys}</t>
        </is>
      </c>
      <c r="B26" t="inlineStr">
        <is>
          <t>G2.10.1</t>
        </is>
      </c>
      <c r="C26" t="inlineStr">
        <is>
          <t>Secure Cryptographic Key Lifecycle Management for IoT Middleware</t>
        </is>
      </c>
      <c r="D26" t="inlineStr">
        <is>
          <t>Partial</t>
        </is>
      </c>
      <c r="E26" t="inlineStr">
        <is>
          <t>H.10.3</t>
        </is>
      </c>
      <c r="F26" t="inlineStr">
        <is>
          <t>Yes</t>
        </is>
      </c>
      <c r="G26" t="inlineStr">
        <is>
          <t>Architectural infeasibility</t>
        </is>
      </c>
      <c r="H26" t="inlineStr">
        <is>
          <t>Mainly hall; but includes sec mgr. responsibility</t>
        </is>
      </c>
    </row>
    <row r="27">
      <c r="B27" t="inlineStr">
        <is>
          <t>G2.10.2</t>
        </is>
      </c>
      <c r="C27" t="inlineStr">
        <is>
          <t>Datastore Encryption Key Management and Recovery</t>
        </is>
      </c>
      <c r="D27" t="inlineStr">
        <is>
          <t>No</t>
        </is>
      </c>
      <c r="F27" t="inlineStr">
        <is>
          <t>Yes</t>
        </is>
      </c>
      <c r="G27" t="inlineStr">
        <is>
          <t>Architectural infeasibility</t>
        </is>
      </c>
      <c r="H27" t="inlineStr">
        <is>
          <t>Not the keys for that; rambles</t>
        </is>
      </c>
    </row>
    <row r="28">
      <c r="B28" t="inlineStr">
        <is>
          <t>G2.10.3</t>
        </is>
      </c>
      <c r="C28" t="inlineStr">
        <is>
          <t>Encryption Key Management for AIDC Technologies</t>
        </is>
      </c>
      <c r="D28" t="inlineStr">
        <is>
          <t>Yes</t>
        </is>
      </c>
      <c r="E28" t="inlineStr">
        <is>
          <t>H.10.1</t>
        </is>
      </c>
    </row>
    <row r="29" ht="14.45" customHeight="1" s="54">
      <c r="B29" s="16" t="inlineStr">
        <is>
          <t>Count</t>
        </is>
      </c>
      <c r="C29" s="16" t="inlineStr">
        <is>
          <t>No</t>
        </is>
      </c>
      <c r="D29" s="16">
        <f>COUNTIF(D2:D28,"No")</f>
        <v/>
      </c>
      <c r="E29" s="16" t="inlineStr">
        <is>
          <t>Hallucinations</t>
        </is>
      </c>
      <c r="F29" s="16">
        <f>COUNTIF(F2:F28,"Yes")</f>
        <v/>
      </c>
    </row>
    <row r="30" ht="14.45" customHeight="1" s="54">
      <c r="B30" s="47" t="n"/>
      <c r="C30" s="16" t="inlineStr">
        <is>
          <t>Yes</t>
        </is>
      </c>
      <c r="D30" s="16">
        <f>COUNTIF(D2:D28,"Yes")</f>
        <v/>
      </c>
      <c r="E30" s="16" t="inlineStr">
        <is>
          <t>Partial hallucinations</t>
        </is>
      </c>
      <c r="F30">
        <f>COUNTIFS(D:D,"Partial",F:F,"Yes")</f>
        <v/>
      </c>
    </row>
    <row r="31" ht="14.45" customHeight="1" s="54">
      <c r="B31" s="47" t="n"/>
      <c r="C31" s="16" t="inlineStr">
        <is>
          <t>Partial</t>
        </is>
      </c>
      <c r="D31" s="16">
        <f>COUNTIF(D2:D28,"Partial")</f>
        <v/>
      </c>
      <c r="E31" s="10" t="inlineStr">
        <is>
          <t>Template drift</t>
        </is>
      </c>
      <c r="F31">
        <f>COUNTIF($G$2:$G$28,E31)</f>
        <v/>
      </c>
    </row>
    <row r="32" ht="15" customHeight="1" s="54">
      <c r="E32" s="10" t="inlineStr">
        <is>
          <t>Contextual misfit</t>
        </is>
      </c>
      <c r="F32">
        <f>COUNTIF($G$2:$G$28,E32)</f>
        <v/>
      </c>
    </row>
    <row r="33" ht="15" customHeight="1" s="54">
      <c r="E33" s="10" t="inlineStr">
        <is>
          <t>Scope misalignment</t>
        </is>
      </c>
      <c r="F33">
        <f>COUNTIF($G$2:$G$28,E33)</f>
        <v/>
      </c>
    </row>
    <row r="34" ht="15" customHeight="1" s="54">
      <c r="E34" s="10" t="inlineStr">
        <is>
          <t>Responsibility leakage</t>
        </is>
      </c>
      <c r="F34">
        <f>COUNTIF($G$2:$G$28,E34)</f>
        <v/>
      </c>
    </row>
    <row r="35" ht="15" customHeight="1" s="54">
      <c r="E35" s="10" t="inlineStr">
        <is>
          <t>Architectural infeasibility</t>
        </is>
      </c>
      <c r="F35">
        <f>COUNTIF($G$2:$G$28,E35)</f>
        <v/>
      </c>
    </row>
    <row r="36" ht="15" customHeight="1" s="54"/>
    <row r="37" ht="15" customHeight="1" s="54">
      <c r="E37" s="16" t="inlineStr">
        <is>
          <t>Discoveries</t>
        </is>
      </c>
      <c r="F37" s="16">
        <f>COUNTIF(F2:F28,"No")</f>
        <v/>
      </c>
    </row>
  </sheetData>
  <mergeCells count="6">
    <mergeCell ref="A4:A9"/>
    <mergeCell ref="A26:A28"/>
    <mergeCell ref="A13:A15"/>
    <mergeCell ref="A10:A12"/>
    <mergeCell ref="A17:A20"/>
    <mergeCell ref="A22:A25"/>
  </mergeCells>
  <conditionalFormatting sqref="D2:D28">
    <cfRule type="containsText" priority="4" operator="containsText" dxfId="6" text="Partial">
      <formula>NOT(ISERROR(SEARCH("Partial",D2)))</formula>
    </cfRule>
    <cfRule type="containsText" priority="5" operator="containsText" dxfId="0" text="No">
      <formula>NOT(ISERROR(SEARCH("No",D2)))</formula>
    </cfRule>
    <cfRule type="containsText" priority="6" operator="containsText" dxfId="1" text="Yes">
      <formula>NOT(ISERROR(SEARCH("Yes",D2)))</formula>
    </cfRule>
  </conditionalFormatting>
  <conditionalFormatting sqref="F2:F28">
    <cfRule type="containsText" priority="2" operator="containsText" dxfId="1" text="No">
      <formula>NOT(ISERROR(SEARCH("No",F2)))</formula>
    </cfRule>
    <cfRule type="containsText" priority="3" operator="containsText" dxfId="0" text="Yes">
      <formula>NOT(ISERROR(SEARCH("Yes",F2)))</formula>
    </cfRule>
  </conditionalFormatting>
  <conditionalFormatting sqref="G2:G108">
    <cfRule type="containsText" priority="7" operator="containsText" dxfId="1" text="No">
      <formula>NOT(ISERROR(SEARCH("No",G2)))</formula>
    </cfRule>
    <cfRule type="containsText" priority="8" operator="containsText" dxfId="0" text="Yes">
      <formula>NOT(ISERROR(SEARCH("Yes",G2)))</formula>
    </cfRule>
  </conditionalFormatting>
  <dataValidations count="3">
    <dataValidation sqref="D2:D28" showDropDown="0" showInputMessage="1" showErrorMessage="1" allowBlank="1" type="list" operator="equal">
      <formula1>"Yes,No,Partial"</formula1>
      <formula2>0</formula2>
    </dataValidation>
    <dataValidation sqref="F2:F28" showDropDown="0" showInputMessage="1" showErrorMessage="1" allowBlank="1" type="list" operator="equal">
      <formula1>"Yes,No"</formula1>
      <formula2>0</formula2>
    </dataValidation>
    <dataValidation sqref="G2:G108" showDropDown="0" showInputMessage="1" showErrorMessage="1" allowBlank="1" operator="equal">
      <formula1>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2025-11-02T23:37:10Z</dcterms:created>
  <dcterms:modified xsi:type="dcterms:W3CDTF">2026-08-15T16:21:22Z</dcterms:modified>
  <cp:revision>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0x010100A0BB5DA0B0CCAE4590BF69FF9332D7FE</vt:lpwstr>
  </property>
  <property name="MediaServiceImageTags" fmtid="{D5CDD505-2E9C-101B-9397-08002B2CF9AE}" pid="3">
    <vt:lpwstr/>
  </property>
</Properties>
</file>